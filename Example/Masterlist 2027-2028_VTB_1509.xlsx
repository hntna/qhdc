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E:\work\2026\QHDC thi truong\Burundi\Ket qua\Masterlist\"/>
    </mc:Choice>
  </mc:AlternateContent>
  <bookViews>
    <workbookView xWindow="0" yWindow="0" windowWidth="19200" windowHeight="7050" tabRatio="881"/>
  </bookViews>
  <sheets>
    <sheet name="PL1.1 ML2027-2028" sheetId="1" r:id="rId1"/>
    <sheet name="TH theo DV" sheetId="14" r:id="rId2"/>
    <sheet name="PL1.2 TH theo mục đích" sheetId="18" r:id="rId3"/>
    <sheet name="PL1.3 Buc tranh sau QH" sheetId="4" r:id="rId4"/>
    <sheet name="Mã" sheetId="15" r:id="rId5"/>
  </sheets>
  <externalReferences>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s>
  <definedNames>
    <definedName name="\p">#REF!</definedName>
    <definedName name="__atn1">#REF!</definedName>
    <definedName name="__atn10">#REF!</definedName>
    <definedName name="__atn2">#REF!</definedName>
    <definedName name="__atn3">#REF!</definedName>
    <definedName name="__atn4">#REF!</definedName>
    <definedName name="__atn5">#REF!</definedName>
    <definedName name="__atn6">#REF!</definedName>
    <definedName name="__atn7">#REF!</definedName>
    <definedName name="__atn8">#REF!</definedName>
    <definedName name="__atn9">#REF!</definedName>
    <definedName name="__boi1">#REF!</definedName>
    <definedName name="__boi2">#REF!</definedName>
    <definedName name="__CON1">#REF!</definedName>
    <definedName name="__CON2">#REF!</definedName>
    <definedName name="__cpd1">#REF!</definedName>
    <definedName name="__cpd2">#REF!</definedName>
    <definedName name="__deo1">#REF!</definedName>
    <definedName name="__deo10">#REF!</definedName>
    <definedName name="__deo2">#REF!</definedName>
    <definedName name="__deo3">#REF!</definedName>
    <definedName name="__deo4">#REF!</definedName>
    <definedName name="__deo5">#REF!</definedName>
    <definedName name="__deo6">#REF!</definedName>
    <definedName name="__deo7">#REF!</definedName>
    <definedName name="__deo8">#REF!</definedName>
    <definedName name="__deo9">#REF!</definedName>
    <definedName name="__lap1">#REF!</definedName>
    <definedName name="__lap2">#REF!</definedName>
    <definedName name="__nc151">#REF!</definedName>
    <definedName name="__NET2">#REF!</definedName>
    <definedName name="__NSO2" hidden="1">{"'Sheet1'!$L$16"}</definedName>
    <definedName name="__SHR1">#REF!</definedName>
    <definedName name="__SHR2">#REF!</definedName>
    <definedName name="__tax1">#REF!</definedName>
    <definedName name="__tax2">#REF!</definedName>
    <definedName name="__tax3">#REF!</definedName>
    <definedName name="__tax4">#REF!</definedName>
    <definedName name="__tct5">#REF!</definedName>
    <definedName name="__tg427">#REF!</definedName>
    <definedName name="__TH20">#REF!</definedName>
    <definedName name="_1">#REF!</definedName>
    <definedName name="_1000A01">#REF!</definedName>
    <definedName name="_2">#REF!</definedName>
    <definedName name="_atn2">#REF!</definedName>
    <definedName name="_atn3">#REF!</definedName>
    <definedName name="_atn4">#REF!</definedName>
    <definedName name="_atn5">#REF!</definedName>
    <definedName name="_atn6">#REF!</definedName>
    <definedName name="_atn7">#REF!</definedName>
    <definedName name="_atn8">#REF!</definedName>
    <definedName name="_atn9">#REF!</definedName>
    <definedName name="_ATT_REG_DCOM_3G">#REF!</definedName>
    <definedName name="_ATT_REG_MI_3G">#REF!</definedName>
    <definedName name="_ATT_REG_voice_2G">#REF!</definedName>
    <definedName name="_ATT_REG_voice_3G">#REF!</definedName>
    <definedName name="_boi1">#REF!</definedName>
    <definedName name="_boi2">#REF!</definedName>
    <definedName name="_C_Lphi_4ab">#REF!</definedName>
    <definedName name="_chk1">#REF!</definedName>
    <definedName name="_CON1">#REF!</definedName>
    <definedName name="_CON2">#REF!</definedName>
    <definedName name="_cpd1">#REF!</definedName>
    <definedName name="_cpd2">#REF!</definedName>
    <definedName name="_CPhi_Bhiem">#REF!</definedName>
    <definedName name="_CPhi_BQLDA">#REF!</definedName>
    <definedName name="_CPhi_DBaoGT">#REF!</definedName>
    <definedName name="_CPhi_Kdinh">#REF!</definedName>
    <definedName name="_CPhi_Nthu_KThanh">#REF!</definedName>
    <definedName name="_CPhi_QToan">#REF!</definedName>
    <definedName name="_CPhiTKe_13">#REF!</definedName>
    <definedName name="_cs805">#REF!</definedName>
    <definedName name="_d2">#REF!</definedName>
    <definedName name="_deo1">#REF!</definedName>
    <definedName name="_deo10">#REF!</definedName>
    <definedName name="_deo2">#REF!</definedName>
    <definedName name="_deo3">#REF!</definedName>
    <definedName name="_deo4">#REF!</definedName>
    <definedName name="_deo5">#REF!</definedName>
    <definedName name="_deo6">#REF!</definedName>
    <definedName name="_deo7">#REF!</definedName>
    <definedName name="_deo8">#REF!</definedName>
    <definedName name="_deo9">#REF!</definedName>
    <definedName name="_Fill" localSheetId="0" hidden="1">#REF!</definedName>
    <definedName name="_Fill" hidden="1">#REF!</definedName>
    <definedName name="_xlnm._FilterDatabase" localSheetId="0" hidden="1">'PL1.1 ML2027-2028'!$A$7:$AB$2688</definedName>
    <definedName name="_xlnm._FilterDatabase" localSheetId="2" hidden="1">'PL1.2 TH theo mục đích'!$A$5:$L$60</definedName>
    <definedName name="_xlnm._FilterDatabase" localSheetId="3" hidden="1">'PL1.3 Buc tranh sau QH'!$A$3:$G$29</definedName>
    <definedName name="_xlnm._FilterDatabase" hidden="1">#REF!</definedName>
    <definedName name="_H500866">#REF!</definedName>
    <definedName name="_kbps_sub_ATT_DCOM_3G">#REF!</definedName>
    <definedName name="_kbps_sub_ATT_MI_3G">#REF!</definedName>
    <definedName name="_Key1" localSheetId="0" hidden="1">#REF!</definedName>
    <definedName name="_Key1" hidden="1">#REF!</definedName>
    <definedName name="_Key2" localSheetId="0" hidden="1">#REF!</definedName>
    <definedName name="_Key2" hidden="1">#REF!</definedName>
    <definedName name="_lap1">#REF!</definedName>
    <definedName name="_lap2">#REF!</definedName>
    <definedName name="_mErl_sub_ATT_voice_2G">#REF!</definedName>
    <definedName name="_mErl_sub_ATT_voice_3G">#REF!</definedName>
    <definedName name="_n23" localSheetId="0" hidden="1">{"'Sheet1'!$L$16"}</definedName>
    <definedName name="_n23" hidden="1">{"'Sheet1'!$L$16"}</definedName>
    <definedName name="_NET2">#REF!</definedName>
    <definedName name="_NSO2" localSheetId="0" hidden="1">{"'Sheet1'!$L$16"}</definedName>
    <definedName name="_NSO2" hidden="1">{"'Sheet1'!$L$16"}</definedName>
    <definedName name="_Order1" hidden="1">255</definedName>
    <definedName name="_Order2" hidden="1">255</definedName>
    <definedName name="_SHR1">#REF!</definedName>
    <definedName name="_SHR2">#REF!</definedName>
    <definedName name="_Sort" localSheetId="0" hidden="1">#REF!</definedName>
    <definedName name="_Sort" hidden="1">#REF!</definedName>
    <definedName name="_T8" localSheetId="0" hidden="1">{"'Sheet1'!$L$16"}</definedName>
    <definedName name="_T8" hidden="1">{"'Sheet1'!$L$16"}</definedName>
    <definedName name="_tax1">#REF!</definedName>
    <definedName name="_tax2">#REF!</definedName>
    <definedName name="_tax3">#REF!</definedName>
    <definedName name="_tax4">#REF!</definedName>
    <definedName name="_tct5">#REF!</definedName>
    <definedName name="_TDT35">#REF!</definedName>
    <definedName name="_tg427">#REF!</definedName>
    <definedName name="_TH20">#REF!</definedName>
    <definedName name="_Tỉ_lệ_peak_GD_ngày_max">#REF!</definedName>
    <definedName name="A">#REF!</definedName>
    <definedName name="a.">#REF!</definedName>
    <definedName name="A01_">#REF!</definedName>
    <definedName name="A01AC">#REF!</definedName>
    <definedName name="A01CAT">#REF!</definedName>
    <definedName name="A01CODE">#REF!</definedName>
    <definedName name="A01DATA">#REF!</definedName>
    <definedName name="A01MI">#REF!</definedName>
    <definedName name="A01TO">#REF!</definedName>
    <definedName name="a277Print_Titles">#REF!</definedName>
    <definedName name="A372m372">#REF!</definedName>
    <definedName name="AA">#REF!</definedName>
    <definedName name="AAA_DOCTOPS" hidden="1">"AAA_SET"</definedName>
    <definedName name="AAA_duser" hidden="1">"OFF"</definedName>
    <definedName name="aaaa">#REF!</definedName>
    <definedName name="AAB_Addin5" hidden="1">"AAB_Description for addin 5,Description for addin 5,Description for addin 5,Description for addin 5,Description for addin 5,Description for addin 5"</definedName>
    <definedName name="AAB_GSPPG" hidden="1">"AAB_Goldman Sachs PPG Chart Utilities 1.0g"</definedName>
    <definedName name="aadd" localSheetId="0" hidden="1">{"'Sheet1'!$L$16"}</definedName>
    <definedName name="aadd" hidden="1">{"'Sheet1'!$L$16"}</definedName>
    <definedName name="aass" localSheetId="0" hidden="1">{"'Sheet1'!$L$16"}</definedName>
    <definedName name="aass" hidden="1">{"'Sheet1'!$L$16"}</definedName>
    <definedName name="ac">#REF!</definedName>
    <definedName name="ádfg" localSheetId="0" hidden="1">{"'Sheet1'!$L$16"}</definedName>
    <definedName name="ádfg" hidden="1">{"'Sheet1'!$L$16"}</definedName>
    <definedName name="AirportVisitors">#REF!</definedName>
    <definedName name="AirportVisitorsS">#REF!</definedName>
    <definedName name="All_Item">#REF!</definedName>
    <definedName name="ALPIN">#REF!</definedName>
    <definedName name="ALPJYOU">#REF!</definedName>
    <definedName name="ALPTOI">#REF!</definedName>
    <definedName name="amiang">#REF!</definedName>
    <definedName name="anscount" hidden="1">8</definedName>
    <definedName name="As_">#REF!</definedName>
    <definedName name="AS2DocOpenMode" hidden="1">"AS2DocumentEdit"</definedName>
    <definedName name="AU" localSheetId="0" hidden="1">{"'Sheet1'!$L$16"}</definedName>
    <definedName name="AU" hidden="1">{"'Sheet1'!$L$16"}</definedName>
    <definedName name="Av">#REF!</definedName>
    <definedName name="b_eh">#REF!</definedName>
    <definedName name="b_eh1">#REF!</definedName>
    <definedName name="b_ev">#REF!</definedName>
    <definedName name="b_ev1">#REF!</definedName>
    <definedName name="b_FR">#REF!</definedName>
    <definedName name="b_fr1">#REF!</definedName>
    <definedName name="b_LL">#REF!</definedName>
    <definedName name="b_ll1">#REF!</definedName>
    <definedName name="b_WL">#REF!</definedName>
    <definedName name="b_WL1">#REF!</definedName>
    <definedName name="b_WS">#REF!</definedName>
    <definedName name="b_ws1">#REF!</definedName>
    <definedName name="b3_">#REF!</definedName>
    <definedName name="b4_">#REF!</definedName>
    <definedName name="Bang_cly">#REF!</definedName>
    <definedName name="Bang_CVC">#REF!</definedName>
    <definedName name="bang_gia">#REF!</definedName>
    <definedName name="Bang_travl">#REF!</definedName>
    <definedName name="bangtinh">#REF!</definedName>
    <definedName name="BarData">#REF!</definedName>
    <definedName name="BB">#REF!</definedName>
    <definedName name="bchcj">#REF!</definedName>
    <definedName name="bchvch">#REF!</definedName>
    <definedName name="Bcuc">#REF!</definedName>
    <definedName name="bdd">1.5</definedName>
    <definedName name="BL">"$A$1:$f$11"</definedName>
    <definedName name="blang">#REF!</definedName>
    <definedName name="blong">#REF!</definedName>
    <definedName name="bn">#REF!</definedName>
    <definedName name="BO" localSheetId="0" hidden="1">{"'Sheet1'!$L$16"}</definedName>
    <definedName name="BO" hidden="1">{"'Sheet1'!$L$16"}</definedName>
    <definedName name="BOQ">#REF!</definedName>
    <definedName name="boxes">#REF!</definedName>
    <definedName name="bson">#REF!</definedName>
    <definedName name="BT">#REF!</definedName>
    <definedName name="btai">#REF!</definedName>
    <definedName name="btham">#REF!</definedName>
    <definedName name="btong">#REF!</definedName>
    <definedName name="button_area_1">#REF!</definedName>
    <definedName name="bv">#REF!</definedName>
    <definedName name="BVCISUMMARY">#REF!</definedName>
    <definedName name="C.1.1..Phat_tuyen">#REF!</definedName>
    <definedName name="C.1.10..VC_Thu_cong_CG">#REF!</definedName>
    <definedName name="C.1.2..Chat_cay_thu_cong">#REF!</definedName>
    <definedName name="C.1.3..Chat_cay_may">#REF!</definedName>
    <definedName name="C.1.4..Dao_goc_cay">#REF!</definedName>
    <definedName name="C.1.5..Lam_duong_tam">#REF!</definedName>
    <definedName name="C.1.6..Lam_cau_tam">#REF!</definedName>
    <definedName name="C.1.7..Rai_da_chong_lun">#REF!</definedName>
    <definedName name="C.1.8..Lam_kho_tam">#REF!</definedName>
    <definedName name="C.1.8..San_mat_bang">#REF!</definedName>
    <definedName name="C.2.1..VC_Thu_cong">#REF!</definedName>
    <definedName name="C.2.2..VC_T_cong_CG">#REF!</definedName>
    <definedName name="C.2.3..Boc_do">#REF!</definedName>
    <definedName name="C.3.1..Dao_dat_mong_cot">#REF!</definedName>
    <definedName name="C.3.2..Dao_dat_de_dap">#REF!</definedName>
    <definedName name="C.3.3..Dap_dat_mong">#REF!</definedName>
    <definedName name="C.3.4..Dao_dap_TDia">#REF!</definedName>
    <definedName name="C.3.5..Dap_bo_bao">#REF!</definedName>
    <definedName name="C.3.6..Bom_tat_nuoc">#REF!</definedName>
    <definedName name="C.3.7..Dao_bun">#REF!</definedName>
    <definedName name="C.3.8..Dap_cat_CT">#REF!</definedName>
    <definedName name="C.3.9..Dao_pha_da">#REF!</definedName>
    <definedName name="C.4.1.Cot_thep">#REF!</definedName>
    <definedName name="C.4.2..Van_khuon">#REF!</definedName>
    <definedName name="C.4.3..Be_tong">#REF!</definedName>
    <definedName name="C.4.4..Lap_BT_D.San">#REF!</definedName>
    <definedName name="C.4.5..Xay_da_hoc">#REF!</definedName>
    <definedName name="C.4.6..Dong_coc">#REF!</definedName>
    <definedName name="C.4.7..Quet_Bi_tum">#REF!</definedName>
    <definedName name="C.5.1..Lap_cot_thep">#REF!</definedName>
    <definedName name="C.5.2..Lap_cot_BT">#REF!</definedName>
    <definedName name="C.5.3..Lap_dat_xa">#REF!</definedName>
    <definedName name="C.5.4..Lap_tiep_dia">#REF!</definedName>
    <definedName name="C.5.5..Son_sat_thep">#REF!</definedName>
    <definedName name="C.6.1..Lap_su_dung">#REF!</definedName>
    <definedName name="C.6.2..Lap_su_CS">#REF!</definedName>
    <definedName name="C.6.3..Su_chuoi_do">#REF!</definedName>
    <definedName name="C.6.4..Su_chuoi_neo">#REF!</definedName>
    <definedName name="C.6.5..Lap_phu_kien">#REF!</definedName>
    <definedName name="C.6.6..Ep_noi_day">#REF!</definedName>
    <definedName name="C.6.7..KD_vuot_CN">#REF!</definedName>
    <definedName name="C.6.8..Rai_cang_day">#REF!</definedName>
    <definedName name="C.6.9..Cap_quang">#REF!</definedName>
    <definedName name="C_">#REF!</definedName>
    <definedName name="c5.">#REF!</definedName>
    <definedName name="CACAU">1415247</definedName>
    <definedName name="cap">#REF!</definedName>
    <definedName name="cap0.7">#REF!</definedName>
    <definedName name="Category_All">#REF!</definedName>
    <definedName name="CATIN">#REF!</definedName>
    <definedName name="CATJYOU">#REF!</definedName>
    <definedName name="CATREC">#REF!</definedName>
    <definedName name="CATSYU">#REF!</definedName>
    <definedName name="CC">#REF!</definedName>
    <definedName name="CCT">#REF!</definedName>
    <definedName name="cd">#REF!</definedName>
    <definedName name="CDB">#REF!</definedName>
    <definedName name="cdn">#REF!</definedName>
    <definedName name="CDR">#REF!</definedName>
    <definedName name="celltips_area">#REF!</definedName>
    <definedName name="chay1">#REF!</definedName>
    <definedName name="chay10">#REF!</definedName>
    <definedName name="chay2">#REF!</definedName>
    <definedName name="chay3">#REF!</definedName>
    <definedName name="chay4">#REF!</definedName>
    <definedName name="chay5">#REF!</definedName>
    <definedName name="chay6">#REF!</definedName>
    <definedName name="chay7">#REF!</definedName>
    <definedName name="chay8">#REF!</definedName>
    <definedName name="chay9">#REF!</definedName>
    <definedName name="chk">#REF!</definedName>
    <definedName name="Chøng_tõ">#REF!</definedName>
    <definedName name="Chtinh">#REF!</definedName>
    <definedName name="chuc1">#REF!</definedName>
    <definedName name="CL">#REF!</definedName>
    <definedName name="CLVL">#REF!</definedName>
    <definedName name="CNC">#REF!</definedName>
    <definedName name="CND">#REF!</definedName>
    <definedName name="CNG">#REF!</definedName>
    <definedName name="Co">#REF!</definedName>
    <definedName name="coc">#REF!</definedName>
    <definedName name="coldex">#REF!</definedName>
    <definedName name="COMMON">#REF!</definedName>
    <definedName name="CON_EQP_COS">#REF!</definedName>
    <definedName name="CON_EQP_COST">#REF!</definedName>
    <definedName name="Cong_HM_DTCT">#REF!</definedName>
    <definedName name="Cong_M_DTCT">#REF!</definedName>
    <definedName name="Cong_NC_DTCT">#REF!</definedName>
    <definedName name="Cong_VL_DTCT">#REF!</definedName>
    <definedName name="CONGTIEN">#REF!</definedName>
    <definedName name="CONST_EQ">#REF!</definedName>
    <definedName name="COT">#REF!</definedName>
    <definedName name="COVER">#REF!</definedName>
    <definedName name="CPC">#REF!</definedName>
    <definedName name="cpdd1">#REF!</definedName>
    <definedName name="cpdd2">#REF!</definedName>
    <definedName name="CRITINST">#REF!</definedName>
    <definedName name="CRITPURC">#REF!</definedName>
    <definedName name="CS">#REF!</definedName>
    <definedName name="CS_10">#REF!</definedName>
    <definedName name="CS_100">#REF!</definedName>
    <definedName name="CS_10S">#REF!</definedName>
    <definedName name="CS_120">#REF!</definedName>
    <definedName name="CS_140">#REF!</definedName>
    <definedName name="CS_160">#REF!</definedName>
    <definedName name="CS_20">#REF!</definedName>
    <definedName name="CS_30">#REF!</definedName>
    <definedName name="CS_40">#REF!</definedName>
    <definedName name="CS_40S">#REF!</definedName>
    <definedName name="CS_5S">#REF!</definedName>
    <definedName name="CS_60">#REF!</definedName>
    <definedName name="CS_80">#REF!</definedName>
    <definedName name="CS_80S">#REF!</definedName>
    <definedName name="CS_STD">#REF!</definedName>
    <definedName name="CS_XS">#REF!</definedName>
    <definedName name="CS_XXS">#REF!</definedName>
    <definedName name="ctdn9697">#REF!</definedName>
    <definedName name="ctiep">#REF!</definedName>
    <definedName name="ctmai">#REF!</definedName>
    <definedName name="CTO">#REF!</definedName>
    <definedName name="ctong">#REF!</definedName>
    <definedName name="ctre">#REF!</definedName>
    <definedName name="CU_LY">#REF!</definedName>
    <definedName name="cui">#REF!</definedName>
    <definedName name="cuoc_vc">#REF!</definedName>
    <definedName name="CURRENCY">#REF!</definedName>
    <definedName name="cx">#REF!</definedName>
    <definedName name="d_">#REF!</definedName>
    <definedName name="D_7101A_B">#REF!</definedName>
    <definedName name="d1_">#REF!</definedName>
    <definedName name="d2_">#REF!</definedName>
    <definedName name="d3_">#REF!</definedName>
    <definedName name="d4_">#REF!</definedName>
    <definedName name="d5_">#REF!</definedName>
    <definedName name="DAILATHANH" localSheetId="0" hidden="1">{"'Sheet1'!$L$16"}</definedName>
    <definedName name="DAILATHANH" hidden="1">{"'Sheet1'!$L$16"}</definedName>
    <definedName name="dapdbm1">#REF!</definedName>
    <definedName name="dapdbm2">#REF!</definedName>
    <definedName name="DAT">#REF!</definedName>
    <definedName name="data">#REF!</definedName>
    <definedName name="data1">#REF!</definedName>
    <definedName name="data10">#REF!</definedName>
    <definedName name="data11">#REF!</definedName>
    <definedName name="data12">#REF!</definedName>
    <definedName name="data13">#REF!</definedName>
    <definedName name="data14">#REF!</definedName>
    <definedName name="data15">#REF!</definedName>
    <definedName name="data16">#REF!</definedName>
    <definedName name="data17">#REF!</definedName>
    <definedName name="data18">#REF!</definedName>
    <definedName name="data19">#REF!</definedName>
    <definedName name="data2">#REF!</definedName>
    <definedName name="data20">#REF!</definedName>
    <definedName name="data21">#REF!</definedName>
    <definedName name="data22">#REF!</definedName>
    <definedName name="data23">#REF!</definedName>
    <definedName name="data24">#REF!</definedName>
    <definedName name="data25">#REF!</definedName>
    <definedName name="data26">#REF!</definedName>
    <definedName name="data27">#REF!</definedName>
    <definedName name="data28">#REF!</definedName>
    <definedName name="data29">#REF!</definedName>
    <definedName name="data3">#REF!</definedName>
    <definedName name="data30">#REF!</definedName>
    <definedName name="data31">#REF!</definedName>
    <definedName name="data32">#REF!</definedName>
    <definedName name="data33">#REF!</definedName>
    <definedName name="data34">#REF!</definedName>
    <definedName name="data35">#REF!</definedName>
    <definedName name="data36">#REF!</definedName>
    <definedName name="data37">#REF!</definedName>
    <definedName name="data38">#REF!</definedName>
    <definedName name="data39">#REF!</definedName>
    <definedName name="data4">#REF!</definedName>
    <definedName name="data40">#REF!</definedName>
    <definedName name="data41">#REF!</definedName>
    <definedName name="data42">#REF!</definedName>
    <definedName name="data43">#REF!</definedName>
    <definedName name="data44">#REF!</definedName>
    <definedName name="data45">#REF!</definedName>
    <definedName name="data46">#REF!</definedName>
    <definedName name="data47">#REF!</definedName>
    <definedName name="data48">#REF!</definedName>
    <definedName name="data49">#REF!</definedName>
    <definedName name="data5">#REF!</definedName>
    <definedName name="data50">#REF!</definedName>
    <definedName name="data51">#REF!</definedName>
    <definedName name="data52">#REF!</definedName>
    <definedName name="data53">#REF!</definedName>
    <definedName name="data54">#REF!</definedName>
    <definedName name="data55">#REF!</definedName>
    <definedName name="data56">#REF!</definedName>
    <definedName name="data57">#REF!</definedName>
    <definedName name="data58">#REF!</definedName>
    <definedName name="data59">#REF!</definedName>
    <definedName name="data6">#REF!</definedName>
    <definedName name="data60">#REF!</definedName>
    <definedName name="data61">#REF!</definedName>
    <definedName name="data62">#REF!</definedName>
    <definedName name="data63">#REF!</definedName>
    <definedName name="data64">#REF!</definedName>
    <definedName name="data65">#REF!</definedName>
    <definedName name="data66">#REF!</definedName>
    <definedName name="data67">#REF!</definedName>
    <definedName name="data68">#REF!</definedName>
    <definedName name="data69">#REF!</definedName>
    <definedName name="data7">#REF!</definedName>
    <definedName name="data70">#REF!</definedName>
    <definedName name="data8">#REF!</definedName>
    <definedName name="data9">#REF!</definedName>
    <definedName name="_xlnm.Database">#REF!</definedName>
    <definedName name="datak">#REF!</definedName>
    <definedName name="datal">#REF!</definedName>
    <definedName name="db">#REF!</definedName>
    <definedName name="dc">#REF!</definedName>
    <definedName name="dche">#REF!</definedName>
    <definedName name="dd4x6">#REF!</definedName>
    <definedName name="ddabm">#REF!</definedName>
    <definedName name="dday">#REF!</definedName>
    <definedName name="ddbm500">#REF!</definedName>
    <definedName name="dden">#REF!</definedName>
    <definedName name="ddia">#REF!</definedName>
    <definedName name="DDK">#REF!</definedName>
    <definedName name="de">#REF!</definedName>
    <definedName name="den_bu">#REF!</definedName>
    <definedName name="denbu">#REF!</definedName>
    <definedName name="Det40x4">#REF!</definedName>
    <definedName name="Det50x5">#REF!</definedName>
    <definedName name="Det63x6">#REF!</definedName>
    <definedName name="Det75x6">#REF!</definedName>
    <definedName name="df">#REF!</definedName>
    <definedName name="dfg" hidden="1">{"'Sheet1'!$L$16"}</definedName>
    <definedName name="dfgdf">#REF!</definedName>
    <definedName name="dfgdfggf">#REF!</definedName>
    <definedName name="dflk">#REF!</definedName>
    <definedName name="dflt1">#REF!</definedName>
    <definedName name="dflt2">#REF!</definedName>
    <definedName name="dflt3">#REF!</definedName>
    <definedName name="dflt4">#REF!</definedName>
    <definedName name="dflt5">#REF!</definedName>
    <definedName name="dflt6">#REF!</definedName>
    <definedName name="dflt7">#REF!</definedName>
    <definedName name="dg">#REF!</definedName>
    <definedName name="DGCS">33500</definedName>
    <definedName name="DGCTI592">#REF!</definedName>
    <definedName name="dh">#REF!</definedName>
    <definedName name="dien">#REF!</definedName>
    <definedName name="dim">#REF!</definedName>
    <definedName name="display_area_1">#REF!</definedName>
    <definedName name="display_area_2">#REF!</definedName>
    <definedName name="Dist">#REF!</definedName>
    <definedName name="dmdv">#REF!</definedName>
    <definedName name="DMHH">#REF!</definedName>
    <definedName name="dmoi">#REF!</definedName>
    <definedName name="DN">#REF!</definedName>
    <definedName name="DÑt45x4">#REF!</definedName>
    <definedName name="DOANH_SO">#REF!</definedName>
    <definedName name="Doanh_thu">#REF!</definedName>
    <definedName name="dobt">#REF!</definedName>
    <definedName name="Document_array">{"ONGNGOAINHA.xls","Sheet1"}</definedName>
    <definedName name="dong" localSheetId="0" hidden="1">{"'Sheet1'!$L$16"}</definedName>
    <definedName name="dong" hidden="1">{"'Sheet1'!$L$16"}</definedName>
    <definedName name="drda">#REF!</definedName>
    <definedName name="drdat">#REF!</definedName>
    <definedName name="DSUMDATA">#REF!</definedName>
    <definedName name="DTBH">#REF!</definedName>
    <definedName name="DUCKY_CO_CD">#REF!</definedName>
    <definedName name="DUCKY_NO_CD">#REF!</definedName>
    <definedName name="DUDKY_CO_CD">#REF!</definedName>
    <definedName name="DUDKY_NO_CD">#REF!</definedName>
    <definedName name="dxd">#REF!</definedName>
    <definedName name="e">13</definedName>
    <definedName name="End_1">#REF!</definedName>
    <definedName name="End_10">#REF!</definedName>
    <definedName name="End_11">#REF!</definedName>
    <definedName name="End_12">#REF!</definedName>
    <definedName name="End_13">#REF!</definedName>
    <definedName name="End_2">#REF!</definedName>
    <definedName name="End_3">#REF!</definedName>
    <definedName name="End_4">#REF!</definedName>
    <definedName name="End_5">#REF!</definedName>
    <definedName name="End_6">#REF!</definedName>
    <definedName name="End_7">#REF!</definedName>
    <definedName name="End_8">#REF!</definedName>
    <definedName name="End_9">#REF!</definedName>
    <definedName name="_xlnm.Extract">#REF!</definedName>
    <definedName name="FACTOR">#REF!</definedName>
    <definedName name="Fax">#REF!</definedName>
    <definedName name="Fay">#REF!</definedName>
    <definedName name="fy_">#REF!</definedName>
    <definedName name="g">2</definedName>
    <definedName name="gd">#REF!</definedName>
    <definedName name="gd.">#REF!</definedName>
    <definedName name="GDL">#REF!</definedName>
    <definedName name="ghichu">#REF!</definedName>
    <definedName name="gi">0.4</definedName>
    <definedName name="Gia_tien">#REF!</definedName>
    <definedName name="gia_tien_BTN">#REF!</definedName>
    <definedName name="GiaKHUSD" comment="Giá gói thầu theo KHLCNT USD">#REF!</definedName>
    <definedName name="GiaKHVND" comment="Giá gói thầu theo KHLCNT (VND)">#REF!</definedName>
    <definedName name="gjj">#REF!</definedName>
    <definedName name="gld">#REF!</definedName>
    <definedName name="GLL">#REF!</definedName>
    <definedName name="Goc32x3">#REF!</definedName>
    <definedName name="Goc35x3">#REF!</definedName>
    <definedName name="Goc40x4">#REF!</definedName>
    <definedName name="Goc45x4">#REF!</definedName>
    <definedName name="Goc50x5">#REF!</definedName>
    <definedName name="Goc63x6">#REF!</definedName>
    <definedName name="Goc75x6">#REF!</definedName>
    <definedName name="grB">#REF!</definedName>
    <definedName name="GTXL">#REF!</definedName>
    <definedName name="gxm">#REF!</definedName>
    <definedName name="h" hidden="1">{"'Sheet1'!$L$16"}</definedName>
    <definedName name="Ha">#REF!</definedName>
    <definedName name="ha.">#REF!</definedName>
    <definedName name="haichau6">#REF!</definedName>
    <definedName name="hb.">#REF!</definedName>
    <definedName name="hc.">#REF!</definedName>
    <definedName name="HCM">#REF!</definedName>
    <definedName name="hg">#REF!</definedName>
    <definedName name="hgj">#REF!</definedName>
    <definedName name="HH">#REF!</definedName>
    <definedName name="hien">#REF!</definedName>
    <definedName name="Hinhthuc">#REF!</definedName>
    <definedName name="hnhnhn" localSheetId="0" hidden="1">{"'Sheet1'!$L$16"}</definedName>
    <definedName name="hnhnhn" hidden="1">{"'Sheet1'!$L$16"}</definedName>
    <definedName name="ho">#REF!</definedName>
    <definedName name="hoa" localSheetId="0" hidden="1">{"'Sheet1'!$L$16"}</definedName>
    <definedName name="hoa" hidden="1">{"'Sheet1'!$L$16"}</definedName>
    <definedName name="HOME_MANP">#REF!</definedName>
    <definedName name="HOMEOFFICE_COST">#REF!</definedName>
    <definedName name="hsn">0.5</definedName>
    <definedName name="HSPCKV">0.3</definedName>
    <definedName name="HT">#REF!</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huynhhaichau">#REF!</definedName>
    <definedName name="i">1.11</definedName>
    <definedName name="IDLAB_COST">#REF!</definedName>
    <definedName name="IND_LAB">#REF!</definedName>
    <definedName name="INDMANP">#REF!</definedName>
    <definedName name="K">#REF!</definedName>
    <definedName name="k..">#REF!</definedName>
    <definedName name="KA">#REF!</definedName>
    <definedName name="ka.">#REF!</definedName>
    <definedName name="KAE">#REF!</definedName>
    <definedName name="kcong">#REF!</definedName>
    <definedName name="kdien">#REF!</definedName>
    <definedName name="KhuyenmaiUPS">"AutoShape 264"</definedName>
    <definedName name="kiem">#REF!</definedName>
    <definedName name="Kiem_tra_trung_ten">#REF!</definedName>
    <definedName name="kk">0.8</definedName>
    <definedName name="kl">#REF!</definedName>
    <definedName name="KPC">0.7</definedName>
    <definedName name="kstk">#REF!</definedName>
    <definedName name="KVC">#REF!</definedName>
    <definedName name="l">4.584</definedName>
    <definedName name="lai" localSheetId="0" hidden="1">{"'Sheet1'!$L$16"}</definedName>
    <definedName name="lai" hidden="1">{"'Sheet1'!$L$16"}</definedName>
    <definedName name="LAMTHEM">#REF!</definedName>
    <definedName name="Lb">#REF!</definedName>
    <definedName name="Lf">#REF!</definedName>
    <definedName name="LgL">#REF!</definedName>
    <definedName name="lk" localSheetId="0" hidden="1">{"'Sheet1'!$L$16"}</definedName>
    <definedName name="lk" hidden="1">{"'Sheet1'!$L$16"}</definedName>
    <definedName name="LLs">#REF!</definedName>
    <definedName name="LN">#REF!</definedName>
    <definedName name="LOC">#REF!</definedName>
    <definedName name="Log_Normal_Fade_Margin">#REF!</definedName>
    <definedName name="long">#REF!</definedName>
    <definedName name="Lop">#REF!</definedName>
    <definedName name="LTR">#REF!</definedName>
    <definedName name="ltre">#REF!</definedName>
    <definedName name="Luanthanh">#REF!</definedName>
    <definedName name="LUONG">#REF!</definedName>
    <definedName name="lVC">#REF!</definedName>
    <definedName name="m" hidden="1">{"'Sheet1'!$L$16"}</definedName>
    <definedName name="M0.4">#REF!</definedName>
    <definedName name="MAJ_CON_EQP">#REF!</definedName>
    <definedName name="Masterlist_CNTT" hidden="1">#REF!</definedName>
    <definedName name="Masterlist_ML" hidden="1">#REF!</definedName>
    <definedName name="matit">#REF!</definedName>
    <definedName name="MATK">#REF!</definedName>
    <definedName name="MATK_CD">#REF!</definedName>
    <definedName name="MATK_M">#REF!</definedName>
    <definedName name="MC">#REF!</definedName>
    <definedName name="me">#REF!</definedName>
    <definedName name="MG_A">#REF!</definedName>
    <definedName name="minh1">#REF!</definedName>
    <definedName name="ML">#REF!</definedName>
    <definedName name="MN">#REF!</definedName>
    <definedName name="mncvhjkhj" localSheetId="0" hidden="1">{"'Sheet1'!$L$16"}</definedName>
    <definedName name="mncvhjkhj" hidden="1">{"'Sheet1'!$L$16"}</definedName>
    <definedName name="MUN">#REF!</definedName>
    <definedName name="n1_">#REF!</definedName>
    <definedName name="n2_">#REF!</definedName>
    <definedName name="n3_">#REF!</definedName>
    <definedName name="n4_">#REF!</definedName>
    <definedName name="ncb">#N/A</definedName>
    <definedName name="NCcap0.7">#REF!</definedName>
    <definedName name="NCcap1">#REF!</definedName>
    <definedName name="NCKT">#REF!</definedName>
    <definedName name="NDemand01">#REF!</definedName>
    <definedName name="NDemand02">#REF!</definedName>
    <definedName name="NDemand03">#REF!</definedName>
    <definedName name="Néi_dung">#REF!</definedName>
    <definedName name="NET">#REF!</definedName>
    <definedName name="NET_1">#REF!</definedName>
    <definedName name="NET_ANA">#REF!</definedName>
    <definedName name="NET_ANA_1">#REF!</definedName>
    <definedName name="NET_ANA_2">#REF!</definedName>
    <definedName name="Ng_y__i">#REF!</definedName>
    <definedName name="ngau">#REF!</definedName>
    <definedName name="Ngay_BC.KQ_1" comment="Ngày báo cáo Hội đồng kết quả tài chính (2 túi HS)/KQ gói thầu (1 túi HS) lần 1">#REF!</definedName>
    <definedName name="Ngay_BC_KT_1" comment="Ngày báo cáo hội đồng KQ kỹ thuật lần 1">#REF!</definedName>
    <definedName name="Ngay_dong_thau">#REF!</definedName>
    <definedName name="Ngay_hoan.thanh_KQ">#REF!</definedName>
    <definedName name="Ngay_hoan.thanh_KT">#REF!</definedName>
    <definedName name="Ngay_mo_HSDX.TC">#REF!</definedName>
    <definedName name="Ngay_phat_hanh" comment="Ngày phát hành hồ sơ">#REF!</definedName>
    <definedName name="Ngay_thong.qua_KQ">#REF!</definedName>
    <definedName name="Ngay_thong.qua_KT">#REF!</definedName>
    <definedName name="NGAYCTU_B">#REF!</definedName>
    <definedName name="NGHI">#REF!</definedName>
    <definedName name="NH">#REF!</definedName>
    <definedName name="Nhancong">#REF!</definedName>
    <definedName name="NHANTIEN">#REF!</definedName>
    <definedName name="nhap1">#N/A</definedName>
    <definedName name="nhap2">#N/A</definedName>
    <definedName name="nhapcb">#N/A</definedName>
    <definedName name="NhNgam">#REF!</definedName>
    <definedName name="NHot">#REF!</definedName>
    <definedName name="NhTreo">#REF!</definedName>
    <definedName name="nhua">#REF!</definedName>
    <definedName name="nm" localSheetId="0" hidden="1">{"'Sheet1'!$L$16"}</definedName>
    <definedName name="nm" hidden="1">{"'Sheet1'!$L$16"}</definedName>
    <definedName name="nn">1.15</definedName>
    <definedName name="No">#REF!</definedName>
    <definedName name="NOCU">#REF!</definedName>
    <definedName name="NS">#REF!</definedName>
    <definedName name="NvsASD">"V1995-11-24"</definedName>
    <definedName name="NvsAutoDrillOk">"VN"</definedName>
    <definedName name="NvsElapsedTime">0.000677083335176576</definedName>
    <definedName name="NvsEndTime">35083.4744131944</definedName>
    <definedName name="NvsInstSpec">"%"</definedName>
    <definedName name="NvsLayoutType">"M3"</definedName>
    <definedName name="NvsNplSpec">"%,X,RZF..,CZF.."</definedName>
    <definedName name="NvsPanelEffdt">"V1995-11-24"</definedName>
    <definedName name="NvsPanelSetid">"VMODEL"</definedName>
    <definedName name="NvsReqBU">"VMODEL"</definedName>
    <definedName name="NvsReqBUOnly">"VN"</definedName>
    <definedName name="NvsTransLed">"VN"</definedName>
    <definedName name="NvsTreeASD">"V1995-11-24"</definedName>
    <definedName name="NvsValTbl.OFFCENTER_CHG">"OFFDEPT_CHG_VAL"</definedName>
    <definedName name="p2_">#REF!</definedName>
    <definedName name="PA">#REF!</definedName>
    <definedName name="Phuongthuc" comment="Phương thức lựa chọn nhà thầu">#REF!</definedName>
    <definedName name="PK">#REF!</definedName>
    <definedName name="PRICE">#REF!</definedName>
    <definedName name="PRICE1">#REF!</definedName>
    <definedName name="_xlnm.Print_Area" localSheetId="0">'PL1.1 ML2027-2028'!$A$1:$I$2688</definedName>
    <definedName name="_xlnm.Print_Area" localSheetId="2">'PL1.2 TH theo mục đích'!$A$1:$J$61</definedName>
    <definedName name="_xlnm.Print_Area" localSheetId="3">'PL1.3 Buc tranh sau QH'!$A$1:$F$29</definedName>
    <definedName name="_xlnm.Print_Area">#REF!</definedName>
    <definedName name="PRINT_AREA_MI">#REF!</definedName>
    <definedName name="_xlnm.Print_Titles" localSheetId="0">'PL1.1 ML2027-2028'!$4:$7</definedName>
    <definedName name="_xlnm.Print_Titles" localSheetId="2">'PL1.2 TH theo mục đích'!$3:$4</definedName>
    <definedName name="_xlnm.Print_Titles" localSheetId="3">'PL1.3 Buc tranh sau QH'!$3:$3</definedName>
    <definedName name="_xlnm.Print_Titles">#N/A</definedName>
    <definedName name="PRINT_TITLES_MI">#REF!</definedName>
    <definedName name="PRINTA">#REF!</definedName>
    <definedName name="PRINTB">#REF!</definedName>
    <definedName name="PRINTC">#REF!</definedName>
    <definedName name="PROPOSAL">#REF!</definedName>
    <definedName name="PSCO_CD">#REF!</definedName>
    <definedName name="PSNO_CD">#REF!</definedName>
    <definedName name="pt">#REF!</definedName>
    <definedName name="PT_Duong">#REF!</definedName>
    <definedName name="ptdg">#REF!</definedName>
    <definedName name="PTDG_cau">#REF!</definedName>
    <definedName name="ptdg_cong">#REF!</definedName>
    <definedName name="ptdg_duong">#REF!</definedName>
    <definedName name="qh">#REF!</definedName>
    <definedName name="ql">#REF!</definedName>
    <definedName name="qp">#REF!</definedName>
    <definedName name="qtebt">#REF!</definedName>
    <definedName name="Query1">#REF!</definedName>
    <definedName name="qx">#REF!</definedName>
    <definedName name="qy">#REF!</definedName>
    <definedName name="qzqzqz10">#REF!</definedName>
    <definedName name="qzqzqz11">#REF!</definedName>
    <definedName name="qzqzqz12">#REF!</definedName>
    <definedName name="qzqzqz13">#REF!</definedName>
    <definedName name="qzqzqz14">#REF!</definedName>
    <definedName name="qzqzqz15">#REF!</definedName>
    <definedName name="qzqzqz16">#REF!</definedName>
    <definedName name="qzqzqz17">#REF!</definedName>
    <definedName name="qzqzqz18">#REF!</definedName>
    <definedName name="qzqzqz19">#REF!</definedName>
    <definedName name="qzqzqz20">#REF!</definedName>
    <definedName name="qzqzqz21">#REF!</definedName>
    <definedName name="qzqzqz22">#REF!</definedName>
    <definedName name="qzqzqz23">#REF!</definedName>
    <definedName name="qzqzqz24">#REF!</definedName>
    <definedName name="qzqzqz25">#REF!</definedName>
    <definedName name="qzqzqz26">#REF!</definedName>
    <definedName name="qzqzqz27">#REF!</definedName>
    <definedName name="qzqzqz28">#REF!</definedName>
    <definedName name="qzqzqz29">#REF!</definedName>
    <definedName name="qzqzqz30">#REF!</definedName>
    <definedName name="qzqzqz31">#REF!</definedName>
    <definedName name="qzqzqz32">#REF!</definedName>
    <definedName name="qzqzqz6">#REF!</definedName>
    <definedName name="qzqzqz7">#REF!</definedName>
    <definedName name="qzqzqz8">#REF!</definedName>
    <definedName name="qzqzqz9">#REF!</definedName>
    <definedName name="r_">#REF!</definedName>
    <definedName name="rang1">#REF!</definedName>
    <definedName name="range">#REF!</definedName>
    <definedName name="Rate">14563</definedName>
    <definedName name="re" hidden="1">{"'Sheet1'!$L$16"}</definedName>
    <definedName name="RECOUT">#REF!</definedName>
    <definedName name="REPORT01">#REF!</definedName>
    <definedName name="REPORT02">#REF!</definedName>
    <definedName name="RFP003A">#REF!</definedName>
    <definedName name="RFP003B">#REF!</definedName>
    <definedName name="RFP003C">#REF!</definedName>
    <definedName name="RFP003D">#REF!</definedName>
    <definedName name="RFP003E">#REF!</definedName>
    <definedName name="RFP003F">#REF!</definedName>
    <definedName name="rnp">32</definedName>
    <definedName name="s1_">#REF!</definedName>
    <definedName name="s2_">#REF!</definedName>
    <definedName name="s3_">#REF!</definedName>
    <definedName name="s4_">#REF!</definedName>
    <definedName name="SCCR">#REF!</definedName>
    <definedName name="scdk">#REF!</definedName>
    <definedName name="scdl">#REF!</definedName>
    <definedName name="SCDT">#REF!</definedName>
    <definedName name="SCH">#REF!</definedName>
    <definedName name="sctdl">#REF!</definedName>
    <definedName name="sctqdl">#REF!</definedName>
    <definedName name="SDemand02">#REF!</definedName>
    <definedName name="SDemand03">#REF!</definedName>
    <definedName name="sencount" hidden="1">1</definedName>
    <definedName name="Shoes">#REF!</definedName>
    <definedName name="SIZE">#REF!</definedName>
    <definedName name="SL">#REF!</definedName>
    <definedName name="slk">#REF!</definedName>
    <definedName name="sll">#REF!</definedName>
    <definedName name="SOCTU_NK_BH">#REF!</definedName>
    <definedName name="Soi">#REF!</definedName>
    <definedName name="SORT">#REF!</definedName>
    <definedName name="SOTIEN_B">#REF!</definedName>
    <definedName name="SOTIEN_CO_NK">#REF!</definedName>
    <definedName name="SOTIEN_NO_NK">#REF!</definedName>
    <definedName name="SPEC">#REF!</definedName>
    <definedName name="SPECSUMMARY">#REF!</definedName>
    <definedName name="spk">#REF!</definedName>
    <definedName name="SS">#REF!</definedName>
    <definedName name="Start_1">#REF!</definedName>
    <definedName name="Start_10">#REF!</definedName>
    <definedName name="Start_11">#REF!</definedName>
    <definedName name="Start_12">#REF!</definedName>
    <definedName name="Start_13">#REF!</definedName>
    <definedName name="Start_2">#REF!</definedName>
    <definedName name="Start_3">#REF!</definedName>
    <definedName name="Start_4">#REF!</definedName>
    <definedName name="Start_5">#REF!</definedName>
    <definedName name="Start_6">#REF!</definedName>
    <definedName name="Start_7">#REF!</definedName>
    <definedName name="Start_8">#REF!</definedName>
    <definedName name="Start_9">#REF!</definedName>
    <definedName name="Status">#REF!</definedName>
    <definedName name="std.">#REF!</definedName>
    <definedName name="stop" localSheetId="0" hidden="1">{0}</definedName>
    <definedName name="stop" hidden="1">{0}</definedName>
    <definedName name="STT_NC">#REF!</definedName>
    <definedName name="STT_NCT">#REF!</definedName>
    <definedName name="STT_PH">#REF!</definedName>
    <definedName name="SU">#REF!</definedName>
    <definedName name="sua" localSheetId="0" hidden="1">{"'Sheet1'!$L$16"}</definedName>
    <definedName name="sua" hidden="1">{"'Sheet1'!$L$16"}</definedName>
    <definedName name="SUM">#REF!,#REF!</definedName>
    <definedName name="SUMMARY">#REF!</definedName>
    <definedName name="T">#REF!</definedName>
    <definedName name="TAMUNG">#REF!</definedName>
    <definedName name="TaxTV">10%</definedName>
    <definedName name="TaxXL">10%</definedName>
    <definedName name="TBA">#REF!</definedName>
    <definedName name="tc">#REF!</definedName>
    <definedName name="TD">#REF!</definedName>
    <definedName name="tdo">#REF!</definedName>
    <definedName name="tdt">#REF!</definedName>
    <definedName name="TenNgam">#REF!</definedName>
    <definedName name="TenTreo">#REF!</definedName>
    <definedName name="ter">#REF!</definedName>
    <definedName name="THCTO">#REF!</definedName>
    <definedName name="thdt">#REF!</definedName>
    <definedName name="thepma">30408</definedName>
    <definedName name="thepmaBL">34500</definedName>
    <definedName name="thepmacl">34500</definedName>
    <definedName name="THI">#REF!</definedName>
    <definedName name="thinh">#REF!</definedName>
    <definedName name="Thoi_gian_BC_KT" comment="Thời gian từ ngày ra b/c KT tới ngày được hội đồng thông qua KQ kỹ thuật">#REF!</definedName>
    <definedName name="Thoi_gian_D.G_KT" comment="Thời gian hoàn thành đánh giá HSĐX kỹ thuật từ ngày đóng thầu tới ngày TCG trình báo cáo KQ đánh giá KT lên HĐ">#REF!</definedName>
    <definedName name="Thoi_gian_D.G_tong.hop">#REF!</definedName>
    <definedName name="Thoi_gian_HT_B.C" comment="Thời gian hoàn thành báo cáo đánh giá tài chính (2 túi HS) hoặc hoàn thành báo cáo KQ đánh giá HSDT">#REF!</definedName>
    <definedName name="Thoi_gian_HT_D.G" comment="Thời gian hoàn thành đánh giá HSĐX tài chính (2 túi HS) hoặc thời gian hoàn thành đánh giá HSDT (1 túi HS)">#REF!</definedName>
    <definedName name="Thu__GTGT">#REF!</definedName>
    <definedName name="THUE_GTGT">#REF!</definedName>
    <definedName name="THUONG">#REF!</definedName>
    <definedName name="Tien">#REF!</definedName>
    <definedName name="Tim_Lan_Xuat_Hien">#REF!</definedName>
    <definedName name="tim_xuat_hien">#REF!</definedName>
    <definedName name="TITAN">#REF!</definedName>
    <definedName name="tk">#N/A</definedName>
    <definedName name="tke">#N/A</definedName>
    <definedName name="TKNO_NK">#REF!</definedName>
    <definedName name="tkt" localSheetId="0" hidden="1">{"'Sheet1'!$L$16"}</definedName>
    <definedName name="tkt" hidden="1">{"'Sheet1'!$L$16"}</definedName>
    <definedName name="Tle">#REF!</definedName>
    <definedName name="TN">"$A$1:$I$11"</definedName>
    <definedName name="tnewry">#REF!</definedName>
    <definedName name="ton">#REF!</definedName>
    <definedName name="TOT">#REF!</definedName>
    <definedName name="TPLRP">#REF!</definedName>
    <definedName name="Tra_don_gia_KS">#REF!</definedName>
    <definedName name="Tra_DTCT">#REF!</definedName>
    <definedName name="Tra_tim_hang_mucPT_trung">#REF!</definedName>
    <definedName name="Tra_TL">#REF!</definedName>
    <definedName name="Tra_ty_le2">#REF!</definedName>
    <definedName name="Tra_ty_le3">#REF!</definedName>
    <definedName name="Tra_ty_le4">#REF!</definedName>
    <definedName name="Tra_ty_le5">#REF!</definedName>
    <definedName name="TRA_VAT_LIEU">#REF!</definedName>
    <definedName name="TRA_VL">#REF!</definedName>
    <definedName name="TRADE2">#REF!</definedName>
    <definedName name="TRAMTON" localSheetId="0" hidden="1">{"'Sheet1'!$L$16"}</definedName>
    <definedName name="TRAMTON" hidden="1">{"'Sheet1'!$L$16"}</definedName>
    <definedName name="Trang.thai.goi.thau" comment="Trạng thái hiện tại của các gói thầu">#REF!</definedName>
    <definedName name="TRANO">#REF!</definedName>
    <definedName name="TRAVL">#REF!</definedName>
    <definedName name="TRUNGHI">#REF!</definedName>
    <definedName name="ttam">#REF!</definedName>
    <definedName name="ttao">#REF!</definedName>
    <definedName name="ttbt">#REF!</definedName>
    <definedName name="tthi">#REF!</definedName>
    <definedName name="ty_le">#REF!</definedName>
    <definedName name="ty_le_BTN">#REF!</definedName>
    <definedName name="Ty_le1">#REF!</definedName>
    <definedName name="u">#REF!</definedName>
    <definedName name="ư34y">#REF!</definedName>
    <definedName name="ưb2u45etm">#REF!</definedName>
    <definedName name="ưebty">#REF!</definedName>
    <definedName name="UP">#REF!,#REF!,#REF!,#REF!,#REF!,#REF!,#REF!,#REF!,#REF!,#REF!,#REF!</definedName>
    <definedName name="USD">15820</definedName>
    <definedName name="VARIINST">#REF!</definedName>
    <definedName name="VARIPURC">#REF!</definedName>
    <definedName name="vbnmb">#REF!</definedName>
    <definedName name="vc">#REF!</definedName>
    <definedName name="vccot">#REF!</definedName>
    <definedName name="vcdatd">#REF!</definedName>
    <definedName name="vcddx">#REF!</definedName>
    <definedName name="vctb">#REF!</definedName>
    <definedName name="Vf">#REF!</definedName>
    <definedName name="vital1">#REF!</definedName>
    <definedName name="vital2">#REF!</definedName>
    <definedName name="vital4">#REF!</definedName>
    <definedName name="vital5">#REF!</definedName>
    <definedName name="vital6">#REF!</definedName>
    <definedName name="vital8">#REF!</definedName>
    <definedName name="vital9">#REF!</definedName>
    <definedName name="Vlcap0.7">#REF!</definedName>
    <definedName name="VLcap1">#REF!</definedName>
    <definedName name="Vs">#REF!</definedName>
    <definedName name="vungnhapk">#REF!</definedName>
    <definedName name="vungnhapl">#REF!</definedName>
    <definedName name="vungxuatk">#REF!</definedName>
    <definedName name="vungxuatl">#REF!</definedName>
    <definedName name="vxgf">#REF!</definedName>
    <definedName name="W">#REF!</definedName>
    <definedName name="wb">#REF!</definedName>
    <definedName name="wrn.chi._.tiÆt." localSheetId="0" hidden="1">{#N/A,#N/A,FALSE,"Chi tiÆt"}</definedName>
    <definedName name="wrn.chi._.tiÆt." hidden="1">{#N/A,#N/A,FALSE,"Chi tiÆt"}</definedName>
    <definedName name="wup">#REF!</definedName>
    <definedName name="X">#REF!</definedName>
    <definedName name="x_list">#REF!</definedName>
    <definedName name="x1_">#REF!</definedName>
    <definedName name="x2_">#REF!</definedName>
    <definedName name="XA">#REF!</definedName>
    <definedName name="xaylap">#REF!</definedName>
    <definedName name="xcp">#REF!</definedName>
    <definedName name="xe">#REF!</definedName>
    <definedName name="xh">#REF!</definedName>
    <definedName name="xl">#REF!</definedName>
    <definedName name="xlc">#REF!</definedName>
    <definedName name="xlk">#REF!</definedName>
    <definedName name="xmp40">#REF!</definedName>
    <definedName name="xn">#REF!</definedName>
    <definedName name="xoanhapk">#REF!,#REF!</definedName>
    <definedName name="xoanhapl">#REF!,#REF!</definedName>
    <definedName name="xoaxuatk">#REF!</definedName>
    <definedName name="xoaxuatl">#REF!</definedName>
    <definedName name="y" localSheetId="0" hidden="1">{"'Sheet1'!$L$16"}</definedName>
    <definedName name="y" hidden="1">{"'Sheet1'!$L$16"}</definedName>
    <definedName name="y_list">#REF!</definedName>
    <definedName name="ycp">#REF!</definedName>
    <definedName name="YvNgam">#REF!</definedName>
    <definedName name="YvTreo">#REF!</definedName>
    <definedName name="ZYX">#REF!</definedName>
    <definedName name="ZZZ">#REF!</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933" i="1" l="1"/>
  <c r="G933" i="1"/>
  <c r="S31" i="14" l="1"/>
  <c r="S30" i="14"/>
  <c r="S28" i="14"/>
  <c r="S27" i="14"/>
  <c r="S25" i="14"/>
  <c r="S24" i="14"/>
  <c r="S23" i="14"/>
  <c r="S20" i="14"/>
  <c r="S19" i="14"/>
  <c r="S18" i="14"/>
  <c r="S17" i="14"/>
  <c r="S10" i="14"/>
  <c r="S9" i="14"/>
  <c r="S8" i="14"/>
  <c r="S7" i="14"/>
  <c r="H20" i="14"/>
  <c r="H19" i="14"/>
  <c r="H18" i="14"/>
  <c r="H16" i="14"/>
  <c r="J31" i="14" l="1"/>
  <c r="J30" i="14"/>
  <c r="J28" i="14"/>
  <c r="J27" i="14"/>
  <c r="J25" i="14"/>
  <c r="J24" i="14"/>
  <c r="J23" i="14"/>
  <c r="J20" i="14"/>
  <c r="J19" i="14"/>
  <c r="J18" i="14"/>
  <c r="J17" i="14"/>
  <c r="J10" i="14"/>
  <c r="J9" i="14"/>
  <c r="J8" i="14"/>
  <c r="J7" i="14"/>
  <c r="H1088" i="1"/>
  <c r="G1088" i="1"/>
  <c r="S22" i="14" l="1"/>
  <c r="H2383" i="1" l="1"/>
  <c r="G2383" i="1"/>
  <c r="H2382" i="1"/>
  <c r="G2382" i="1"/>
  <c r="E2217" i="1"/>
  <c r="E2218" i="1" s="1"/>
  <c r="E2219" i="1" s="1"/>
  <c r="E2220" i="1" s="1"/>
  <c r="H2149" i="1" l="1"/>
  <c r="G2149" i="1"/>
  <c r="H2148" i="1"/>
  <c r="G2148" i="1"/>
  <c r="H2147" i="1"/>
  <c r="G2147" i="1"/>
  <c r="H2146" i="1"/>
  <c r="G2146" i="1"/>
  <c r="H2080" i="1"/>
  <c r="G2080" i="1"/>
  <c r="H1119" i="1" l="1"/>
  <c r="G1119" i="1"/>
  <c r="H85" i="1" l="1"/>
  <c r="G85" i="1"/>
  <c r="H84" i="1"/>
  <c r="G84" i="1"/>
  <c r="H83" i="1"/>
  <c r="G83" i="1"/>
  <c r="H82" i="1"/>
  <c r="G82" i="1"/>
  <c r="H81" i="1"/>
  <c r="G81" i="1"/>
  <c r="H52" i="1"/>
  <c r="G52" i="1"/>
  <c r="H56" i="1" l="1"/>
  <c r="G56" i="1"/>
  <c r="H55" i="1"/>
  <c r="G55" i="1"/>
  <c r="H2652" i="1" l="1"/>
  <c r="G2652" i="1"/>
  <c r="H2651" i="1"/>
  <c r="G2651" i="1"/>
  <c r="H2650" i="1"/>
  <c r="G2650" i="1"/>
  <c r="H2648" i="1"/>
  <c r="G2648" i="1"/>
  <c r="H2647" i="1"/>
  <c r="G2647" i="1"/>
  <c r="H2646" i="1"/>
  <c r="G2646" i="1"/>
  <c r="H2645" i="1"/>
  <c r="G2645" i="1"/>
  <c r="H2644" i="1"/>
  <c r="G2644" i="1"/>
  <c r="H2642" i="1"/>
  <c r="G2642" i="1"/>
  <c r="H2641" i="1"/>
  <c r="G2641" i="1"/>
  <c r="H2640" i="1"/>
  <c r="G2640" i="1"/>
  <c r="H2637" i="1"/>
  <c r="G2637" i="1"/>
  <c r="H2636" i="1"/>
  <c r="G2636" i="1"/>
  <c r="H2635" i="1"/>
  <c r="G2635" i="1"/>
  <c r="H2634" i="1"/>
  <c r="G2634" i="1"/>
  <c r="H2633" i="1"/>
  <c r="G2633" i="1"/>
  <c r="H2631" i="1"/>
  <c r="G2631" i="1"/>
  <c r="H2630" i="1"/>
  <c r="G2630" i="1"/>
  <c r="H2629" i="1"/>
  <c r="G2629" i="1"/>
  <c r="H2626" i="1"/>
  <c r="G2626" i="1"/>
  <c r="H2625" i="1"/>
  <c r="G2625" i="1"/>
  <c r="H2623" i="1"/>
  <c r="G2623" i="1"/>
  <c r="H2622" i="1"/>
  <c r="G2622" i="1"/>
  <c r="H2621" i="1"/>
  <c r="G2621" i="1"/>
  <c r="H2619" i="1"/>
  <c r="G2619" i="1"/>
  <c r="H2618" i="1"/>
  <c r="G2618" i="1"/>
  <c r="H2615" i="1"/>
  <c r="G2615" i="1"/>
  <c r="H2614" i="1"/>
  <c r="G2614" i="1"/>
  <c r="H2613" i="1"/>
  <c r="G2613" i="1"/>
  <c r="H2611" i="1"/>
  <c r="G2611" i="1"/>
  <c r="H2610" i="1"/>
  <c r="G2610" i="1"/>
  <c r="H2609" i="1"/>
  <c r="G2609" i="1"/>
  <c r="H2607" i="1"/>
  <c r="G2607" i="1"/>
  <c r="H2606" i="1"/>
  <c r="G2606" i="1"/>
  <c r="H2603" i="1"/>
  <c r="G2603" i="1"/>
  <c r="H2602" i="1"/>
  <c r="G2602" i="1"/>
  <c r="H2601" i="1"/>
  <c r="G2601" i="1"/>
  <c r="H2599" i="1"/>
  <c r="G2599" i="1"/>
  <c r="H2597" i="1"/>
  <c r="G2597" i="1"/>
  <c r="H2595" i="1"/>
  <c r="G2595" i="1"/>
  <c r="H2594" i="1"/>
  <c r="G2594" i="1"/>
  <c r="H2593" i="1"/>
  <c r="G2593" i="1"/>
  <c r="H2592" i="1"/>
  <c r="G2592" i="1"/>
  <c r="H2591" i="1"/>
  <c r="G2591" i="1"/>
  <c r="H2589" i="1"/>
  <c r="G2589" i="1"/>
  <c r="H2588" i="1"/>
  <c r="G2588" i="1"/>
  <c r="H2587" i="1"/>
  <c r="G2587" i="1"/>
  <c r="H2586" i="1"/>
  <c r="G2586" i="1"/>
  <c r="H2585" i="1"/>
  <c r="G2585" i="1"/>
  <c r="H2584" i="1"/>
  <c r="G2584" i="1"/>
  <c r="H2582" i="1"/>
  <c r="G2582" i="1"/>
  <c r="H2580" i="1"/>
  <c r="G2580" i="1"/>
  <c r="H2579" i="1"/>
  <c r="G2579" i="1"/>
  <c r="H2578" i="1"/>
  <c r="G2578" i="1"/>
  <c r="H2576" i="1"/>
  <c r="G2576" i="1"/>
  <c r="H2574" i="1"/>
  <c r="G2574" i="1"/>
  <c r="H2572" i="1"/>
  <c r="G2572" i="1"/>
  <c r="H2571" i="1"/>
  <c r="G2571" i="1"/>
  <c r="H2570" i="1"/>
  <c r="G2570" i="1"/>
  <c r="H2569" i="1"/>
  <c r="G2569" i="1"/>
  <c r="H2568" i="1"/>
  <c r="G2568" i="1"/>
  <c r="H2566" i="1"/>
  <c r="G2566" i="1"/>
  <c r="H2565" i="1"/>
  <c r="G2565" i="1"/>
  <c r="H2564" i="1"/>
  <c r="G2564" i="1"/>
  <c r="H2563" i="1"/>
  <c r="G2563" i="1"/>
  <c r="H2562" i="1"/>
  <c r="G2562" i="1"/>
  <c r="H2561" i="1"/>
  <c r="G2561" i="1"/>
  <c r="H2559" i="1"/>
  <c r="G2559" i="1"/>
  <c r="H2557" i="1"/>
  <c r="G2557" i="1"/>
  <c r="H2556" i="1"/>
  <c r="G2556" i="1"/>
  <c r="H2554" i="1"/>
  <c r="G2554" i="1"/>
  <c r="H2553" i="1"/>
  <c r="G2553" i="1"/>
  <c r="H2552" i="1"/>
  <c r="G2552" i="1"/>
  <c r="H2551" i="1"/>
  <c r="G2551" i="1"/>
  <c r="H2550" i="1"/>
  <c r="G2550" i="1"/>
  <c r="H2549" i="1"/>
  <c r="G2549" i="1"/>
  <c r="H2547" i="1"/>
  <c r="G2547" i="1"/>
  <c r="H2545" i="1"/>
  <c r="G2545" i="1"/>
  <c r="H2543" i="1"/>
  <c r="G2543" i="1"/>
  <c r="H2541" i="1"/>
  <c r="G2541" i="1"/>
  <c r="H2540" i="1"/>
  <c r="G2540" i="1"/>
  <c r="H2538" i="1"/>
  <c r="G2538" i="1"/>
  <c r="H2537" i="1"/>
  <c r="G2537" i="1"/>
  <c r="H2536" i="1"/>
  <c r="G2536" i="1"/>
  <c r="H2533" i="1"/>
  <c r="G2533" i="1"/>
  <c r="H2532" i="1"/>
  <c r="G2532" i="1"/>
  <c r="H2531" i="1"/>
  <c r="G2531" i="1"/>
  <c r="H2530" i="1"/>
  <c r="G2530" i="1"/>
  <c r="H2528" i="1"/>
  <c r="G2528" i="1"/>
  <c r="H2527" i="1"/>
  <c r="G2527" i="1"/>
  <c r="H2526" i="1"/>
  <c r="G2526" i="1"/>
  <c r="H2525" i="1"/>
  <c r="G2525" i="1"/>
  <c r="H2524" i="1"/>
  <c r="G2524" i="1"/>
  <c r="H2523" i="1"/>
  <c r="G2523" i="1"/>
  <c r="H2522" i="1"/>
  <c r="G2522" i="1"/>
  <c r="H2520" i="1"/>
  <c r="G2520" i="1"/>
  <c r="H2519" i="1"/>
  <c r="G2519" i="1"/>
  <c r="H2518" i="1"/>
  <c r="G2518" i="1"/>
  <c r="H2515" i="1"/>
  <c r="G2515" i="1"/>
  <c r="H2513" i="1"/>
  <c r="G2513" i="1"/>
  <c r="H2512" i="1"/>
  <c r="G2512" i="1"/>
  <c r="H2509" i="1"/>
  <c r="G2509" i="1"/>
  <c r="H2508" i="1"/>
  <c r="G2508" i="1"/>
  <c r="H2507" i="1"/>
  <c r="G2507" i="1"/>
  <c r="H2506" i="1"/>
  <c r="G2506" i="1"/>
  <c r="H2504" i="1"/>
  <c r="G2504" i="1"/>
  <c r="H2503" i="1"/>
  <c r="G2503" i="1"/>
  <c r="H2501" i="1"/>
  <c r="G2501" i="1"/>
  <c r="H2499" i="1"/>
  <c r="G2499" i="1"/>
  <c r="H2497" i="1"/>
  <c r="G2497" i="1"/>
  <c r="H2496" i="1"/>
  <c r="G2496" i="1"/>
  <c r="H2492" i="1"/>
  <c r="G2492" i="1"/>
  <c r="H2491" i="1"/>
  <c r="G2491" i="1"/>
  <c r="H2490" i="1"/>
  <c r="G2490" i="1"/>
  <c r="H2489" i="1"/>
  <c r="G2489" i="1"/>
  <c r="H2487" i="1"/>
  <c r="G2487" i="1"/>
  <c r="H2486" i="1"/>
  <c r="G2486" i="1"/>
  <c r="H2485" i="1"/>
  <c r="G2485" i="1"/>
  <c r="H2484" i="1"/>
  <c r="G2484" i="1"/>
  <c r="H2483" i="1"/>
  <c r="G2483" i="1"/>
  <c r="H2482" i="1"/>
  <c r="G2482" i="1"/>
  <c r="H2481" i="1"/>
  <c r="G2481" i="1"/>
  <c r="H2479" i="1"/>
  <c r="G2479" i="1"/>
  <c r="H2478" i="1"/>
  <c r="G2478" i="1"/>
  <c r="H2477" i="1"/>
  <c r="G2477" i="1"/>
  <c r="H2475" i="1"/>
  <c r="G2475" i="1"/>
  <c r="H2473" i="1"/>
  <c r="G2473" i="1"/>
  <c r="H2472" i="1"/>
  <c r="G2472" i="1"/>
  <c r="H2469" i="1"/>
  <c r="G2469" i="1"/>
  <c r="H2468" i="1"/>
  <c r="G2468" i="1"/>
  <c r="H2467" i="1"/>
  <c r="G2467" i="1"/>
  <c r="H2466" i="1"/>
  <c r="G2466" i="1"/>
  <c r="H2464" i="1"/>
  <c r="G2464" i="1"/>
  <c r="H2463" i="1"/>
  <c r="G2463" i="1"/>
  <c r="H2461" i="1"/>
  <c r="G2461" i="1"/>
  <c r="H2459" i="1"/>
  <c r="G2459" i="1"/>
  <c r="H2457" i="1"/>
  <c r="G2457" i="1"/>
  <c r="H2456" i="1"/>
  <c r="G2456" i="1"/>
  <c r="H1943" i="1"/>
  <c r="G1943" i="1"/>
  <c r="H1905" i="1"/>
  <c r="G1905" i="1"/>
  <c r="H1898" i="1"/>
  <c r="G1898" i="1"/>
  <c r="H1882" i="1"/>
  <c r="G1882" i="1"/>
  <c r="H2510" i="1" l="1"/>
  <c r="G2494" i="1"/>
  <c r="H2470" i="1"/>
  <c r="G2454" i="1"/>
  <c r="G2470" i="1"/>
  <c r="G2510" i="1"/>
  <c r="G2493" i="1" s="1"/>
  <c r="H2454" i="1"/>
  <c r="H2453" i="1" s="1"/>
  <c r="H2494" i="1"/>
  <c r="H2493" i="1" s="1"/>
  <c r="G1865" i="1"/>
  <c r="H1866" i="1"/>
  <c r="H1865" i="1" s="1"/>
  <c r="H1869" i="1"/>
  <c r="G1869" i="1"/>
  <c r="G2453" i="1" l="1"/>
  <c r="H1047" i="1"/>
  <c r="G1047" i="1"/>
  <c r="H1046" i="1"/>
  <c r="G1046" i="1"/>
  <c r="H1044" i="1"/>
  <c r="G1044" i="1"/>
  <c r="H1043" i="1"/>
  <c r="G1043" i="1"/>
  <c r="H1042" i="1"/>
  <c r="G1042" i="1"/>
  <c r="H1041" i="1"/>
  <c r="G1041" i="1"/>
  <c r="H1040" i="1"/>
  <c r="G1040" i="1"/>
  <c r="H1039" i="1"/>
  <c r="G1039" i="1"/>
  <c r="H1038" i="1"/>
  <c r="G1038" i="1"/>
  <c r="H1037" i="1"/>
  <c r="G1037" i="1"/>
  <c r="H1036" i="1"/>
  <c r="G1036" i="1"/>
  <c r="H1035" i="1"/>
  <c r="G1035" i="1"/>
  <c r="G1240" i="1"/>
  <c r="H1240" i="1"/>
  <c r="H1275" i="1"/>
  <c r="G1275" i="1"/>
  <c r="H1274" i="1"/>
  <c r="G1274" i="1"/>
  <c r="H1272" i="1"/>
  <c r="G1272" i="1"/>
  <c r="H1271" i="1"/>
  <c r="G1271" i="1"/>
  <c r="H1270" i="1"/>
  <c r="G1270" i="1"/>
  <c r="H1269" i="1"/>
  <c r="G1269" i="1"/>
  <c r="H1268" i="1"/>
  <c r="G1268" i="1"/>
  <c r="H1267" i="1"/>
  <c r="G1267" i="1"/>
  <c r="H1266" i="1"/>
  <c r="G1266" i="1"/>
  <c r="H1265" i="1"/>
  <c r="G1265" i="1"/>
  <c r="H1264" i="1"/>
  <c r="G1264" i="1"/>
  <c r="H1263" i="1"/>
  <c r="G1263" i="1"/>
  <c r="H1262" i="1"/>
  <c r="G1262" i="1"/>
  <c r="H1261" i="1"/>
  <c r="G1261" i="1"/>
  <c r="H1260" i="1"/>
  <c r="G1260" i="1"/>
  <c r="H1259" i="1"/>
  <c r="G1259" i="1"/>
  <c r="H1258" i="1"/>
  <c r="G1258" i="1"/>
  <c r="H1257" i="1"/>
  <c r="G1257" i="1"/>
  <c r="H1256" i="1"/>
  <c r="G1256" i="1"/>
  <c r="H1255" i="1"/>
  <c r="G1255" i="1"/>
  <c r="H1252" i="1"/>
  <c r="G1252" i="1"/>
  <c r="G1251" i="1" s="1"/>
  <c r="H1251" i="1"/>
  <c r="H1250" i="1"/>
  <c r="G1250" i="1"/>
  <c r="H1249" i="1"/>
  <c r="G1249" i="1"/>
  <c r="H1248" i="1"/>
  <c r="G1248" i="1"/>
  <c r="H1247" i="1"/>
  <c r="G1247" i="1"/>
  <c r="H1246" i="1"/>
  <c r="G1246" i="1"/>
  <c r="H1245" i="1"/>
  <c r="G1245" i="1"/>
  <c r="H1244" i="1"/>
  <c r="G1244" i="1"/>
  <c r="H1243" i="1"/>
  <c r="G1243" i="1"/>
  <c r="H1242" i="1"/>
  <c r="G1242" i="1"/>
  <c r="H1241" i="1"/>
  <c r="G1241" i="1"/>
  <c r="G1239" i="1" l="1"/>
  <c r="H1239" i="1"/>
  <c r="G1045" i="1"/>
  <c r="G1034" i="1" s="1"/>
  <c r="G1033" i="1" s="1"/>
  <c r="H1045" i="1"/>
  <c r="H1034" i="1"/>
  <c r="H1033" i="1" s="1"/>
  <c r="H1253" i="1"/>
  <c r="H1238" i="1" s="1"/>
  <c r="G1253" i="1"/>
  <c r="G1238" i="1" s="1"/>
  <c r="G150" i="1" l="1"/>
  <c r="G151" i="1"/>
  <c r="H147" i="1"/>
  <c r="G147" i="1"/>
  <c r="H146" i="1"/>
  <c r="G146" i="1"/>
  <c r="H101" i="1"/>
  <c r="G101" i="1"/>
  <c r="H99" i="1"/>
  <c r="G99" i="1"/>
  <c r="H1844" i="1" l="1"/>
  <c r="G1844" i="1"/>
  <c r="H2357" i="1" l="1"/>
  <c r="G2357" i="1"/>
  <c r="H2356" i="1"/>
  <c r="G2356" i="1"/>
  <c r="H2355" i="1"/>
  <c r="G2355" i="1"/>
  <c r="H2354" i="1"/>
  <c r="G2354" i="1"/>
  <c r="H2353" i="1"/>
  <c r="G2353" i="1"/>
  <c r="H2352" i="1"/>
  <c r="G2352" i="1"/>
  <c r="H2351" i="1"/>
  <c r="G2351" i="1"/>
  <c r="H2350" i="1"/>
  <c r="G2350" i="1"/>
  <c r="H2349" i="1"/>
  <c r="G2349" i="1"/>
  <c r="H2348" i="1"/>
  <c r="G2348" i="1"/>
  <c r="H2347" i="1"/>
  <c r="G2347" i="1"/>
  <c r="H2345" i="1"/>
  <c r="G2345" i="1"/>
  <c r="H2344" i="1"/>
  <c r="G2344" i="1"/>
  <c r="H2343" i="1"/>
  <c r="G2343" i="1"/>
  <c r="H2342" i="1"/>
  <c r="G2342" i="1"/>
  <c r="H2341" i="1"/>
  <c r="G2341" i="1"/>
  <c r="H2339" i="1"/>
  <c r="G2339" i="1"/>
  <c r="H2338" i="1"/>
  <c r="G2338" i="1"/>
  <c r="H2337" i="1"/>
  <c r="G2337" i="1"/>
  <c r="H2336" i="1"/>
  <c r="G2336" i="1"/>
  <c r="H2335" i="1"/>
  <c r="G2335" i="1"/>
  <c r="H2334" i="1"/>
  <c r="G2334" i="1"/>
  <c r="H2333" i="1"/>
  <c r="G2333" i="1"/>
  <c r="H2332" i="1"/>
  <c r="G2332" i="1"/>
  <c r="H2331" i="1"/>
  <c r="G2331" i="1"/>
  <c r="H2330" i="1"/>
  <c r="G2330" i="1"/>
  <c r="H2329" i="1"/>
  <c r="G2329" i="1"/>
  <c r="H2327" i="1"/>
  <c r="G2327" i="1"/>
  <c r="H2326" i="1"/>
  <c r="G2326" i="1"/>
  <c r="H2325" i="1"/>
  <c r="G2325" i="1"/>
  <c r="H2324" i="1"/>
  <c r="G2324" i="1"/>
  <c r="H2323" i="1"/>
  <c r="G2323" i="1"/>
  <c r="H2322" i="1"/>
  <c r="G2322" i="1"/>
  <c r="H2321" i="1"/>
  <c r="G2321" i="1"/>
  <c r="H2320" i="1"/>
  <c r="G2320" i="1"/>
  <c r="H2319" i="1"/>
  <c r="G2319" i="1"/>
  <c r="H2318" i="1"/>
  <c r="G2318" i="1"/>
  <c r="H2316" i="1"/>
  <c r="G2316" i="1"/>
  <c r="H2315" i="1"/>
  <c r="G2315" i="1"/>
  <c r="H2314" i="1"/>
  <c r="G2314" i="1"/>
  <c r="H2313" i="1"/>
  <c r="G2313" i="1"/>
  <c r="H2312" i="1"/>
  <c r="G2312" i="1"/>
  <c r="H2311" i="1"/>
  <c r="G2311" i="1"/>
  <c r="H2310" i="1"/>
  <c r="G2310" i="1"/>
  <c r="H2309" i="1"/>
  <c r="G2309" i="1"/>
  <c r="H2308" i="1"/>
  <c r="G2308" i="1"/>
  <c r="H2307" i="1"/>
  <c r="G2307" i="1"/>
  <c r="H2306" i="1"/>
  <c r="G2306" i="1"/>
  <c r="H2305" i="1"/>
  <c r="G2305" i="1"/>
  <c r="H2304" i="1"/>
  <c r="G2304" i="1"/>
  <c r="H2303" i="1"/>
  <c r="G2303" i="1"/>
  <c r="H2301" i="1"/>
  <c r="G2301" i="1"/>
  <c r="H2300" i="1"/>
  <c r="G2300" i="1"/>
  <c r="H2299" i="1"/>
  <c r="G2299" i="1"/>
  <c r="H2298" i="1"/>
  <c r="G2298" i="1"/>
  <c r="H2297" i="1"/>
  <c r="G2297" i="1"/>
  <c r="H2296" i="1"/>
  <c r="G2296" i="1"/>
  <c r="H2295" i="1"/>
  <c r="G2295" i="1"/>
  <c r="H2294" i="1"/>
  <c r="G2294" i="1"/>
  <c r="H2293" i="1"/>
  <c r="G2293" i="1"/>
  <c r="H2292" i="1"/>
  <c r="G2292" i="1"/>
  <c r="H2291" i="1"/>
  <c r="G2291" i="1"/>
  <c r="H2290" i="1"/>
  <c r="G2290" i="1"/>
  <c r="H2289" i="1"/>
  <c r="G2289" i="1"/>
  <c r="H2288" i="1"/>
  <c r="G2288" i="1"/>
  <c r="H2286" i="1"/>
  <c r="G2286" i="1"/>
  <c r="H2285" i="1"/>
  <c r="G2285" i="1"/>
  <c r="H2284" i="1"/>
  <c r="G2284" i="1"/>
  <c r="H2283" i="1"/>
  <c r="G2283" i="1"/>
  <c r="H2282" i="1"/>
  <c r="G2282" i="1"/>
  <c r="H2281" i="1"/>
  <c r="G2281" i="1"/>
  <c r="H2280" i="1"/>
  <c r="G2280" i="1"/>
  <c r="H2279" i="1"/>
  <c r="G2279" i="1"/>
  <c r="H2278" i="1"/>
  <c r="G2278" i="1"/>
  <c r="H2277" i="1"/>
  <c r="G2277" i="1"/>
  <c r="H2276" i="1"/>
  <c r="G2276" i="1"/>
  <c r="H2275" i="1"/>
  <c r="G2275" i="1"/>
  <c r="H2274" i="1"/>
  <c r="G2274" i="1"/>
  <c r="H2273" i="1"/>
  <c r="G2273" i="1"/>
  <c r="H2272" i="1"/>
  <c r="G2272" i="1"/>
  <c r="H2271" i="1"/>
  <c r="G2271" i="1"/>
  <c r="H2270" i="1"/>
  <c r="G2270" i="1"/>
  <c r="H2269" i="1"/>
  <c r="G2269" i="1"/>
  <c r="H2268" i="1"/>
  <c r="G2268" i="1"/>
  <c r="H2267" i="1"/>
  <c r="G2267" i="1"/>
  <c r="H2266" i="1"/>
  <c r="G2266" i="1"/>
  <c r="H2264" i="1"/>
  <c r="G2264" i="1"/>
  <c r="H2263" i="1"/>
  <c r="G2263" i="1"/>
  <c r="H2262" i="1"/>
  <c r="G2262" i="1"/>
  <c r="H2261" i="1"/>
  <c r="G2261" i="1"/>
  <c r="H2260" i="1"/>
  <c r="G2260" i="1"/>
  <c r="H2259" i="1"/>
  <c r="G2259" i="1"/>
  <c r="H2258" i="1"/>
  <c r="G2258" i="1"/>
  <c r="H2257" i="1"/>
  <c r="G2257" i="1"/>
  <c r="H2256" i="1"/>
  <c r="G2256" i="1"/>
  <c r="H2255" i="1"/>
  <c r="G2255" i="1"/>
  <c r="H2254" i="1"/>
  <c r="G2254" i="1"/>
  <c r="H2253" i="1"/>
  <c r="G2253" i="1"/>
  <c r="H2252" i="1"/>
  <c r="G2252" i="1"/>
  <c r="H2251" i="1"/>
  <c r="G2251" i="1"/>
  <c r="H2250" i="1"/>
  <c r="G2250" i="1"/>
  <c r="H2249" i="1"/>
  <c r="G2249" i="1"/>
  <c r="H2248" i="1"/>
  <c r="G2248" i="1"/>
  <c r="H2247" i="1"/>
  <c r="G2247" i="1"/>
  <c r="H2246" i="1"/>
  <c r="G2246" i="1"/>
  <c r="H2245" i="1"/>
  <c r="G2245" i="1"/>
  <c r="H2244" i="1"/>
  <c r="G2244" i="1"/>
  <c r="H2242" i="1"/>
  <c r="G2242" i="1"/>
  <c r="H2241" i="1"/>
  <c r="G2241" i="1"/>
  <c r="H2240" i="1"/>
  <c r="G2240" i="1"/>
  <c r="H2239" i="1"/>
  <c r="G2239" i="1"/>
  <c r="H2238" i="1"/>
  <c r="G2238" i="1"/>
  <c r="H2237" i="1"/>
  <c r="G2237" i="1"/>
  <c r="H2236" i="1"/>
  <c r="G2236" i="1"/>
  <c r="H2235" i="1"/>
  <c r="G2235" i="1"/>
  <c r="H2234" i="1"/>
  <c r="G2234" i="1"/>
  <c r="H2233" i="1"/>
  <c r="G2233" i="1"/>
  <c r="H2232" i="1"/>
  <c r="G2232" i="1"/>
  <c r="H2231" i="1"/>
  <c r="G2231" i="1"/>
  <c r="H2230" i="1"/>
  <c r="G2230" i="1"/>
  <c r="H2229" i="1"/>
  <c r="G2229" i="1"/>
  <c r="H2228" i="1"/>
  <c r="G2228" i="1"/>
  <c r="H2227" i="1"/>
  <c r="G2227" i="1"/>
  <c r="H2226" i="1"/>
  <c r="G2226" i="1"/>
  <c r="H2225" i="1"/>
  <c r="G2225" i="1"/>
  <c r="H2224" i="1"/>
  <c r="G2224" i="1"/>
  <c r="H2223" i="1"/>
  <c r="G2223" i="1"/>
  <c r="H2222" i="1"/>
  <c r="G2222" i="1"/>
  <c r="H2220" i="1"/>
  <c r="G2220" i="1"/>
  <c r="H2219" i="1"/>
  <c r="G2219" i="1"/>
  <c r="H2218" i="1"/>
  <c r="G2218" i="1"/>
  <c r="H2217" i="1"/>
  <c r="G2217" i="1"/>
  <c r="H2216" i="1"/>
  <c r="G2216" i="1"/>
  <c r="H2215" i="1"/>
  <c r="G2215" i="1"/>
  <c r="H2214" i="1"/>
  <c r="G2214" i="1"/>
  <c r="H2213" i="1"/>
  <c r="G2213" i="1"/>
  <c r="H2212" i="1"/>
  <c r="G2212" i="1"/>
  <c r="H2211" i="1"/>
  <c r="G2211" i="1"/>
  <c r="H2210" i="1"/>
  <c r="G2210" i="1"/>
  <c r="H2209" i="1"/>
  <c r="G2209" i="1"/>
  <c r="H2208" i="1"/>
  <c r="G2208" i="1"/>
  <c r="H2207" i="1"/>
  <c r="G2207" i="1"/>
  <c r="H2206" i="1"/>
  <c r="G2206" i="1"/>
  <c r="H2205" i="1"/>
  <c r="G2205" i="1"/>
  <c r="H2204" i="1"/>
  <c r="G2204" i="1"/>
  <c r="H2203" i="1"/>
  <c r="G2203" i="1"/>
  <c r="H2202" i="1"/>
  <c r="G2202" i="1"/>
  <c r="H2201" i="1"/>
  <c r="G2201" i="1"/>
  <c r="H2200" i="1"/>
  <c r="G2200" i="1"/>
  <c r="H2198" i="1"/>
  <c r="G2198" i="1"/>
  <c r="H2197" i="1"/>
  <c r="G2197" i="1"/>
  <c r="H2195" i="1"/>
  <c r="G2195" i="1"/>
  <c r="H2194" i="1"/>
  <c r="G2194" i="1"/>
  <c r="H2193" i="1"/>
  <c r="G2193" i="1"/>
  <c r="H2192" i="1"/>
  <c r="G2192" i="1"/>
  <c r="H2191" i="1"/>
  <c r="G2191" i="1"/>
  <c r="H2190" i="1"/>
  <c r="G2190" i="1"/>
  <c r="H2189" i="1"/>
  <c r="G2189" i="1"/>
  <c r="H2188" i="1"/>
  <c r="G2188" i="1"/>
  <c r="H2187" i="1"/>
  <c r="G2187" i="1"/>
  <c r="H2186" i="1"/>
  <c r="G2186" i="1"/>
  <c r="H2185" i="1"/>
  <c r="G2185" i="1"/>
  <c r="H2184" i="1"/>
  <c r="G2184" i="1"/>
  <c r="H2183" i="1"/>
  <c r="G2183" i="1"/>
  <c r="H2182" i="1"/>
  <c r="G2182" i="1"/>
  <c r="H2181" i="1"/>
  <c r="G2181" i="1"/>
  <c r="H2180" i="1"/>
  <c r="G2180" i="1"/>
  <c r="H2179" i="1"/>
  <c r="G2179" i="1"/>
  <c r="H2178" i="1"/>
  <c r="G2178" i="1"/>
  <c r="H2177" i="1"/>
  <c r="G2177" i="1"/>
  <c r="G2328" i="1" l="1"/>
  <c r="H2328" i="1"/>
  <c r="G2199" i="1"/>
  <c r="H2199" i="1"/>
  <c r="G2346" i="1"/>
  <c r="H2346" i="1"/>
  <c r="G2340" i="1"/>
  <c r="H2340" i="1"/>
  <c r="G2265" i="1"/>
  <c r="H2265" i="1"/>
  <c r="G2317" i="1"/>
  <c r="H2317" i="1"/>
  <c r="G2221" i="1"/>
  <c r="H2221" i="1"/>
  <c r="G2243" i="1"/>
  <c r="H2243" i="1"/>
  <c r="G2196" i="1"/>
  <c r="G2176" i="1"/>
  <c r="H2176" i="1"/>
  <c r="H2196" i="1"/>
  <c r="H2287" i="1"/>
  <c r="G2287" i="1"/>
  <c r="G2302" i="1"/>
  <c r="H2302" i="1"/>
  <c r="H2165" i="1"/>
  <c r="G2165" i="1"/>
  <c r="H2164" i="1"/>
  <c r="G2164" i="1"/>
  <c r="H2163" i="1"/>
  <c r="G2163" i="1"/>
  <c r="H2162" i="1"/>
  <c r="G2162" i="1"/>
  <c r="H2161" i="1"/>
  <c r="G2161" i="1"/>
  <c r="H2160" i="1"/>
  <c r="G2160" i="1"/>
  <c r="H2159" i="1"/>
  <c r="G2159" i="1"/>
  <c r="H2158" i="1"/>
  <c r="G2158" i="1"/>
  <c r="H2157" i="1"/>
  <c r="G2157" i="1"/>
  <c r="H2174" i="1"/>
  <c r="G2174" i="1"/>
  <c r="H2173" i="1"/>
  <c r="G2173" i="1"/>
  <c r="H2172" i="1"/>
  <c r="G2172" i="1"/>
  <c r="H2171" i="1"/>
  <c r="G2171" i="1"/>
  <c r="H2170" i="1"/>
  <c r="G2170" i="1"/>
  <c r="H2169" i="1"/>
  <c r="G2169" i="1"/>
  <c r="H2168" i="1"/>
  <c r="G2168" i="1"/>
  <c r="H2167" i="1"/>
  <c r="G2167" i="1"/>
  <c r="H2166" i="1"/>
  <c r="G2166" i="1"/>
  <c r="H69" i="1" l="1"/>
  <c r="G69" i="1"/>
  <c r="H179" i="1" l="1"/>
  <c r="G179" i="1"/>
  <c r="H178" i="1"/>
  <c r="G178" i="1"/>
  <c r="H177" i="1"/>
  <c r="G177" i="1"/>
  <c r="H145" i="1"/>
  <c r="G145" i="1"/>
  <c r="H144" i="1"/>
  <c r="G144" i="1"/>
  <c r="H143" i="1"/>
  <c r="G143" i="1"/>
  <c r="H142" i="1"/>
  <c r="G142" i="1"/>
  <c r="H215" i="1"/>
  <c r="G215" i="1"/>
  <c r="H214" i="1"/>
  <c r="H211" i="1"/>
  <c r="G211" i="1"/>
  <c r="H210" i="1"/>
  <c r="G210" i="1"/>
  <c r="H208" i="1"/>
  <c r="G208" i="1"/>
  <c r="H207" i="1"/>
  <c r="G205" i="1"/>
  <c r="H204" i="1"/>
  <c r="G214" i="1" l="1"/>
  <c r="G207" i="1"/>
  <c r="H205" i="1"/>
  <c r="G204" i="1"/>
  <c r="H246" i="1"/>
  <c r="G246" i="1"/>
  <c r="H245" i="1"/>
  <c r="G245" i="1"/>
  <c r="H244" i="1"/>
  <c r="G244" i="1"/>
  <c r="H243" i="1"/>
  <c r="G243" i="1"/>
  <c r="H173" i="1"/>
  <c r="G173" i="1"/>
  <c r="H172" i="1"/>
  <c r="G172" i="1"/>
  <c r="H176" i="1" l="1"/>
  <c r="G176" i="1"/>
  <c r="H175" i="1"/>
  <c r="G175" i="1"/>
  <c r="H170" i="1"/>
  <c r="G170" i="1"/>
  <c r="H169" i="1"/>
  <c r="G169" i="1"/>
  <c r="H141" i="1"/>
  <c r="G141" i="1"/>
  <c r="H140" i="1"/>
  <c r="G140" i="1"/>
  <c r="H138" i="1"/>
  <c r="G138" i="1"/>
  <c r="H137" i="1"/>
  <c r="G137" i="1"/>
  <c r="H135" i="1"/>
  <c r="G135" i="1"/>
  <c r="H134" i="1"/>
  <c r="G134" i="1"/>
  <c r="H132" i="1" l="1"/>
  <c r="G132" i="1"/>
  <c r="H131" i="1"/>
  <c r="G131" i="1"/>
  <c r="H189" i="1" l="1"/>
  <c r="G189" i="1"/>
  <c r="H188" i="1"/>
  <c r="G188" i="1"/>
  <c r="H187" i="1"/>
  <c r="G187" i="1"/>
  <c r="H247" i="1"/>
  <c r="G247" i="1"/>
  <c r="H221" i="1" l="1"/>
  <c r="G221" i="1"/>
  <c r="H202" i="1"/>
  <c r="G202" i="1"/>
  <c r="H195" i="1"/>
  <c r="G195" i="1"/>
  <c r="H2452" i="1" l="1"/>
  <c r="G2452" i="1"/>
  <c r="H1828" i="1"/>
  <c r="G1828" i="1"/>
  <c r="H1827" i="1"/>
  <c r="G1827" i="1"/>
  <c r="H1632" i="1"/>
  <c r="G1632" i="1"/>
  <c r="H1631" i="1"/>
  <c r="G1631" i="1"/>
  <c r="G985" i="1"/>
  <c r="G984" i="1"/>
  <c r="H1062" i="1"/>
  <c r="G1062" i="1"/>
  <c r="H1061" i="1"/>
  <c r="G1061" i="1"/>
  <c r="H985" i="1"/>
  <c r="H984" i="1"/>
  <c r="G979" i="1"/>
  <c r="H1023" i="1"/>
  <c r="G1023" i="1"/>
  <c r="H1022" i="1"/>
  <c r="G1022" i="1"/>
  <c r="H1020" i="1"/>
  <c r="G1020" i="1"/>
  <c r="H1019" i="1"/>
  <c r="G1019" i="1"/>
  <c r="H1018" i="1"/>
  <c r="G1018" i="1"/>
  <c r="H1017" i="1"/>
  <c r="G1017" i="1"/>
  <c r="H1016" i="1"/>
  <c r="G1016" i="1"/>
  <c r="H1015" i="1"/>
  <c r="G1015" i="1"/>
  <c r="H1014" i="1"/>
  <c r="G1014" i="1"/>
  <c r="H1013" i="1"/>
  <c r="G1013" i="1"/>
  <c r="H1012" i="1"/>
  <c r="G1012" i="1"/>
  <c r="H1011" i="1"/>
  <c r="G1011" i="1"/>
  <c r="H1010" i="1"/>
  <c r="G1010" i="1"/>
  <c r="H1009" i="1"/>
  <c r="G1009" i="1"/>
  <c r="H1008" i="1"/>
  <c r="G1008" i="1"/>
  <c r="H1007" i="1"/>
  <c r="G1007" i="1"/>
  <c r="H1006" i="1"/>
  <c r="G1006" i="1"/>
  <c r="H1005" i="1"/>
  <c r="G1005" i="1"/>
  <c r="H1004" i="1"/>
  <c r="G1004" i="1"/>
  <c r="H1003" i="1"/>
  <c r="G1003" i="1"/>
  <c r="H1000" i="1"/>
  <c r="H999" i="1" s="1"/>
  <c r="G1000" i="1"/>
  <c r="G999" i="1" s="1"/>
  <c r="H998" i="1"/>
  <c r="G998" i="1"/>
  <c r="H997" i="1"/>
  <c r="G997" i="1"/>
  <c r="H996" i="1"/>
  <c r="G996" i="1"/>
  <c r="H995" i="1"/>
  <c r="G995" i="1"/>
  <c r="H994" i="1"/>
  <c r="G994" i="1"/>
  <c r="H993" i="1"/>
  <c r="G993" i="1"/>
  <c r="H992" i="1"/>
  <c r="G992" i="1"/>
  <c r="H991" i="1"/>
  <c r="G991" i="1"/>
  <c r="H990" i="1"/>
  <c r="G990" i="1"/>
  <c r="H989" i="1"/>
  <c r="G989" i="1"/>
  <c r="H988" i="1"/>
  <c r="G988" i="1"/>
  <c r="G1766" i="1"/>
  <c r="H1766" i="1"/>
  <c r="G1767" i="1"/>
  <c r="H1767" i="1"/>
  <c r="G1768" i="1"/>
  <c r="H1768" i="1"/>
  <c r="G1769" i="1"/>
  <c r="H1769" i="1"/>
  <c r="G1770" i="1"/>
  <c r="H1770" i="1"/>
  <c r="G1771" i="1"/>
  <c r="H1771" i="1"/>
  <c r="G1772" i="1"/>
  <c r="H1772" i="1"/>
  <c r="G1773" i="1"/>
  <c r="H1773" i="1"/>
  <c r="G1725" i="1"/>
  <c r="H1725" i="1"/>
  <c r="G1726" i="1"/>
  <c r="H1726" i="1"/>
  <c r="G1727" i="1"/>
  <c r="H1727" i="1"/>
  <c r="G1728" i="1"/>
  <c r="H1728" i="1"/>
  <c r="G1729" i="1"/>
  <c r="H1729" i="1"/>
  <c r="G1730" i="1"/>
  <c r="H1730" i="1"/>
  <c r="G1731" i="1"/>
  <c r="H1731" i="1"/>
  <c r="G1732" i="1"/>
  <c r="H1732" i="1"/>
  <c r="G1733" i="1"/>
  <c r="H1733" i="1"/>
  <c r="G1734" i="1"/>
  <c r="H1734" i="1"/>
  <c r="G1735" i="1"/>
  <c r="H1735" i="1"/>
  <c r="G1736" i="1"/>
  <c r="H1736" i="1"/>
  <c r="G1737" i="1"/>
  <c r="H1737" i="1"/>
  <c r="G1738" i="1"/>
  <c r="H1738" i="1"/>
  <c r="G1739" i="1"/>
  <c r="H1739" i="1"/>
  <c r="G1740" i="1"/>
  <c r="H1740" i="1"/>
  <c r="G1741" i="1"/>
  <c r="H1741" i="1"/>
  <c r="G1742" i="1"/>
  <c r="H1742" i="1"/>
  <c r="G1743" i="1"/>
  <c r="H1743" i="1"/>
  <c r="G1744" i="1"/>
  <c r="H1744" i="1"/>
  <c r="G1745" i="1"/>
  <c r="H1745" i="1"/>
  <c r="G1746" i="1"/>
  <c r="H1746" i="1"/>
  <c r="G1747" i="1"/>
  <c r="H1747" i="1"/>
  <c r="G1748" i="1"/>
  <c r="H1748" i="1"/>
  <c r="G1749" i="1"/>
  <c r="H1749" i="1"/>
  <c r="G1750" i="1"/>
  <c r="H1750" i="1"/>
  <c r="H1825" i="1"/>
  <c r="G1825" i="1"/>
  <c r="H1824" i="1"/>
  <c r="G1824" i="1"/>
  <c r="H1823" i="1"/>
  <c r="G1823" i="1"/>
  <c r="H1822" i="1"/>
  <c r="G1822" i="1"/>
  <c r="H1821" i="1"/>
  <c r="G1821" i="1"/>
  <c r="H1820" i="1"/>
  <c r="G1820" i="1"/>
  <c r="H1819" i="1"/>
  <c r="G1819" i="1"/>
  <c r="H1817" i="1"/>
  <c r="G1817" i="1"/>
  <c r="H1816" i="1"/>
  <c r="G1816" i="1"/>
  <c r="H1815" i="1"/>
  <c r="G1815" i="1"/>
  <c r="H1814" i="1"/>
  <c r="G1814" i="1"/>
  <c r="H1813" i="1"/>
  <c r="G1813" i="1"/>
  <c r="H1812" i="1"/>
  <c r="G1812" i="1"/>
  <c r="H1811" i="1"/>
  <c r="G1811" i="1"/>
  <c r="H1809" i="1"/>
  <c r="G1809" i="1"/>
  <c r="H1808" i="1"/>
  <c r="G1808" i="1"/>
  <c r="H1807" i="1"/>
  <c r="G1807" i="1"/>
  <c r="H1806" i="1"/>
  <c r="G1806" i="1"/>
  <c r="H1805" i="1"/>
  <c r="G1805" i="1"/>
  <c r="H1804" i="1"/>
  <c r="G1804" i="1"/>
  <c r="H1803" i="1"/>
  <c r="G1803" i="1"/>
  <c r="H1802" i="1"/>
  <c r="G1802" i="1"/>
  <c r="H1801" i="1"/>
  <c r="G1801" i="1"/>
  <c r="H1800" i="1"/>
  <c r="G1800" i="1"/>
  <c r="H1799" i="1"/>
  <c r="G1799" i="1"/>
  <c r="H1798" i="1"/>
  <c r="G1798" i="1"/>
  <c r="H1797" i="1"/>
  <c r="G1797" i="1"/>
  <c r="H1795" i="1"/>
  <c r="G1795" i="1"/>
  <c r="H1794" i="1"/>
  <c r="G1794" i="1"/>
  <c r="H1793" i="1"/>
  <c r="G1793" i="1"/>
  <c r="H1792" i="1"/>
  <c r="G1792" i="1"/>
  <c r="H1791" i="1"/>
  <c r="G1791" i="1"/>
  <c r="H1790" i="1"/>
  <c r="G1790" i="1"/>
  <c r="H1789" i="1"/>
  <c r="G1789" i="1"/>
  <c r="H1788" i="1"/>
  <c r="G1788" i="1"/>
  <c r="H1787" i="1"/>
  <c r="G1787" i="1"/>
  <c r="H1786" i="1"/>
  <c r="G1786" i="1"/>
  <c r="H1785" i="1"/>
  <c r="G1785" i="1"/>
  <c r="H1784" i="1"/>
  <c r="G1784" i="1"/>
  <c r="H1782" i="1"/>
  <c r="G1782" i="1"/>
  <c r="H1781" i="1"/>
  <c r="G1781" i="1"/>
  <c r="H1780" i="1"/>
  <c r="G1780" i="1"/>
  <c r="H1779" i="1"/>
  <c r="G1779" i="1"/>
  <c r="H1778" i="1"/>
  <c r="G1778" i="1"/>
  <c r="H1777" i="1"/>
  <c r="G1777" i="1"/>
  <c r="H1776" i="1"/>
  <c r="G1776" i="1"/>
  <c r="H1775" i="1"/>
  <c r="G1775" i="1"/>
  <c r="H1762" i="1"/>
  <c r="G1762" i="1"/>
  <c r="H1761" i="1"/>
  <c r="G1761" i="1"/>
  <c r="H1760" i="1"/>
  <c r="G1760" i="1"/>
  <c r="H1759" i="1"/>
  <c r="G1759" i="1"/>
  <c r="H1758" i="1"/>
  <c r="G1758" i="1"/>
  <c r="H1757" i="1"/>
  <c r="G1757" i="1"/>
  <c r="H1756" i="1"/>
  <c r="G1756" i="1"/>
  <c r="H1755" i="1"/>
  <c r="G1755" i="1"/>
  <c r="H1754" i="1"/>
  <c r="G1754" i="1"/>
  <c r="H1753" i="1"/>
  <c r="G1753" i="1"/>
  <c r="H979" i="1"/>
  <c r="G980" i="1"/>
  <c r="H980" i="1"/>
  <c r="G981" i="1"/>
  <c r="H981" i="1"/>
  <c r="H1030" i="1"/>
  <c r="G1030" i="1"/>
  <c r="H1029" i="1"/>
  <c r="G1029" i="1"/>
  <c r="H1028" i="1"/>
  <c r="G1028" i="1"/>
  <c r="H1027" i="1"/>
  <c r="G1027" i="1"/>
  <c r="H1026" i="1"/>
  <c r="H1025" i="1" s="1"/>
  <c r="G1026" i="1"/>
  <c r="H982" i="1"/>
  <c r="G982" i="1"/>
  <c r="H978" i="1"/>
  <c r="G978" i="1"/>
  <c r="H977" i="1"/>
  <c r="G977" i="1"/>
  <c r="H976" i="1"/>
  <c r="G976" i="1"/>
  <c r="H975" i="1"/>
  <c r="G975" i="1"/>
  <c r="H974" i="1"/>
  <c r="G974" i="1"/>
  <c r="H973" i="1"/>
  <c r="G973" i="1"/>
  <c r="H972" i="1"/>
  <c r="H971" i="1"/>
  <c r="G971" i="1"/>
  <c r="H970" i="1"/>
  <c r="G970" i="1"/>
  <c r="H969" i="1"/>
  <c r="G969" i="1"/>
  <c r="H968" i="1"/>
  <c r="G968" i="1"/>
  <c r="H967" i="1"/>
  <c r="G967" i="1"/>
  <c r="H966" i="1"/>
  <c r="G966" i="1"/>
  <c r="H965" i="1"/>
  <c r="G965" i="1"/>
  <c r="H964" i="1"/>
  <c r="G964" i="1"/>
  <c r="H963" i="1"/>
  <c r="G963" i="1"/>
  <c r="H962" i="1"/>
  <c r="G962" i="1"/>
  <c r="H961" i="1"/>
  <c r="G961" i="1"/>
  <c r="H960" i="1"/>
  <c r="G960" i="1"/>
  <c r="H959" i="1"/>
  <c r="G959" i="1"/>
  <c r="G1455" i="1"/>
  <c r="H1457" i="1"/>
  <c r="G1457" i="1"/>
  <c r="H1456" i="1"/>
  <c r="G1456" i="1"/>
  <c r="H1455" i="1"/>
  <c r="H1454" i="1"/>
  <c r="H1453" i="1"/>
  <c r="H1451" i="1"/>
  <c r="G1451" i="1"/>
  <c r="H1450" i="1"/>
  <c r="G1450" i="1"/>
  <c r="H1449" i="1"/>
  <c r="G1449" i="1"/>
  <c r="H1448" i="1"/>
  <c r="G1448" i="1"/>
  <c r="H1447" i="1"/>
  <c r="G1447" i="1"/>
  <c r="H1446" i="1"/>
  <c r="G1446" i="1"/>
  <c r="H1445" i="1"/>
  <c r="G1445" i="1"/>
  <c r="H1443" i="1"/>
  <c r="G1443" i="1"/>
  <c r="H1442" i="1"/>
  <c r="G1442" i="1"/>
  <c r="H1441" i="1"/>
  <c r="G1441" i="1"/>
  <c r="H1440" i="1"/>
  <c r="G1440" i="1"/>
  <c r="H1439" i="1"/>
  <c r="G1439" i="1"/>
  <c r="H1438" i="1"/>
  <c r="G1438" i="1"/>
  <c r="H1437" i="1"/>
  <c r="G1437" i="1"/>
  <c r="H1435" i="1"/>
  <c r="G1435" i="1"/>
  <c r="H1434" i="1"/>
  <c r="G1434" i="1"/>
  <c r="H1433" i="1"/>
  <c r="G1433" i="1"/>
  <c r="H1432" i="1"/>
  <c r="G1432" i="1"/>
  <c r="H1431" i="1"/>
  <c r="G1431" i="1"/>
  <c r="H1430" i="1"/>
  <c r="G1430" i="1"/>
  <c r="H1429" i="1"/>
  <c r="G1429" i="1"/>
  <c r="H1428" i="1"/>
  <c r="G1428" i="1"/>
  <c r="H1427" i="1"/>
  <c r="G1427" i="1"/>
  <c r="H1426" i="1"/>
  <c r="G1426" i="1"/>
  <c r="H1425" i="1"/>
  <c r="G1425" i="1"/>
  <c r="H1424" i="1"/>
  <c r="G1424" i="1"/>
  <c r="H1423" i="1"/>
  <c r="G1423" i="1"/>
  <c r="H1421" i="1"/>
  <c r="G1421" i="1"/>
  <c r="H1420" i="1"/>
  <c r="G1420" i="1"/>
  <c r="H1419" i="1"/>
  <c r="G1419" i="1"/>
  <c r="H1418" i="1"/>
  <c r="G1418" i="1"/>
  <c r="H1417" i="1"/>
  <c r="G1417" i="1"/>
  <c r="H1416" i="1"/>
  <c r="G1416" i="1"/>
  <c r="H1415" i="1"/>
  <c r="G1415" i="1"/>
  <c r="H1414" i="1"/>
  <c r="G1414" i="1"/>
  <c r="H1413" i="1"/>
  <c r="G1413" i="1"/>
  <c r="H1412" i="1"/>
  <c r="G1412" i="1"/>
  <c r="H1411" i="1"/>
  <c r="G1411" i="1"/>
  <c r="H1410" i="1"/>
  <c r="G1410" i="1"/>
  <c r="H1408" i="1"/>
  <c r="G1408" i="1"/>
  <c r="H1407" i="1"/>
  <c r="G1407" i="1"/>
  <c r="H1406" i="1"/>
  <c r="G1406" i="1"/>
  <c r="H1405" i="1"/>
  <c r="G1405" i="1"/>
  <c r="H1404" i="1"/>
  <c r="G1404" i="1"/>
  <c r="H1403" i="1"/>
  <c r="G1403" i="1"/>
  <c r="H1402" i="1"/>
  <c r="G1402" i="1"/>
  <c r="H1401" i="1"/>
  <c r="G1401" i="1"/>
  <c r="H1399" i="1"/>
  <c r="G1399" i="1"/>
  <c r="H1398" i="1"/>
  <c r="G1398" i="1"/>
  <c r="H1397" i="1"/>
  <c r="G1397" i="1"/>
  <c r="H1396" i="1"/>
  <c r="G1396" i="1"/>
  <c r="H1395" i="1"/>
  <c r="G1395" i="1"/>
  <c r="H1394" i="1"/>
  <c r="G1394" i="1"/>
  <c r="H1393" i="1"/>
  <c r="G1393" i="1"/>
  <c r="H1392" i="1"/>
  <c r="G1392" i="1"/>
  <c r="H1390" i="1"/>
  <c r="G1390" i="1"/>
  <c r="H1389" i="1"/>
  <c r="G1389" i="1"/>
  <c r="H1388" i="1"/>
  <c r="G1388" i="1"/>
  <c r="H1387" i="1"/>
  <c r="G1387" i="1"/>
  <c r="H1386" i="1"/>
  <c r="G1386" i="1"/>
  <c r="H1385" i="1"/>
  <c r="G1385" i="1"/>
  <c r="H1384" i="1"/>
  <c r="G1384" i="1"/>
  <c r="H1383" i="1"/>
  <c r="G1383" i="1"/>
  <c r="H1382" i="1"/>
  <c r="G1382" i="1"/>
  <c r="H1381" i="1"/>
  <c r="G1381" i="1"/>
  <c r="H1380" i="1"/>
  <c r="G1380" i="1"/>
  <c r="H1377" i="1"/>
  <c r="G1377" i="1"/>
  <c r="H1376" i="1"/>
  <c r="G1376" i="1"/>
  <c r="H1375" i="1"/>
  <c r="G1375" i="1"/>
  <c r="H1374" i="1"/>
  <c r="G1374" i="1"/>
  <c r="H1373" i="1"/>
  <c r="G1373" i="1"/>
  <c r="H1372" i="1"/>
  <c r="G1372" i="1"/>
  <c r="H1371" i="1"/>
  <c r="G1371" i="1"/>
  <c r="H1370" i="1"/>
  <c r="G1370" i="1"/>
  <c r="H1369" i="1"/>
  <c r="G1369" i="1"/>
  <c r="H1368" i="1"/>
  <c r="G1368" i="1"/>
  <c r="H1367" i="1"/>
  <c r="G1367" i="1"/>
  <c r="H1366" i="1"/>
  <c r="G1366" i="1"/>
  <c r="H1365" i="1"/>
  <c r="G1365" i="1"/>
  <c r="H1364" i="1"/>
  <c r="G1364" i="1"/>
  <c r="H1361" i="1"/>
  <c r="G1361" i="1"/>
  <c r="H1360" i="1"/>
  <c r="G1360" i="1"/>
  <c r="H1359" i="1"/>
  <c r="G1359" i="1"/>
  <c r="H1358" i="1"/>
  <c r="G1358" i="1"/>
  <c r="H1357" i="1"/>
  <c r="G1357" i="1"/>
  <c r="H1356" i="1"/>
  <c r="G1356" i="1"/>
  <c r="H1355" i="1"/>
  <c r="G1355" i="1"/>
  <c r="H1354" i="1"/>
  <c r="G1354" i="1"/>
  <c r="H1353" i="1"/>
  <c r="G1353" i="1"/>
  <c r="H1352" i="1"/>
  <c r="G1352" i="1"/>
  <c r="H1350" i="1"/>
  <c r="G1350" i="1"/>
  <c r="H1349" i="1"/>
  <c r="G1349" i="1"/>
  <c r="H1348" i="1"/>
  <c r="G1348" i="1"/>
  <c r="H1347" i="1"/>
  <c r="G1347" i="1"/>
  <c r="H1346" i="1"/>
  <c r="G1346" i="1"/>
  <c r="H1345" i="1"/>
  <c r="G1345" i="1"/>
  <c r="H1344" i="1"/>
  <c r="G1344" i="1"/>
  <c r="H1343" i="1"/>
  <c r="G1343" i="1"/>
  <c r="H1342" i="1"/>
  <c r="G1342" i="1"/>
  <c r="H1341" i="1"/>
  <c r="G1341" i="1"/>
  <c r="H1340" i="1"/>
  <c r="G1340" i="1"/>
  <c r="H1339" i="1"/>
  <c r="G1339" i="1"/>
  <c r="H1338" i="1"/>
  <c r="G1338" i="1"/>
  <c r="H1337" i="1"/>
  <c r="G1337" i="1"/>
  <c r="H1336" i="1"/>
  <c r="G1336" i="1"/>
  <c r="H1335" i="1"/>
  <c r="G1335" i="1"/>
  <c r="H1332" i="1"/>
  <c r="G1332" i="1"/>
  <c r="H1331" i="1"/>
  <c r="G1331" i="1"/>
  <c r="H1330" i="1"/>
  <c r="G1330" i="1"/>
  <c r="H1329" i="1"/>
  <c r="G1329" i="1"/>
  <c r="H1328" i="1"/>
  <c r="G1328" i="1"/>
  <c r="H1327" i="1"/>
  <c r="G1327" i="1"/>
  <c r="H1326" i="1"/>
  <c r="G1326" i="1"/>
  <c r="H1325" i="1"/>
  <c r="G1325" i="1"/>
  <c r="H1324" i="1"/>
  <c r="G1324" i="1"/>
  <c r="H1323" i="1"/>
  <c r="G1323" i="1"/>
  <c r="H1322" i="1"/>
  <c r="G1322" i="1"/>
  <c r="H1321" i="1"/>
  <c r="G1321" i="1"/>
  <c r="H1320" i="1"/>
  <c r="G1320" i="1"/>
  <c r="H1319" i="1"/>
  <c r="G1319" i="1"/>
  <c r="H1318" i="1"/>
  <c r="G1318" i="1"/>
  <c r="H1317" i="1"/>
  <c r="G1317" i="1"/>
  <c r="H1316" i="1"/>
  <c r="G1316" i="1"/>
  <c r="H1315" i="1"/>
  <c r="G1315" i="1"/>
  <c r="H1314" i="1"/>
  <c r="G1314" i="1"/>
  <c r="H1313" i="1"/>
  <c r="G1313" i="1"/>
  <c r="H1312" i="1"/>
  <c r="G1312" i="1"/>
  <c r="H1311" i="1"/>
  <c r="G1311" i="1"/>
  <c r="H1310" i="1"/>
  <c r="G1310" i="1"/>
  <c r="H1309" i="1"/>
  <c r="G1309" i="1"/>
  <c r="H1308" i="1"/>
  <c r="G1308" i="1"/>
  <c r="H1307" i="1"/>
  <c r="G1307" i="1"/>
  <c r="H1305" i="1"/>
  <c r="G1305" i="1"/>
  <c r="H1304" i="1"/>
  <c r="G1304" i="1"/>
  <c r="H1303" i="1"/>
  <c r="G1303" i="1"/>
  <c r="H1302" i="1"/>
  <c r="G1302" i="1"/>
  <c r="H1301" i="1"/>
  <c r="G1301" i="1"/>
  <c r="H1300" i="1"/>
  <c r="G1300" i="1"/>
  <c r="H1299" i="1"/>
  <c r="G1299" i="1"/>
  <c r="H1298" i="1"/>
  <c r="G1298" i="1"/>
  <c r="H1297" i="1"/>
  <c r="G1297" i="1"/>
  <c r="H1296" i="1"/>
  <c r="G1296" i="1"/>
  <c r="H1295" i="1"/>
  <c r="G1295" i="1"/>
  <c r="H1294" i="1"/>
  <c r="G1294" i="1"/>
  <c r="H1293" i="1"/>
  <c r="G1293" i="1"/>
  <c r="H1292" i="1"/>
  <c r="G1292" i="1"/>
  <c r="H1291" i="1"/>
  <c r="G1291" i="1"/>
  <c r="H1290" i="1"/>
  <c r="G1290" i="1"/>
  <c r="H1289" i="1"/>
  <c r="G1289" i="1"/>
  <c r="H1288" i="1"/>
  <c r="G1288" i="1"/>
  <c r="H1287" i="1"/>
  <c r="G1287" i="1"/>
  <c r="H1286" i="1"/>
  <c r="G1286" i="1"/>
  <c r="H1285" i="1"/>
  <c r="G1285" i="1"/>
  <c r="H1284" i="1"/>
  <c r="G1284" i="1"/>
  <c r="H1283" i="1"/>
  <c r="G1283" i="1"/>
  <c r="H1282" i="1"/>
  <c r="G1282" i="1"/>
  <c r="H1281" i="1"/>
  <c r="G1281" i="1"/>
  <c r="H1280" i="1"/>
  <c r="G1280" i="1"/>
  <c r="H1509" i="1"/>
  <c r="G1509" i="1"/>
  <c r="H1514" i="1"/>
  <c r="G1514" i="1"/>
  <c r="H1513" i="1"/>
  <c r="G1513" i="1"/>
  <c r="H1512" i="1"/>
  <c r="G1512" i="1"/>
  <c r="H1511" i="1"/>
  <c r="G1511" i="1"/>
  <c r="H1510" i="1"/>
  <c r="G1510" i="1"/>
  <c r="H1559" i="1"/>
  <c r="G1559" i="1"/>
  <c r="H1558" i="1"/>
  <c r="G1558" i="1"/>
  <c r="H1557" i="1"/>
  <c r="G1557" i="1"/>
  <c r="H1556" i="1"/>
  <c r="G1556" i="1"/>
  <c r="H1555" i="1"/>
  <c r="G1555" i="1"/>
  <c r="H1554" i="1"/>
  <c r="G1554" i="1"/>
  <c r="H1553" i="1"/>
  <c r="G1553" i="1"/>
  <c r="H1552" i="1"/>
  <c r="G1552" i="1"/>
  <c r="H1551" i="1"/>
  <c r="G1551" i="1"/>
  <c r="H1550" i="1"/>
  <c r="G1550" i="1"/>
  <c r="H1549" i="1"/>
  <c r="G1549" i="1"/>
  <c r="H1548" i="1"/>
  <c r="G1548" i="1"/>
  <c r="H1547" i="1"/>
  <c r="G1547" i="1"/>
  <c r="H1546" i="1"/>
  <c r="G1546" i="1"/>
  <c r="H1543" i="1"/>
  <c r="G1543" i="1"/>
  <c r="H1542" i="1"/>
  <c r="G1542" i="1"/>
  <c r="H1541" i="1"/>
  <c r="G1541" i="1"/>
  <c r="H1540" i="1"/>
  <c r="G1540" i="1"/>
  <c r="H1539" i="1"/>
  <c r="G1539" i="1"/>
  <c r="H1538" i="1"/>
  <c r="G1538" i="1"/>
  <c r="H1537" i="1"/>
  <c r="G1537" i="1"/>
  <c r="H1536" i="1"/>
  <c r="G1536" i="1"/>
  <c r="H1535" i="1"/>
  <c r="G1535" i="1"/>
  <c r="H1534" i="1"/>
  <c r="G1534" i="1"/>
  <c r="H1532" i="1"/>
  <c r="G1532" i="1"/>
  <c r="H1531" i="1"/>
  <c r="G1531" i="1"/>
  <c r="H1530" i="1"/>
  <c r="G1530" i="1"/>
  <c r="H1529" i="1"/>
  <c r="G1529" i="1"/>
  <c r="H1528" i="1"/>
  <c r="G1528" i="1"/>
  <c r="H1527" i="1"/>
  <c r="G1527" i="1"/>
  <c r="H1526" i="1"/>
  <c r="G1526" i="1"/>
  <c r="H1525" i="1"/>
  <c r="G1525" i="1"/>
  <c r="H1524" i="1"/>
  <c r="G1524" i="1"/>
  <c r="H1523" i="1"/>
  <c r="G1523" i="1"/>
  <c r="H1522" i="1"/>
  <c r="G1522" i="1"/>
  <c r="H1521" i="1"/>
  <c r="G1521" i="1"/>
  <c r="H1520" i="1"/>
  <c r="G1520" i="1"/>
  <c r="H1519" i="1"/>
  <c r="G1519" i="1"/>
  <c r="H1518" i="1"/>
  <c r="G1518" i="1"/>
  <c r="H1517" i="1"/>
  <c r="G1517" i="1"/>
  <c r="H1508" i="1"/>
  <c r="G1508" i="1"/>
  <c r="H1507" i="1"/>
  <c r="G1507" i="1"/>
  <c r="H1506" i="1"/>
  <c r="G1506" i="1"/>
  <c r="H1505" i="1"/>
  <c r="G1505" i="1"/>
  <c r="H1504" i="1"/>
  <c r="G1504" i="1"/>
  <c r="H1503" i="1"/>
  <c r="G1503" i="1"/>
  <c r="H1502" i="1"/>
  <c r="G1502" i="1"/>
  <c r="H1501" i="1"/>
  <c r="G1501" i="1"/>
  <c r="H1500" i="1"/>
  <c r="G1500" i="1"/>
  <c r="H1629" i="1"/>
  <c r="G1629" i="1"/>
  <c r="H1628" i="1"/>
  <c r="G1628" i="1"/>
  <c r="H1627" i="1"/>
  <c r="G1627" i="1"/>
  <c r="H1626" i="1"/>
  <c r="G1626" i="1"/>
  <c r="H1625" i="1"/>
  <c r="G1625" i="1"/>
  <c r="H1624" i="1"/>
  <c r="G1624" i="1"/>
  <c r="H1623" i="1"/>
  <c r="G1623" i="1"/>
  <c r="H1621" i="1"/>
  <c r="G1621" i="1"/>
  <c r="H1620" i="1"/>
  <c r="G1620" i="1"/>
  <c r="H1619" i="1"/>
  <c r="G1619" i="1"/>
  <c r="H1617" i="1"/>
  <c r="G1617" i="1"/>
  <c r="H1616" i="1"/>
  <c r="G1616" i="1"/>
  <c r="H1615" i="1"/>
  <c r="G1615" i="1"/>
  <c r="H1614" i="1"/>
  <c r="G1614" i="1"/>
  <c r="H1613" i="1"/>
  <c r="G1613" i="1"/>
  <c r="H1612" i="1"/>
  <c r="G1612" i="1"/>
  <c r="H1611" i="1"/>
  <c r="G1611" i="1"/>
  <c r="H1610" i="1"/>
  <c r="G1610" i="1"/>
  <c r="H1609" i="1"/>
  <c r="G1609" i="1"/>
  <c r="H1608" i="1"/>
  <c r="G1608" i="1"/>
  <c r="H1607" i="1"/>
  <c r="G1607" i="1"/>
  <c r="H1606" i="1"/>
  <c r="G1606" i="1"/>
  <c r="H1605" i="1"/>
  <c r="G1605" i="1"/>
  <c r="H1603" i="1"/>
  <c r="G1603" i="1"/>
  <c r="H1602" i="1"/>
  <c r="G1602" i="1"/>
  <c r="H1601" i="1"/>
  <c r="G1601" i="1"/>
  <c r="H1600" i="1"/>
  <c r="G1600" i="1"/>
  <c r="H1599" i="1"/>
  <c r="G1599" i="1"/>
  <c r="H1598" i="1"/>
  <c r="G1598" i="1"/>
  <c r="H1597" i="1"/>
  <c r="G1597" i="1"/>
  <c r="H1596" i="1"/>
  <c r="G1596" i="1"/>
  <c r="H1595" i="1"/>
  <c r="G1595" i="1"/>
  <c r="H1594" i="1"/>
  <c r="G1594" i="1"/>
  <c r="H1593" i="1"/>
  <c r="G1593" i="1"/>
  <c r="H1592" i="1"/>
  <c r="G1592" i="1"/>
  <c r="H1590" i="1"/>
  <c r="G1590" i="1"/>
  <c r="H1589" i="1"/>
  <c r="G1589" i="1"/>
  <c r="H1588" i="1"/>
  <c r="G1588" i="1"/>
  <c r="H1587" i="1"/>
  <c r="G1587" i="1"/>
  <c r="H1586" i="1"/>
  <c r="G1586" i="1"/>
  <c r="H1585" i="1"/>
  <c r="G1585" i="1"/>
  <c r="H1584" i="1"/>
  <c r="G1584" i="1"/>
  <c r="H1583" i="1"/>
  <c r="G1583" i="1"/>
  <c r="H1581" i="1"/>
  <c r="G1581" i="1"/>
  <c r="H1580" i="1"/>
  <c r="G1580" i="1"/>
  <c r="H1579" i="1"/>
  <c r="G1579" i="1"/>
  <c r="H1578" i="1"/>
  <c r="G1578" i="1"/>
  <c r="H1577" i="1"/>
  <c r="G1577" i="1"/>
  <c r="H1576" i="1"/>
  <c r="G1576" i="1"/>
  <c r="H1575" i="1"/>
  <c r="G1575" i="1"/>
  <c r="H1574" i="1"/>
  <c r="G1574" i="1"/>
  <c r="H1572" i="1"/>
  <c r="G1572" i="1"/>
  <c r="H1571" i="1"/>
  <c r="G1571" i="1"/>
  <c r="H1570" i="1"/>
  <c r="G1570" i="1"/>
  <c r="H1569" i="1"/>
  <c r="G1569" i="1"/>
  <c r="H1568" i="1"/>
  <c r="G1568" i="1"/>
  <c r="H1567" i="1"/>
  <c r="G1567" i="1"/>
  <c r="H1566" i="1"/>
  <c r="G1566" i="1"/>
  <c r="H1565" i="1"/>
  <c r="G1565" i="1"/>
  <c r="H1564" i="1"/>
  <c r="G1564" i="1"/>
  <c r="H1563" i="1"/>
  <c r="G1563" i="1"/>
  <c r="H1562" i="1"/>
  <c r="G1562" i="1"/>
  <c r="H1155" i="1"/>
  <c r="G1155" i="1"/>
  <c r="H1154" i="1"/>
  <c r="G1154" i="1"/>
  <c r="H1153" i="1"/>
  <c r="G1153" i="1"/>
  <c r="H1152" i="1"/>
  <c r="G1152" i="1"/>
  <c r="H1151" i="1"/>
  <c r="G1151" i="1"/>
  <c r="G1116" i="1"/>
  <c r="G1113" i="1"/>
  <c r="H1149" i="1"/>
  <c r="G1149" i="1"/>
  <c r="H1148" i="1"/>
  <c r="G1148" i="1"/>
  <c r="H1147" i="1"/>
  <c r="G1147" i="1"/>
  <c r="H1146" i="1"/>
  <c r="G1146" i="1"/>
  <c r="H1145" i="1"/>
  <c r="G1145" i="1"/>
  <c r="H1144" i="1"/>
  <c r="G1144" i="1"/>
  <c r="H1142" i="1"/>
  <c r="G1142" i="1"/>
  <c r="H1141" i="1"/>
  <c r="G1141" i="1"/>
  <c r="H1140" i="1"/>
  <c r="G1140" i="1"/>
  <c r="H1139" i="1"/>
  <c r="G1139" i="1"/>
  <c r="H1138" i="1"/>
  <c r="G1138" i="1"/>
  <c r="H1137" i="1"/>
  <c r="G1137" i="1"/>
  <c r="H1136" i="1"/>
  <c r="G1136" i="1"/>
  <c r="H1122" i="1"/>
  <c r="G1122" i="1"/>
  <c r="H1134" i="1"/>
  <c r="G1134" i="1"/>
  <c r="H1133" i="1"/>
  <c r="G1133" i="1"/>
  <c r="H1132" i="1"/>
  <c r="G1132" i="1"/>
  <c r="H1131" i="1"/>
  <c r="G1131" i="1"/>
  <c r="H1130" i="1"/>
  <c r="G1130" i="1"/>
  <c r="H1129" i="1"/>
  <c r="G1129" i="1"/>
  <c r="H1128" i="1"/>
  <c r="G1128" i="1"/>
  <c r="H1127" i="1"/>
  <c r="G1127" i="1"/>
  <c r="H1126" i="1"/>
  <c r="G1126" i="1"/>
  <c r="H1125" i="1"/>
  <c r="G1125" i="1"/>
  <c r="H1124" i="1"/>
  <c r="G1124" i="1"/>
  <c r="H1123" i="1"/>
  <c r="G1123" i="1"/>
  <c r="H1116" i="1"/>
  <c r="H1115" i="1"/>
  <c r="G1115" i="1"/>
  <c r="H1114" i="1"/>
  <c r="G1114" i="1"/>
  <c r="H1113" i="1"/>
  <c r="H1120" i="1"/>
  <c r="G1120" i="1"/>
  <c r="H1118" i="1"/>
  <c r="G1118" i="1"/>
  <c r="H1117" i="1"/>
  <c r="G1117" i="1"/>
  <c r="H1111" i="1"/>
  <c r="G1111" i="1"/>
  <c r="H1110" i="1"/>
  <c r="G1110" i="1"/>
  <c r="H1109" i="1"/>
  <c r="G1109" i="1"/>
  <c r="H1108" i="1"/>
  <c r="G1108" i="1"/>
  <c r="H1107" i="1"/>
  <c r="G1107" i="1"/>
  <c r="H1106" i="1"/>
  <c r="G1106" i="1"/>
  <c r="H1105" i="1"/>
  <c r="G1105" i="1"/>
  <c r="H1104" i="1"/>
  <c r="G1104" i="1"/>
  <c r="H1102" i="1"/>
  <c r="G1102" i="1"/>
  <c r="H1101" i="1"/>
  <c r="G1101" i="1"/>
  <c r="H1100" i="1"/>
  <c r="G1100" i="1"/>
  <c r="H1099" i="1"/>
  <c r="G1099" i="1"/>
  <c r="H1098" i="1"/>
  <c r="G1098" i="1"/>
  <c r="H1097" i="1"/>
  <c r="G1097" i="1"/>
  <c r="H1096" i="1"/>
  <c r="G1096" i="1"/>
  <c r="H1095" i="1"/>
  <c r="G1095" i="1"/>
  <c r="H1093" i="1"/>
  <c r="G1093" i="1"/>
  <c r="H1084" i="1"/>
  <c r="G1084" i="1"/>
  <c r="H1083" i="1"/>
  <c r="G1083" i="1"/>
  <c r="H1090" i="1"/>
  <c r="G1090" i="1"/>
  <c r="H1089" i="1"/>
  <c r="G1089" i="1"/>
  <c r="H1087" i="1"/>
  <c r="G1087" i="1"/>
  <c r="H1086" i="1"/>
  <c r="G1086" i="1"/>
  <c r="H1085" i="1"/>
  <c r="G1085" i="1"/>
  <c r="H1080" i="1"/>
  <c r="G1080" i="1"/>
  <c r="H1079" i="1"/>
  <c r="G1079" i="1"/>
  <c r="H1078" i="1"/>
  <c r="G1078" i="1"/>
  <c r="H1077" i="1"/>
  <c r="G1077" i="1"/>
  <c r="H1076" i="1"/>
  <c r="G1076" i="1"/>
  <c r="H1075" i="1"/>
  <c r="G1075" i="1"/>
  <c r="H1074" i="1"/>
  <c r="G1074" i="1"/>
  <c r="H1073" i="1"/>
  <c r="G1073" i="1"/>
  <c r="H1072" i="1"/>
  <c r="G1072" i="1"/>
  <c r="H1071" i="1"/>
  <c r="G1071" i="1"/>
  <c r="H1069" i="1"/>
  <c r="G1069" i="1"/>
  <c r="H1068" i="1"/>
  <c r="G1068" i="1"/>
  <c r="H1067" i="1"/>
  <c r="G1067" i="1"/>
  <c r="H1066" i="1"/>
  <c r="G1066" i="1"/>
  <c r="H1065" i="1"/>
  <c r="G1065" i="1"/>
  <c r="H17" i="14" s="1"/>
  <c r="H1053" i="1"/>
  <c r="G1053" i="1"/>
  <c r="H1052" i="1"/>
  <c r="G1052" i="1"/>
  <c r="H1051" i="1"/>
  <c r="G1051" i="1"/>
  <c r="H1050" i="1"/>
  <c r="G1050" i="1"/>
  <c r="H958" i="1" l="1"/>
  <c r="H1112" i="1"/>
  <c r="H1630" i="1"/>
  <c r="G1630" i="1"/>
  <c r="H957" i="1"/>
  <c r="G983" i="1"/>
  <c r="G1060" i="1"/>
  <c r="H1060" i="1"/>
  <c r="H983" i="1"/>
  <c r="H1379" i="1"/>
  <c r="H1143" i="1"/>
  <c r="H1070" i="1"/>
  <c r="H1094" i="1"/>
  <c r="H1021" i="1"/>
  <c r="G1021" i="1"/>
  <c r="H1103" i="1"/>
  <c r="H1391" i="1"/>
  <c r="H1409" i="1"/>
  <c r="H1422" i="1"/>
  <c r="H1444" i="1"/>
  <c r="G1025" i="1"/>
  <c r="G1024" i="1" s="1"/>
  <c r="H1752" i="1"/>
  <c r="H1751" i="1" s="1"/>
  <c r="G972" i="1"/>
  <c r="G1783" i="1"/>
  <c r="G1796" i="1"/>
  <c r="H1400" i="1"/>
  <c r="G1499" i="1"/>
  <c r="G1545" i="1"/>
  <c r="G1544" i="1" s="1"/>
  <c r="G1591" i="1"/>
  <c r="G1604" i="1"/>
  <c r="H1135" i="1"/>
  <c r="G1561" i="1"/>
  <c r="G1618" i="1"/>
  <c r="G1516" i="1"/>
  <c r="G1533" i="1"/>
  <c r="G1306" i="1"/>
  <c r="G1363" i="1"/>
  <c r="G1362" i="1" s="1"/>
  <c r="G1752" i="1"/>
  <c r="G1751" i="1" s="1"/>
  <c r="G1810" i="1"/>
  <c r="G1724" i="1"/>
  <c r="G1722" i="1" s="1"/>
  <c r="G1279" i="1"/>
  <c r="G1334" i="1"/>
  <c r="G1351" i="1"/>
  <c r="G1379" i="1"/>
  <c r="G1409" i="1"/>
  <c r="G1436" i="1"/>
  <c r="H1024" i="1"/>
  <c r="H1499" i="1"/>
  <c r="H1279" i="1"/>
  <c r="H1334" i="1"/>
  <c r="H1351" i="1"/>
  <c r="H1436" i="1"/>
  <c r="G1121" i="1"/>
  <c r="H1545" i="1"/>
  <c r="H1544" i="1" s="1"/>
  <c r="H1121" i="1"/>
  <c r="G1150" i="1"/>
  <c r="G1573" i="1"/>
  <c r="G1582" i="1"/>
  <c r="G1622" i="1"/>
  <c r="G1774" i="1"/>
  <c r="G1818" i="1"/>
  <c r="H1724" i="1"/>
  <c r="H1722" i="1" s="1"/>
  <c r="H1765" i="1"/>
  <c r="H1150" i="1"/>
  <c r="H1573" i="1"/>
  <c r="H1582" i="1"/>
  <c r="H1591" i="1"/>
  <c r="H1604" i="1"/>
  <c r="H1622" i="1"/>
  <c r="H1783" i="1"/>
  <c r="H1796" i="1"/>
  <c r="G1765" i="1"/>
  <c r="G1135" i="1"/>
  <c r="H1561" i="1"/>
  <c r="H1516" i="1"/>
  <c r="H1533" i="1"/>
  <c r="H1306" i="1"/>
  <c r="H1363" i="1"/>
  <c r="H1362" i="1" s="1"/>
  <c r="G958" i="1"/>
  <c r="H1774" i="1"/>
  <c r="H1810" i="1"/>
  <c r="H1818" i="1"/>
  <c r="G1143" i="1"/>
  <c r="H1618" i="1"/>
  <c r="G1070" i="1"/>
  <c r="G1094" i="1"/>
  <c r="G1103" i="1"/>
  <c r="G1391" i="1"/>
  <c r="G1400" i="1"/>
  <c r="G1422" i="1"/>
  <c r="G1444" i="1"/>
  <c r="G1002" i="1"/>
  <c r="H1002" i="1"/>
  <c r="H987" i="1"/>
  <c r="G987" i="1"/>
  <c r="G1453" i="1"/>
  <c r="G1454" i="1"/>
  <c r="G1001" i="1" l="1"/>
  <c r="G957" i="1"/>
  <c r="H1001" i="1"/>
  <c r="H986" i="1" s="1"/>
  <c r="G1515" i="1"/>
  <c r="G1278" i="1"/>
  <c r="H1333" i="1"/>
  <c r="G1333" i="1"/>
  <c r="G1498" i="1"/>
  <c r="H1378" i="1"/>
  <c r="G1764" i="1"/>
  <c r="H1515" i="1"/>
  <c r="G1560" i="1"/>
  <c r="G986" i="1"/>
  <c r="H1764" i="1"/>
  <c r="H1560" i="1"/>
  <c r="H1278" i="1"/>
  <c r="H1498" i="1"/>
  <c r="G1452" i="1"/>
  <c r="G1497" i="1" l="1"/>
  <c r="H1277" i="1"/>
  <c r="H1276" i="1" s="1"/>
  <c r="H1497" i="1"/>
  <c r="G1112" i="1"/>
  <c r="R28" i="14" l="1"/>
  <c r="P28" i="14"/>
  <c r="O28" i="14"/>
  <c r="N28" i="14"/>
  <c r="M28" i="14"/>
  <c r="I28" i="14"/>
  <c r="G28" i="14"/>
  <c r="F28" i="14"/>
  <c r="E28" i="14"/>
  <c r="D28" i="14"/>
  <c r="R27" i="14"/>
  <c r="P27" i="14"/>
  <c r="O27" i="14"/>
  <c r="N27" i="14"/>
  <c r="M27" i="14"/>
  <c r="I27" i="14"/>
  <c r="G27" i="14"/>
  <c r="F27" i="14"/>
  <c r="E27" i="14"/>
  <c r="D27" i="14"/>
  <c r="H1172" i="1"/>
  <c r="H1494" i="1"/>
  <c r="G1494" i="1"/>
  <c r="H1657" i="1"/>
  <c r="G1657" i="1"/>
  <c r="H1656" i="1"/>
  <c r="G1656" i="1"/>
  <c r="H1655" i="1"/>
  <c r="G1655" i="1"/>
  <c r="H1654" i="1"/>
  <c r="G1654" i="1"/>
  <c r="H1653" i="1"/>
  <c r="G1653" i="1"/>
  <c r="H1669" i="1"/>
  <c r="G1669" i="1"/>
  <c r="H1668" i="1"/>
  <c r="G1668" i="1"/>
  <c r="H1667" i="1"/>
  <c r="G1667" i="1"/>
  <c r="H1666" i="1"/>
  <c r="G1666" i="1"/>
  <c r="H1665" i="1"/>
  <c r="G1665" i="1"/>
  <c r="H1664" i="1"/>
  <c r="G1664" i="1"/>
  <c r="H1663" i="1"/>
  <c r="G1663" i="1"/>
  <c r="H1662" i="1"/>
  <c r="G1662" i="1"/>
  <c r="H1661" i="1"/>
  <c r="G1661" i="1"/>
  <c r="H1660" i="1"/>
  <c r="G1660" i="1"/>
  <c r="H1659" i="1"/>
  <c r="G1659" i="1"/>
  <c r="H1658" i="1"/>
  <c r="G1658" i="1"/>
  <c r="H1675" i="1"/>
  <c r="G1675" i="1"/>
  <c r="H1674" i="1"/>
  <c r="G1674" i="1"/>
  <c r="H1673" i="1"/>
  <c r="G1673" i="1"/>
  <c r="H1672" i="1"/>
  <c r="G1672" i="1"/>
  <c r="H1671" i="1"/>
  <c r="G1671" i="1"/>
  <c r="H1670" i="1"/>
  <c r="G1670" i="1"/>
  <c r="H1678" i="1"/>
  <c r="G1678" i="1"/>
  <c r="H1677" i="1"/>
  <c r="G1677" i="1"/>
  <c r="H1676" i="1"/>
  <c r="G1676" i="1"/>
  <c r="H1681" i="1"/>
  <c r="G1681" i="1"/>
  <c r="H1680" i="1"/>
  <c r="G1680" i="1"/>
  <c r="H1679" i="1"/>
  <c r="G1679" i="1"/>
  <c r="H1651" i="1"/>
  <c r="G1651" i="1"/>
  <c r="H1650" i="1"/>
  <c r="G1650" i="1"/>
  <c r="H1649" i="1"/>
  <c r="G1649" i="1"/>
  <c r="H1645" i="1"/>
  <c r="G1645" i="1"/>
  <c r="H1647" i="1"/>
  <c r="G1647" i="1"/>
  <c r="H1646" i="1"/>
  <c r="G1646" i="1"/>
  <c r="H1720" i="1"/>
  <c r="G1720" i="1"/>
  <c r="H1719" i="1"/>
  <c r="G1719" i="1"/>
  <c r="H1718" i="1"/>
  <c r="G1718" i="1"/>
  <c r="H1717" i="1"/>
  <c r="G1717" i="1"/>
  <c r="H1716" i="1"/>
  <c r="G1716" i="1"/>
  <c r="H1715" i="1"/>
  <c r="G1715" i="1"/>
  <c r="H1714" i="1"/>
  <c r="G1714" i="1"/>
  <c r="H1713" i="1"/>
  <c r="G1713" i="1"/>
  <c r="H1712" i="1"/>
  <c r="G1712" i="1"/>
  <c r="H1711" i="1"/>
  <c r="G1711" i="1"/>
  <c r="H1710" i="1"/>
  <c r="G1710" i="1"/>
  <c r="H1709" i="1"/>
  <c r="G1709" i="1"/>
  <c r="H1708" i="1"/>
  <c r="G1708" i="1"/>
  <c r="H1707" i="1"/>
  <c r="G1707" i="1"/>
  <c r="H1706" i="1"/>
  <c r="G1706" i="1"/>
  <c r="H1705" i="1"/>
  <c r="G1705" i="1"/>
  <c r="H1704" i="1"/>
  <c r="G1704" i="1"/>
  <c r="H1703" i="1"/>
  <c r="G1703" i="1"/>
  <c r="H1702" i="1"/>
  <c r="G1702" i="1"/>
  <c r="H1701" i="1"/>
  <c r="G1701" i="1"/>
  <c r="H1700" i="1"/>
  <c r="G1700" i="1"/>
  <c r="H1699" i="1"/>
  <c r="G1699" i="1"/>
  <c r="H1698" i="1"/>
  <c r="G1698" i="1"/>
  <c r="H1697" i="1"/>
  <c r="G1697" i="1"/>
  <c r="H1696" i="1"/>
  <c r="G1696" i="1"/>
  <c r="H1693" i="1"/>
  <c r="G1693" i="1"/>
  <c r="H1692" i="1"/>
  <c r="G1692" i="1"/>
  <c r="H1691" i="1"/>
  <c r="G1691" i="1"/>
  <c r="H1690" i="1"/>
  <c r="G1690" i="1"/>
  <c r="H1689" i="1"/>
  <c r="G1689" i="1"/>
  <c r="H1688" i="1"/>
  <c r="G1688" i="1"/>
  <c r="H1687" i="1"/>
  <c r="G1687" i="1"/>
  <c r="H1685" i="1"/>
  <c r="G1685" i="1"/>
  <c r="H1684" i="1"/>
  <c r="G1684" i="1"/>
  <c r="H1496" i="1"/>
  <c r="G1496" i="1"/>
  <c r="H1495" i="1"/>
  <c r="G1495" i="1"/>
  <c r="H1493" i="1"/>
  <c r="G1493" i="1"/>
  <c r="H1492" i="1"/>
  <c r="G1492" i="1"/>
  <c r="H1491" i="1"/>
  <c r="G1491" i="1"/>
  <c r="H1490" i="1"/>
  <c r="G1490" i="1"/>
  <c r="H1489" i="1"/>
  <c r="G1489" i="1"/>
  <c r="H1488" i="1"/>
  <c r="G1488" i="1"/>
  <c r="H1487" i="1"/>
  <c r="G1487" i="1"/>
  <c r="H1486" i="1"/>
  <c r="G1486" i="1"/>
  <c r="H1485" i="1"/>
  <c r="G1485" i="1"/>
  <c r="H1484" i="1"/>
  <c r="G1484" i="1"/>
  <c r="H1483" i="1"/>
  <c r="G1483" i="1"/>
  <c r="H1482" i="1"/>
  <c r="G1482" i="1"/>
  <c r="H1481" i="1"/>
  <c r="G1481" i="1"/>
  <c r="H1479" i="1"/>
  <c r="G1479" i="1"/>
  <c r="H1478" i="1"/>
  <c r="G1478" i="1"/>
  <c r="H1477" i="1"/>
  <c r="G1477" i="1"/>
  <c r="H1476" i="1"/>
  <c r="G1476" i="1"/>
  <c r="H1475" i="1"/>
  <c r="G1475" i="1"/>
  <c r="H1467" i="1"/>
  <c r="G1467" i="1"/>
  <c r="H1466" i="1"/>
  <c r="G1466" i="1"/>
  <c r="H1465" i="1"/>
  <c r="G1465" i="1"/>
  <c r="H1464" i="1"/>
  <c r="G1464" i="1"/>
  <c r="H1463" i="1"/>
  <c r="G1463" i="1"/>
  <c r="H1462" i="1"/>
  <c r="G1462" i="1"/>
  <c r="H1461" i="1"/>
  <c r="G1461" i="1"/>
  <c r="H1471" i="1"/>
  <c r="G1471" i="1"/>
  <c r="H1470" i="1"/>
  <c r="G1470" i="1"/>
  <c r="H1469" i="1"/>
  <c r="G1469" i="1"/>
  <c r="H1468" i="1"/>
  <c r="G1468" i="1"/>
  <c r="H1210" i="1"/>
  <c r="G1210" i="1"/>
  <c r="H1209" i="1"/>
  <c r="G1209" i="1"/>
  <c r="H1208" i="1"/>
  <c r="G1208" i="1"/>
  <c r="H1212" i="1"/>
  <c r="G1212" i="1"/>
  <c r="H1211" i="1"/>
  <c r="G1211" i="1"/>
  <c r="H1204" i="1"/>
  <c r="G1204" i="1"/>
  <c r="H1203" i="1"/>
  <c r="G1203" i="1"/>
  <c r="H1195" i="1"/>
  <c r="G1195" i="1"/>
  <c r="H1198" i="1"/>
  <c r="G1198" i="1"/>
  <c r="H1197" i="1"/>
  <c r="G1197" i="1"/>
  <c r="H1196" i="1"/>
  <c r="G1196" i="1"/>
  <c r="H1199" i="1"/>
  <c r="G1199" i="1"/>
  <c r="H1192" i="1"/>
  <c r="G1192" i="1"/>
  <c r="H1191" i="1"/>
  <c r="G1191" i="1"/>
  <c r="H1189" i="1"/>
  <c r="G1189" i="1"/>
  <c r="H1188" i="1"/>
  <c r="G1188" i="1"/>
  <c r="H1187" i="1"/>
  <c r="G1187" i="1"/>
  <c r="H1186" i="1"/>
  <c r="G1186" i="1"/>
  <c r="H1185" i="1"/>
  <c r="G1185" i="1"/>
  <c r="H1184" i="1"/>
  <c r="G1184" i="1"/>
  <c r="H1183" i="1"/>
  <c r="G1183" i="1"/>
  <c r="H1182" i="1"/>
  <c r="G1182" i="1"/>
  <c r="H1181" i="1"/>
  <c r="G1181" i="1"/>
  <c r="H1180" i="1"/>
  <c r="G1180" i="1"/>
  <c r="H1179" i="1"/>
  <c r="G1179" i="1"/>
  <c r="H1178" i="1"/>
  <c r="G1178" i="1"/>
  <c r="H1177" i="1"/>
  <c r="G1177" i="1"/>
  <c r="H1176" i="1"/>
  <c r="G1176" i="1"/>
  <c r="H1175" i="1"/>
  <c r="G1175" i="1"/>
  <c r="H1174" i="1"/>
  <c r="G1174" i="1"/>
  <c r="H1173" i="1"/>
  <c r="G1173" i="1"/>
  <c r="G1172" i="1"/>
  <c r="H1169" i="1"/>
  <c r="H1168" i="1" s="1"/>
  <c r="G1169" i="1"/>
  <c r="G1168" i="1" s="1"/>
  <c r="H1167" i="1"/>
  <c r="G1167" i="1"/>
  <c r="H1166" i="1"/>
  <c r="G1166" i="1"/>
  <c r="H1165" i="1"/>
  <c r="G1165" i="1"/>
  <c r="H1164" i="1"/>
  <c r="G1164" i="1"/>
  <c r="H1163" i="1"/>
  <c r="G1163" i="1"/>
  <c r="H1162" i="1"/>
  <c r="G1162" i="1"/>
  <c r="H1161" i="1"/>
  <c r="G1161" i="1"/>
  <c r="H1160" i="1"/>
  <c r="G1160" i="1"/>
  <c r="H1159" i="1"/>
  <c r="G1159" i="1"/>
  <c r="H1158" i="1"/>
  <c r="G1158" i="1"/>
  <c r="H1157" i="1"/>
  <c r="G1157" i="1"/>
  <c r="H943" i="1"/>
  <c r="G943" i="1"/>
  <c r="H932" i="1"/>
  <c r="H931" i="1" s="1"/>
  <c r="G932" i="1"/>
  <c r="G931" i="1" s="1"/>
  <c r="W28" i="14" l="1"/>
  <c r="V27" i="14"/>
  <c r="X28" i="14"/>
  <c r="H1156" i="1"/>
  <c r="H1170" i="1"/>
  <c r="G1643" i="1"/>
  <c r="H1643" i="1"/>
  <c r="Y28" i="14"/>
  <c r="AA28" i="14"/>
  <c r="X27" i="14"/>
  <c r="V28" i="14"/>
  <c r="AA27" i="14"/>
  <c r="W27" i="14"/>
  <c r="Y27" i="14"/>
  <c r="G1156" i="1"/>
  <c r="G1170" i="1" l="1"/>
  <c r="H365" i="1" l="1"/>
  <c r="G364" i="1"/>
  <c r="H364" i="1"/>
  <c r="H363" i="1"/>
  <c r="G363" i="1"/>
  <c r="H362" i="1"/>
  <c r="H361" i="1"/>
  <c r="H360" i="1"/>
  <c r="G360" i="1"/>
  <c r="G359" i="1"/>
  <c r="H359" i="1"/>
  <c r="H358" i="1"/>
  <c r="H357" i="1"/>
  <c r="H356" i="1"/>
  <c r="G356" i="1"/>
  <c r="G355" i="1"/>
  <c r="H355" i="1"/>
  <c r="H354" i="1"/>
  <c r="H353" i="1"/>
  <c r="H352" i="1"/>
  <c r="G352" i="1"/>
  <c r="G351" i="1"/>
  <c r="H351" i="1"/>
  <c r="H350" i="1"/>
  <c r="H349" i="1"/>
  <c r="H343" i="1"/>
  <c r="G342" i="1"/>
  <c r="H342" i="1"/>
  <c r="H341" i="1"/>
  <c r="G341" i="1"/>
  <c r="H340" i="1"/>
  <c r="G339" i="1"/>
  <c r="H339" i="1"/>
  <c r="G338" i="1"/>
  <c r="H338" i="1"/>
  <c r="G337" i="1"/>
  <c r="H337" i="1"/>
  <c r="H336" i="1"/>
  <c r="G335" i="1"/>
  <c r="H335" i="1"/>
  <c r="G334" i="1"/>
  <c r="H334" i="1"/>
  <c r="G333" i="1"/>
  <c r="H333" i="1"/>
  <c r="H332" i="1"/>
  <c r="G331" i="1"/>
  <c r="H331" i="1"/>
  <c r="G330" i="1"/>
  <c r="H330" i="1"/>
  <c r="G329" i="1"/>
  <c r="H329" i="1"/>
  <c r="H328" i="1"/>
  <c r="G327" i="1"/>
  <c r="H327" i="1"/>
  <c r="H279" i="1"/>
  <c r="H278" i="1" s="1"/>
  <c r="G277" i="1"/>
  <c r="G276" i="1" s="1"/>
  <c r="G275" i="1"/>
  <c r="G259" i="1"/>
  <c r="H259" i="1" l="1"/>
  <c r="G350" i="1"/>
  <c r="G354" i="1"/>
  <c r="G358" i="1"/>
  <c r="G362" i="1"/>
  <c r="H256" i="1"/>
  <c r="G349" i="1"/>
  <c r="G353" i="1"/>
  <c r="G357" i="1"/>
  <c r="G361" i="1"/>
  <c r="G365" i="1"/>
  <c r="H254" i="1"/>
  <c r="G328" i="1"/>
  <c r="G332" i="1"/>
  <c r="G336" i="1"/>
  <c r="G340" i="1"/>
  <c r="G343" i="1"/>
  <c r="H261" i="1"/>
  <c r="H263" i="1"/>
  <c r="H267" i="1"/>
  <c r="H269" i="1"/>
  <c r="H277" i="1"/>
  <c r="H276" i="1" s="1"/>
  <c r="H255" i="1"/>
  <c r="G260" i="1"/>
  <c r="H260" i="1"/>
  <c r="H264" i="1"/>
  <c r="G279" i="1"/>
  <c r="G278" i="1" s="1"/>
  <c r="H258" i="1"/>
  <c r="G263" i="1"/>
  <c r="H268" i="1"/>
  <c r="G255" i="1"/>
  <c r="H265" i="1"/>
  <c r="H262" i="1"/>
  <c r="G264" i="1"/>
  <c r="G267" i="1"/>
  <c r="H253" i="1"/>
  <c r="H257" i="1"/>
  <c r="G256" i="1"/>
  <c r="H266" i="1"/>
  <c r="G268" i="1"/>
  <c r="G258" i="1"/>
  <c r="G262" i="1"/>
  <c r="G266" i="1"/>
  <c r="G254" i="1"/>
  <c r="G253" i="1"/>
  <c r="G257" i="1"/>
  <c r="G261" i="1"/>
  <c r="G265" i="1"/>
  <c r="G269" i="1"/>
  <c r="G33" i="14" l="1"/>
  <c r="G32" i="14"/>
  <c r="H2153" i="1"/>
  <c r="G2153" i="1"/>
  <c r="H2152" i="1"/>
  <c r="G2152" i="1"/>
  <c r="H2151" i="1"/>
  <c r="G2151" i="1"/>
  <c r="H2150" i="1"/>
  <c r="G2150" i="1"/>
  <c r="H2145" i="1"/>
  <c r="G2145" i="1"/>
  <c r="H2144" i="1"/>
  <c r="G2144" i="1"/>
  <c r="H2143" i="1"/>
  <c r="G2143" i="1"/>
  <c r="H2142" i="1"/>
  <c r="G2142" i="1"/>
  <c r="H2140" i="1"/>
  <c r="G2140" i="1"/>
  <c r="H2139" i="1"/>
  <c r="G2139" i="1"/>
  <c r="H2137" i="1"/>
  <c r="G2137" i="1"/>
  <c r="H2136" i="1"/>
  <c r="G2136" i="1"/>
  <c r="H2135" i="1"/>
  <c r="H2134" i="1"/>
  <c r="G2134" i="1"/>
  <c r="H2132" i="1"/>
  <c r="G2132" i="1"/>
  <c r="H2131" i="1"/>
  <c r="G2131" i="1"/>
  <c r="H2130" i="1"/>
  <c r="G2130" i="1"/>
  <c r="H2129" i="1"/>
  <c r="G2129" i="1"/>
  <c r="H2127" i="1"/>
  <c r="G2127" i="1"/>
  <c r="H2126" i="1"/>
  <c r="G2126" i="1"/>
  <c r="H2125" i="1"/>
  <c r="G2125" i="1"/>
  <c r="H2124" i="1"/>
  <c r="G2124" i="1"/>
  <c r="H2123" i="1"/>
  <c r="G2123" i="1"/>
  <c r="H2122" i="1"/>
  <c r="G2122" i="1"/>
  <c r="H2121" i="1"/>
  <c r="G2121" i="1"/>
  <c r="H2119" i="1"/>
  <c r="G2119" i="1"/>
  <c r="H2118" i="1"/>
  <c r="G2118" i="1"/>
  <c r="H2117" i="1"/>
  <c r="G2117" i="1"/>
  <c r="H2114" i="1"/>
  <c r="G2114" i="1"/>
  <c r="H2113" i="1"/>
  <c r="G2113" i="1"/>
  <c r="H2112" i="1"/>
  <c r="G2112" i="1"/>
  <c r="H2111" i="1"/>
  <c r="G2111" i="1"/>
  <c r="H2110" i="1"/>
  <c r="G2110" i="1"/>
  <c r="H2109" i="1"/>
  <c r="G2109" i="1"/>
  <c r="H2107" i="1"/>
  <c r="G2107" i="1"/>
  <c r="H2106" i="1"/>
  <c r="G2106" i="1"/>
  <c r="H2105" i="1"/>
  <c r="G2105" i="1"/>
  <c r="H2104" i="1"/>
  <c r="G2104" i="1"/>
  <c r="H2103" i="1"/>
  <c r="G2103" i="1"/>
  <c r="H2102" i="1"/>
  <c r="G2102" i="1"/>
  <c r="H2101" i="1"/>
  <c r="G2101" i="1"/>
  <c r="H2100" i="1"/>
  <c r="G2100" i="1"/>
  <c r="H2099" i="1"/>
  <c r="G2099" i="1"/>
  <c r="H2098" i="1"/>
  <c r="G2098" i="1"/>
  <c r="H2096" i="1"/>
  <c r="H2095" i="1"/>
  <c r="G2095" i="1"/>
  <c r="H2094" i="1"/>
  <c r="G2094" i="1"/>
  <c r="H2093" i="1"/>
  <c r="G2093" i="1"/>
  <c r="H2092" i="1"/>
  <c r="G2092" i="1"/>
  <c r="H2091" i="1"/>
  <c r="G2091" i="1"/>
  <c r="H2090" i="1"/>
  <c r="G2090" i="1"/>
  <c r="H2089" i="1"/>
  <c r="G2089" i="1"/>
  <c r="H2088" i="1"/>
  <c r="G2088" i="1"/>
  <c r="H2087" i="1"/>
  <c r="G2087" i="1"/>
  <c r="H2086" i="1"/>
  <c r="G2086" i="1"/>
  <c r="H2085" i="1"/>
  <c r="G2085" i="1"/>
  <c r="H2084" i="1"/>
  <c r="G2084" i="1"/>
  <c r="H2083" i="1"/>
  <c r="G2083" i="1"/>
  <c r="H2082" i="1"/>
  <c r="G2082" i="1"/>
  <c r="H2073" i="1"/>
  <c r="G2073" i="1"/>
  <c r="G2069" i="1"/>
  <c r="H2067" i="1"/>
  <c r="G2067" i="1"/>
  <c r="H2066" i="1"/>
  <c r="G2066" i="1"/>
  <c r="H2065" i="1"/>
  <c r="G2065" i="1"/>
  <c r="H2062" i="1"/>
  <c r="G2062" i="1"/>
  <c r="H2061" i="1"/>
  <c r="G2061" i="1"/>
  <c r="H2059" i="1"/>
  <c r="G2059" i="1"/>
  <c r="G2058" i="1"/>
  <c r="H2058" i="1"/>
  <c r="H2057" i="1"/>
  <c r="G2057" i="1"/>
  <c r="H2055" i="1"/>
  <c r="G2055" i="1"/>
  <c r="H2054" i="1"/>
  <c r="G2054" i="1"/>
  <c r="H2051" i="1"/>
  <c r="G2051" i="1"/>
  <c r="H2050" i="1"/>
  <c r="G2050" i="1"/>
  <c r="H2049" i="1"/>
  <c r="G2049" i="1"/>
  <c r="H2047" i="1"/>
  <c r="G2047" i="1"/>
  <c r="H2046" i="1"/>
  <c r="G2046" i="1"/>
  <c r="H2044" i="1"/>
  <c r="G2044" i="1"/>
  <c r="H2042" i="1"/>
  <c r="G2042" i="1"/>
  <c r="N2040" i="1"/>
  <c r="H2040" i="1"/>
  <c r="G2040" i="1"/>
  <c r="H2039" i="1"/>
  <c r="G2039" i="1"/>
  <c r="H2036" i="1"/>
  <c r="G2036" i="1"/>
  <c r="H2035" i="1"/>
  <c r="G2035" i="1"/>
  <c r="H2034" i="1"/>
  <c r="G2034" i="1"/>
  <c r="H2033" i="1"/>
  <c r="G2033" i="1"/>
  <c r="H2031" i="1"/>
  <c r="G2031" i="1"/>
  <c r="H2029" i="1"/>
  <c r="G2029" i="1"/>
  <c r="H2024" i="1"/>
  <c r="G2024" i="1"/>
  <c r="H2023" i="1"/>
  <c r="G2023" i="1"/>
  <c r="H2022" i="1"/>
  <c r="G2022" i="1"/>
  <c r="H2021" i="1"/>
  <c r="G2021" i="1"/>
  <c r="H2020" i="1"/>
  <c r="G2020" i="1"/>
  <c r="H2019" i="1"/>
  <c r="G2019" i="1"/>
  <c r="H2018" i="1"/>
  <c r="G2018" i="1"/>
  <c r="H2016" i="1"/>
  <c r="G2016" i="1"/>
  <c r="H2014" i="1"/>
  <c r="G2014" i="1"/>
  <c r="H2013" i="1"/>
  <c r="G2013" i="1"/>
  <c r="H2012" i="1"/>
  <c r="G2012" i="1"/>
  <c r="H2011" i="1"/>
  <c r="G2011" i="1"/>
  <c r="H2009" i="1"/>
  <c r="H2007" i="1"/>
  <c r="G2007" i="1"/>
  <c r="H2004" i="1"/>
  <c r="H2002" i="1"/>
  <c r="G2002" i="1"/>
  <c r="H2001" i="1"/>
  <c r="G2001" i="1"/>
  <c r="H2000" i="1"/>
  <c r="G2000" i="1"/>
  <c r="H1998" i="1"/>
  <c r="G1998" i="1"/>
  <c r="H1997" i="1"/>
  <c r="G1997" i="1"/>
  <c r="H1996" i="1"/>
  <c r="G1996" i="1"/>
  <c r="H1995" i="1"/>
  <c r="G1995" i="1"/>
  <c r="H1994" i="1"/>
  <c r="G1994" i="1"/>
  <c r="H1993" i="1"/>
  <c r="G1993" i="1"/>
  <c r="H1992" i="1"/>
  <c r="G1992" i="1"/>
  <c r="H1990" i="1"/>
  <c r="G1990" i="1"/>
  <c r="H1988" i="1"/>
  <c r="G1988" i="1"/>
  <c r="H1986" i="1"/>
  <c r="G1986" i="1"/>
  <c r="H1985" i="1"/>
  <c r="G1985" i="1"/>
  <c r="H1984" i="1"/>
  <c r="G1984" i="1"/>
  <c r="H1983" i="1"/>
  <c r="G1983" i="1"/>
  <c r="H1982" i="1"/>
  <c r="G1982" i="1"/>
  <c r="H1981" i="1"/>
  <c r="G1981" i="1"/>
  <c r="H1979" i="1"/>
  <c r="G1979" i="1"/>
  <c r="H1977" i="1"/>
  <c r="G1977" i="1"/>
  <c r="H1975" i="1"/>
  <c r="G1975" i="1"/>
  <c r="H1974" i="1"/>
  <c r="G1974" i="1"/>
  <c r="H1972" i="1"/>
  <c r="G1972" i="1"/>
  <c r="H1971" i="1"/>
  <c r="G1971" i="1"/>
  <c r="H1969" i="1"/>
  <c r="G1969" i="1"/>
  <c r="H1968" i="1"/>
  <c r="G1968" i="1"/>
  <c r="H1967" i="1"/>
  <c r="G1967" i="1"/>
  <c r="H1964" i="1"/>
  <c r="G1964" i="1"/>
  <c r="H1963" i="1"/>
  <c r="G1963" i="1"/>
  <c r="H1962" i="1"/>
  <c r="G1962" i="1"/>
  <c r="H1961" i="1"/>
  <c r="G1961" i="1"/>
  <c r="H1954" i="1"/>
  <c r="G1954" i="1"/>
  <c r="H1953" i="1"/>
  <c r="G1953" i="1"/>
  <c r="H1952" i="1"/>
  <c r="G1952" i="1"/>
  <c r="H1949" i="1"/>
  <c r="G1949" i="1"/>
  <c r="H1947" i="1"/>
  <c r="G1947" i="1"/>
  <c r="H1946" i="1"/>
  <c r="G1946" i="1"/>
  <c r="G1942" i="1"/>
  <c r="G1941" i="1"/>
  <c r="G1940" i="1"/>
  <c r="G1939" i="1"/>
  <c r="H1934" i="1"/>
  <c r="G1934" i="1"/>
  <c r="G1933" i="1"/>
  <c r="G1932" i="1"/>
  <c r="G1929" i="1"/>
  <c r="G1927" i="1"/>
  <c r="G1925" i="1"/>
  <c r="H1924" i="1"/>
  <c r="G1924" i="1"/>
  <c r="H1942" i="1"/>
  <c r="H1920" i="1"/>
  <c r="G1920" i="1"/>
  <c r="H1919" i="1"/>
  <c r="G1919" i="1"/>
  <c r="H1918" i="1"/>
  <c r="G1918" i="1"/>
  <c r="H1917" i="1"/>
  <c r="G1917" i="1"/>
  <c r="H1914" i="1"/>
  <c r="H1910" i="1"/>
  <c r="G1910" i="1"/>
  <c r="H1909" i="1"/>
  <c r="G1909" i="1"/>
  <c r="H1908" i="1"/>
  <c r="G1908" i="1"/>
  <c r="H1904" i="1"/>
  <c r="G1904" i="1"/>
  <c r="H1902" i="1"/>
  <c r="G1902" i="1"/>
  <c r="H1901" i="1"/>
  <c r="G1901" i="1"/>
  <c r="H1897" i="1"/>
  <c r="G1897" i="1"/>
  <c r="H1896" i="1"/>
  <c r="G1896" i="1"/>
  <c r="H1895" i="1"/>
  <c r="G1895" i="1"/>
  <c r="H1894" i="1"/>
  <c r="G1894" i="1"/>
  <c r="H1889" i="1"/>
  <c r="G1889" i="1"/>
  <c r="H1888" i="1"/>
  <c r="G1887" i="1"/>
  <c r="H1884" i="1"/>
  <c r="G1884" i="1"/>
  <c r="H1881" i="1"/>
  <c r="G1881" i="1"/>
  <c r="H1879" i="1"/>
  <c r="G1879" i="1"/>
  <c r="H1878" i="1"/>
  <c r="G1878" i="1"/>
  <c r="H1873" i="1"/>
  <c r="G1873" i="1"/>
  <c r="G1871" i="1" s="1"/>
  <c r="H1870" i="1"/>
  <c r="G1870" i="1"/>
  <c r="H1868" i="1"/>
  <c r="G1868" i="1"/>
  <c r="H1864" i="1"/>
  <c r="G1864" i="1"/>
  <c r="H1863" i="1"/>
  <c r="G1863" i="1"/>
  <c r="H1862" i="1"/>
  <c r="G1862" i="1"/>
  <c r="H1861" i="1"/>
  <c r="G1861" i="1"/>
  <c r="H1860" i="1"/>
  <c r="G1860" i="1"/>
  <c r="H1859" i="1"/>
  <c r="G1859" i="1"/>
  <c r="H1858" i="1"/>
  <c r="G1858" i="1"/>
  <c r="H1857" i="1"/>
  <c r="G1857" i="1"/>
  <c r="H1856" i="1"/>
  <c r="G1856" i="1"/>
  <c r="H1855" i="1"/>
  <c r="G1855" i="1"/>
  <c r="H1854" i="1"/>
  <c r="G1854" i="1"/>
  <c r="H1853" i="1"/>
  <c r="G1853" i="1"/>
  <c r="H1852" i="1"/>
  <c r="G1852" i="1"/>
  <c r="H1851" i="1"/>
  <c r="G1851" i="1"/>
  <c r="H1850" i="1"/>
  <c r="G1850" i="1"/>
  <c r="H1849" i="1"/>
  <c r="G1849" i="1"/>
  <c r="H1848" i="1"/>
  <c r="G1848" i="1"/>
  <c r="H1847" i="1"/>
  <c r="G1847" i="1"/>
  <c r="H1846" i="1"/>
  <c r="G1846" i="1"/>
  <c r="H1845" i="1"/>
  <c r="G1845" i="1"/>
  <c r="H1843" i="1"/>
  <c r="G1843" i="1"/>
  <c r="H1842" i="1"/>
  <c r="H1841" i="1"/>
  <c r="G1841" i="1"/>
  <c r="H1839" i="1"/>
  <c r="G1839" i="1"/>
  <c r="H1838" i="1"/>
  <c r="G1838" i="1"/>
  <c r="H1837" i="1"/>
  <c r="G1837" i="1"/>
  <c r="H1835" i="1"/>
  <c r="G1835" i="1"/>
  <c r="H1834" i="1"/>
  <c r="G1834" i="1"/>
  <c r="H1867" i="1" l="1"/>
  <c r="G1867" i="1"/>
  <c r="G2096" i="1"/>
  <c r="H2070" i="1"/>
  <c r="G1891" i="1"/>
  <c r="H1891" i="1"/>
  <c r="H1913" i="1"/>
  <c r="G2009" i="1"/>
  <c r="G2004" i="1"/>
  <c r="H1912" i="1"/>
  <c r="H2005" i="1"/>
  <c r="H1989" i="1" s="1"/>
  <c r="H1871" i="1"/>
  <c r="H1887" i="1"/>
  <c r="H2115" i="1"/>
  <c r="G2115" i="1"/>
  <c r="G2074" i="1"/>
  <c r="G2108" i="1"/>
  <c r="G1912" i="1"/>
  <c r="H2108" i="1"/>
  <c r="H2069" i="1"/>
  <c r="G1958" i="1"/>
  <c r="H1958" i="1"/>
  <c r="H2078" i="1"/>
  <c r="G2078" i="1"/>
  <c r="G2027" i="1"/>
  <c r="H2027" i="1"/>
  <c r="H1892" i="1"/>
  <c r="G1892" i="1"/>
  <c r="G1937" i="1"/>
  <c r="H1937" i="1"/>
  <c r="G1888" i="1"/>
  <c r="G1956" i="1"/>
  <c r="H2074" i="1"/>
  <c r="G2077" i="1"/>
  <c r="H1956" i="1"/>
  <c r="H2077" i="1"/>
  <c r="H1927" i="1"/>
  <c r="H1932" i="1"/>
  <c r="H1939" i="1"/>
  <c r="H1941" i="1"/>
  <c r="G2075" i="1"/>
  <c r="G1936" i="1"/>
  <c r="G2026" i="1"/>
  <c r="H2075" i="1"/>
  <c r="G1914" i="1"/>
  <c r="H1936" i="1"/>
  <c r="H2026" i="1"/>
  <c r="H1925" i="1"/>
  <c r="H1929" i="1"/>
  <c r="H1933" i="1"/>
  <c r="H1940" i="1"/>
  <c r="H1831" i="1"/>
  <c r="G1842" i="1"/>
  <c r="G1831" i="1" s="1"/>
  <c r="H1922" i="1" l="1"/>
  <c r="G1922" i="1"/>
  <c r="H1876" i="1"/>
  <c r="G1876" i="1"/>
  <c r="G1915" i="1"/>
  <c r="G2070" i="1"/>
  <c r="H2015" i="1"/>
  <c r="G1913" i="1"/>
  <c r="G2015" i="1"/>
  <c r="G2005" i="1"/>
  <c r="S6" i="14" s="1"/>
  <c r="H2037" i="1"/>
  <c r="H1957" i="1"/>
  <c r="G1957" i="1"/>
  <c r="G1989" i="1" l="1"/>
  <c r="H1915" i="1"/>
  <c r="G1899" i="1"/>
  <c r="G1875" i="1" s="1"/>
  <c r="G2037" i="1"/>
  <c r="H1959" i="1"/>
  <c r="H1944" i="1" s="1"/>
  <c r="H1921" i="1" s="1"/>
  <c r="G1959" i="1"/>
  <c r="G1944" i="1" s="1"/>
  <c r="G1921" i="1" s="1"/>
  <c r="H1899" i="1" l="1"/>
  <c r="H1875" i="1" s="1"/>
  <c r="H1874" i="1" s="1"/>
  <c r="G1874" i="1"/>
  <c r="H54" i="1"/>
  <c r="G54" i="1"/>
  <c r="H53" i="1"/>
  <c r="G53" i="1"/>
  <c r="H51" i="1"/>
  <c r="G51" i="1"/>
  <c r="H44" i="1"/>
  <c r="G44" i="1"/>
  <c r="H43" i="1"/>
  <c r="G43" i="1"/>
  <c r="H42" i="1"/>
  <c r="G42" i="1"/>
  <c r="H41" i="1"/>
  <c r="G41" i="1"/>
  <c r="H40" i="1"/>
  <c r="G40" i="1"/>
  <c r="H38" i="1"/>
  <c r="G38" i="1"/>
  <c r="H37" i="1"/>
  <c r="G37" i="1"/>
  <c r="H36" i="1"/>
  <c r="G36" i="1"/>
  <c r="H35" i="1"/>
  <c r="G35" i="1"/>
  <c r="H34" i="1"/>
  <c r="G34" i="1"/>
  <c r="H33" i="1"/>
  <c r="G33" i="1"/>
  <c r="H73" i="1"/>
  <c r="G73" i="1"/>
  <c r="H72" i="1"/>
  <c r="G72" i="1"/>
  <c r="H71" i="1"/>
  <c r="G71" i="1"/>
  <c r="H70" i="1"/>
  <c r="G70" i="1"/>
  <c r="H68" i="1"/>
  <c r="G68" i="1"/>
  <c r="H66" i="1"/>
  <c r="G66" i="1"/>
  <c r="H65" i="1"/>
  <c r="G65" i="1"/>
  <c r="H64" i="1"/>
  <c r="G64" i="1"/>
  <c r="H63" i="1"/>
  <c r="G63" i="1"/>
  <c r="H62" i="1"/>
  <c r="G62" i="1"/>
  <c r="H61" i="1"/>
  <c r="G61" i="1"/>
  <c r="H59" i="1"/>
  <c r="G59" i="1"/>
  <c r="H58" i="1"/>
  <c r="G58" i="1"/>
  <c r="H57" i="1"/>
  <c r="G57" i="1"/>
  <c r="H50" i="1"/>
  <c r="G50" i="1"/>
  <c r="H49" i="1"/>
  <c r="G49" i="1"/>
  <c r="H48" i="1"/>
  <c r="G48" i="1"/>
  <c r="H47" i="1"/>
  <c r="G47" i="1"/>
  <c r="G46" i="1" s="1"/>
  <c r="G39" i="1" l="1"/>
  <c r="G32" i="1"/>
  <c r="H67" i="1"/>
  <c r="G67" i="1"/>
  <c r="H46" i="1"/>
  <c r="G60" i="1"/>
  <c r="G45" i="1" s="1"/>
  <c r="H60" i="1"/>
  <c r="H45" i="1" l="1"/>
  <c r="H39" i="1" s="1"/>
  <c r="H32" i="1" s="1"/>
  <c r="H803" i="1"/>
  <c r="G803" i="1"/>
  <c r="H802" i="1"/>
  <c r="G802" i="1"/>
  <c r="H801" i="1"/>
  <c r="G801" i="1"/>
  <c r="G788" i="1"/>
  <c r="G780" i="1"/>
  <c r="G609" i="1"/>
  <c r="G417" i="1"/>
  <c r="H914" i="1"/>
  <c r="G914" i="1"/>
  <c r="H913" i="1"/>
  <c r="G913" i="1"/>
  <c r="H912" i="1"/>
  <c r="G912" i="1"/>
  <c r="H911" i="1"/>
  <c r="G911" i="1"/>
  <c r="H909" i="1"/>
  <c r="G909" i="1"/>
  <c r="H908" i="1"/>
  <c r="G908" i="1"/>
  <c r="H907" i="1"/>
  <c r="G907" i="1"/>
  <c r="H906" i="1"/>
  <c r="G906" i="1"/>
  <c r="H905" i="1"/>
  <c r="G905" i="1"/>
  <c r="H904" i="1"/>
  <c r="G904" i="1"/>
  <c r="H903" i="1"/>
  <c r="G903" i="1"/>
  <c r="H902" i="1"/>
  <c r="G902" i="1"/>
  <c r="H901" i="1"/>
  <c r="G901" i="1"/>
  <c r="H900" i="1"/>
  <c r="G900" i="1"/>
  <c r="H899" i="1"/>
  <c r="G899" i="1"/>
  <c r="H897" i="1"/>
  <c r="G897" i="1"/>
  <c r="H896" i="1"/>
  <c r="G896" i="1"/>
  <c r="H895" i="1"/>
  <c r="G895" i="1"/>
  <c r="H894" i="1"/>
  <c r="G894" i="1"/>
  <c r="H893" i="1"/>
  <c r="G893" i="1"/>
  <c r="H892" i="1"/>
  <c r="G892" i="1"/>
  <c r="H891" i="1"/>
  <c r="G891" i="1"/>
  <c r="H890" i="1"/>
  <c r="G890" i="1"/>
  <c r="H889" i="1"/>
  <c r="G889" i="1"/>
  <c r="H888" i="1"/>
  <c r="G888" i="1"/>
  <c r="H887" i="1"/>
  <c r="G887" i="1"/>
  <c r="H886" i="1"/>
  <c r="G886" i="1"/>
  <c r="H885" i="1"/>
  <c r="G885" i="1"/>
  <c r="H884" i="1"/>
  <c r="G884" i="1"/>
  <c r="H883" i="1"/>
  <c r="G883" i="1"/>
  <c r="H882" i="1"/>
  <c r="G882" i="1"/>
  <c r="H881" i="1"/>
  <c r="G881" i="1"/>
  <c r="H880" i="1"/>
  <c r="G880" i="1"/>
  <c r="H879" i="1"/>
  <c r="G879" i="1"/>
  <c r="H878" i="1"/>
  <c r="G878" i="1"/>
  <c r="H876" i="1"/>
  <c r="G876" i="1"/>
  <c r="H875" i="1"/>
  <c r="G875" i="1"/>
  <c r="H874" i="1"/>
  <c r="G874" i="1"/>
  <c r="H873" i="1"/>
  <c r="G873" i="1"/>
  <c r="H872" i="1"/>
  <c r="G872" i="1"/>
  <c r="H870" i="1"/>
  <c r="G870" i="1"/>
  <c r="H869" i="1"/>
  <c r="G869" i="1"/>
  <c r="H868" i="1"/>
  <c r="G868" i="1"/>
  <c r="H867" i="1"/>
  <c r="G867" i="1"/>
  <c r="H866" i="1"/>
  <c r="G866" i="1"/>
  <c r="H865" i="1"/>
  <c r="G865" i="1"/>
  <c r="H862" i="1"/>
  <c r="G862" i="1"/>
  <c r="H861" i="1"/>
  <c r="G861" i="1"/>
  <c r="H860" i="1"/>
  <c r="G860" i="1"/>
  <c r="H859" i="1"/>
  <c r="G859" i="1"/>
  <c r="H858" i="1"/>
  <c r="G858" i="1"/>
  <c r="H857" i="1"/>
  <c r="G857" i="1"/>
  <c r="H856" i="1"/>
  <c r="G856" i="1"/>
  <c r="H855" i="1"/>
  <c r="G855" i="1"/>
  <c r="H854" i="1"/>
  <c r="G854" i="1"/>
  <c r="H853" i="1"/>
  <c r="G853" i="1"/>
  <c r="H852" i="1"/>
  <c r="G852" i="1"/>
  <c r="H851" i="1"/>
  <c r="G851" i="1"/>
  <c r="H850" i="1"/>
  <c r="G850" i="1"/>
  <c r="H849" i="1"/>
  <c r="G849" i="1"/>
  <c r="H848" i="1"/>
  <c r="G848" i="1"/>
  <c r="H847" i="1"/>
  <c r="G847" i="1"/>
  <c r="H846" i="1"/>
  <c r="G846" i="1"/>
  <c r="H845" i="1"/>
  <c r="G845" i="1"/>
  <c r="H844" i="1"/>
  <c r="G844" i="1"/>
  <c r="H843" i="1"/>
  <c r="G843" i="1"/>
  <c r="H842" i="1"/>
  <c r="G842" i="1"/>
  <c r="H840" i="1"/>
  <c r="G840" i="1"/>
  <c r="H839" i="1"/>
  <c r="G839" i="1"/>
  <c r="H838" i="1"/>
  <c r="G838" i="1"/>
  <c r="H837" i="1"/>
  <c r="G837" i="1"/>
  <c r="H836" i="1"/>
  <c r="G836" i="1"/>
  <c r="H834" i="1"/>
  <c r="G834" i="1"/>
  <c r="H833" i="1"/>
  <c r="G833" i="1"/>
  <c r="H832" i="1"/>
  <c r="G832" i="1"/>
  <c r="H831" i="1"/>
  <c r="G831" i="1"/>
  <c r="H830" i="1"/>
  <c r="G830" i="1"/>
  <c r="H829" i="1"/>
  <c r="G829" i="1"/>
  <c r="H826" i="1"/>
  <c r="G826" i="1"/>
  <c r="H825" i="1"/>
  <c r="G825" i="1"/>
  <c r="H824" i="1"/>
  <c r="G824" i="1"/>
  <c r="H823" i="1"/>
  <c r="G823" i="1"/>
  <c r="H822" i="1"/>
  <c r="G822" i="1"/>
  <c r="H821" i="1"/>
  <c r="G821" i="1"/>
  <c r="H820" i="1"/>
  <c r="G820" i="1"/>
  <c r="H819" i="1"/>
  <c r="G819" i="1"/>
  <c r="H818" i="1"/>
  <c r="G818" i="1"/>
  <c r="H817" i="1"/>
  <c r="G817" i="1"/>
  <c r="H816" i="1"/>
  <c r="G816" i="1"/>
  <c r="H815" i="1"/>
  <c r="G815" i="1"/>
  <c r="H814" i="1"/>
  <c r="G814" i="1"/>
  <c r="H813" i="1"/>
  <c r="G813" i="1"/>
  <c r="H812" i="1"/>
  <c r="G812" i="1"/>
  <c r="H811" i="1"/>
  <c r="G811" i="1"/>
  <c r="H810" i="1"/>
  <c r="G810" i="1"/>
  <c r="H809" i="1"/>
  <c r="G809" i="1"/>
  <c r="H808" i="1"/>
  <c r="G808" i="1"/>
  <c r="H807" i="1"/>
  <c r="G807" i="1"/>
  <c r="H805" i="1"/>
  <c r="G805" i="1"/>
  <c r="H804" i="1"/>
  <c r="G804" i="1"/>
  <c r="H799" i="1"/>
  <c r="G799" i="1"/>
  <c r="H798" i="1"/>
  <c r="G798" i="1"/>
  <c r="H797" i="1"/>
  <c r="G797" i="1"/>
  <c r="H796" i="1"/>
  <c r="G796" i="1"/>
  <c r="H795" i="1"/>
  <c r="G795" i="1"/>
  <c r="H794" i="1"/>
  <c r="G794" i="1"/>
  <c r="H790" i="1"/>
  <c r="G790" i="1"/>
  <c r="H789" i="1"/>
  <c r="G789" i="1"/>
  <c r="H788" i="1"/>
  <c r="H787" i="1"/>
  <c r="G787" i="1"/>
  <c r="H786" i="1"/>
  <c r="G786" i="1"/>
  <c r="H785" i="1"/>
  <c r="G785" i="1"/>
  <c r="H784" i="1"/>
  <c r="G784" i="1"/>
  <c r="H783" i="1"/>
  <c r="G783" i="1"/>
  <c r="H782" i="1"/>
  <c r="G782" i="1"/>
  <c r="H781" i="1"/>
  <c r="G781" i="1"/>
  <c r="H780" i="1"/>
  <c r="H778" i="1"/>
  <c r="G778" i="1"/>
  <c r="H777" i="1"/>
  <c r="G777" i="1"/>
  <c r="H776" i="1"/>
  <c r="G776" i="1"/>
  <c r="H775" i="1"/>
  <c r="G775" i="1"/>
  <c r="H774" i="1"/>
  <c r="G774" i="1"/>
  <c r="H773" i="1"/>
  <c r="G773" i="1"/>
  <c r="H772" i="1"/>
  <c r="G772" i="1"/>
  <c r="H771" i="1"/>
  <c r="G771" i="1"/>
  <c r="H770" i="1"/>
  <c r="G770" i="1"/>
  <c r="H769" i="1"/>
  <c r="G769" i="1"/>
  <c r="H768" i="1"/>
  <c r="G768" i="1"/>
  <c r="H767" i="1"/>
  <c r="G767" i="1"/>
  <c r="H766" i="1"/>
  <c r="G766" i="1"/>
  <c r="H765" i="1"/>
  <c r="G765" i="1"/>
  <c r="H764" i="1"/>
  <c r="G764" i="1"/>
  <c r="H763" i="1"/>
  <c r="G763" i="1"/>
  <c r="H762" i="1"/>
  <c r="G762" i="1"/>
  <c r="H761" i="1"/>
  <c r="G761" i="1"/>
  <c r="H760" i="1"/>
  <c r="G760" i="1"/>
  <c r="H759" i="1"/>
  <c r="G759" i="1"/>
  <c r="H757" i="1"/>
  <c r="G757" i="1"/>
  <c r="H756" i="1"/>
  <c r="G756" i="1"/>
  <c r="H755" i="1"/>
  <c r="G755" i="1"/>
  <c r="H754" i="1"/>
  <c r="G754" i="1"/>
  <c r="H753" i="1"/>
  <c r="G753" i="1"/>
  <c r="H751" i="1"/>
  <c r="G751" i="1"/>
  <c r="H750" i="1"/>
  <c r="G750" i="1"/>
  <c r="H749" i="1"/>
  <c r="G749" i="1"/>
  <c r="H748" i="1"/>
  <c r="G748" i="1"/>
  <c r="H747" i="1"/>
  <c r="G747" i="1"/>
  <c r="H746" i="1"/>
  <c r="G746" i="1"/>
  <c r="H743" i="1"/>
  <c r="G743" i="1"/>
  <c r="H742" i="1"/>
  <c r="G742" i="1"/>
  <c r="H741" i="1"/>
  <c r="G741" i="1"/>
  <c r="H740" i="1"/>
  <c r="G740" i="1"/>
  <c r="H739" i="1"/>
  <c r="G739" i="1"/>
  <c r="H738" i="1"/>
  <c r="G738" i="1"/>
  <c r="H737" i="1"/>
  <c r="G737" i="1"/>
  <c r="H736" i="1"/>
  <c r="G736" i="1"/>
  <c r="H735" i="1"/>
  <c r="G735" i="1"/>
  <c r="H734" i="1"/>
  <c r="G734" i="1"/>
  <c r="H733" i="1"/>
  <c r="G733" i="1"/>
  <c r="H732" i="1"/>
  <c r="G732" i="1"/>
  <c r="H731" i="1"/>
  <c r="G731" i="1"/>
  <c r="H730" i="1"/>
  <c r="G730" i="1"/>
  <c r="H729" i="1"/>
  <c r="G729" i="1"/>
  <c r="H728" i="1"/>
  <c r="G728" i="1"/>
  <c r="H727" i="1"/>
  <c r="G727" i="1"/>
  <c r="H726" i="1"/>
  <c r="G726" i="1"/>
  <c r="H725" i="1"/>
  <c r="G725" i="1"/>
  <c r="H724" i="1"/>
  <c r="G724" i="1"/>
  <c r="H723" i="1"/>
  <c r="G723" i="1"/>
  <c r="H721" i="1"/>
  <c r="G721" i="1"/>
  <c r="H720" i="1"/>
  <c r="G720" i="1"/>
  <c r="H719" i="1"/>
  <c r="G719" i="1"/>
  <c r="H718" i="1"/>
  <c r="G718" i="1"/>
  <c r="H717" i="1"/>
  <c r="G717" i="1"/>
  <c r="H715" i="1"/>
  <c r="G715" i="1"/>
  <c r="H714" i="1"/>
  <c r="G714" i="1"/>
  <c r="H713" i="1"/>
  <c r="G713" i="1"/>
  <c r="H712" i="1"/>
  <c r="G712" i="1"/>
  <c r="H711" i="1"/>
  <c r="G711" i="1"/>
  <c r="H710" i="1"/>
  <c r="G710" i="1"/>
  <c r="G627" i="1"/>
  <c r="H707" i="1"/>
  <c r="G707" i="1"/>
  <c r="H706" i="1"/>
  <c r="G706" i="1"/>
  <c r="H705" i="1"/>
  <c r="G705" i="1"/>
  <c r="H704" i="1"/>
  <c r="G704" i="1"/>
  <c r="H703" i="1"/>
  <c r="G703" i="1"/>
  <c r="H702" i="1"/>
  <c r="G702" i="1"/>
  <c r="H701" i="1"/>
  <c r="G701" i="1"/>
  <c r="H700" i="1"/>
  <c r="G700" i="1"/>
  <c r="H699" i="1"/>
  <c r="G699" i="1"/>
  <c r="H698" i="1"/>
  <c r="G698" i="1"/>
  <c r="H697" i="1"/>
  <c r="G697" i="1"/>
  <c r="H696" i="1"/>
  <c r="G696" i="1"/>
  <c r="H695" i="1"/>
  <c r="G695" i="1"/>
  <c r="H694" i="1"/>
  <c r="G694" i="1"/>
  <c r="H693" i="1"/>
  <c r="G693" i="1"/>
  <c r="H692" i="1"/>
  <c r="G692" i="1"/>
  <c r="H691" i="1"/>
  <c r="G691" i="1"/>
  <c r="H690" i="1"/>
  <c r="G690" i="1"/>
  <c r="H689" i="1"/>
  <c r="G689" i="1"/>
  <c r="H688" i="1"/>
  <c r="G688" i="1"/>
  <c r="H686" i="1"/>
  <c r="G686" i="1"/>
  <c r="H685" i="1"/>
  <c r="G685" i="1"/>
  <c r="H684" i="1"/>
  <c r="G684" i="1"/>
  <c r="H683" i="1"/>
  <c r="G683" i="1"/>
  <c r="H682" i="1"/>
  <c r="G682" i="1"/>
  <c r="H680" i="1"/>
  <c r="G680" i="1"/>
  <c r="H679" i="1"/>
  <c r="G679" i="1"/>
  <c r="H678" i="1"/>
  <c r="G678" i="1"/>
  <c r="H677" i="1"/>
  <c r="G677" i="1"/>
  <c r="H676" i="1"/>
  <c r="G676" i="1"/>
  <c r="H675" i="1"/>
  <c r="G675" i="1"/>
  <c r="G584" i="1"/>
  <c r="H584" i="1"/>
  <c r="H583" i="1"/>
  <c r="G583" i="1"/>
  <c r="H582" i="1"/>
  <c r="G582" i="1"/>
  <c r="H581" i="1"/>
  <c r="G581" i="1"/>
  <c r="H580" i="1"/>
  <c r="G580" i="1"/>
  <c r="H579" i="1"/>
  <c r="G579" i="1"/>
  <c r="H578" i="1"/>
  <c r="G578" i="1"/>
  <c r="H577" i="1"/>
  <c r="G577" i="1"/>
  <c r="H576" i="1"/>
  <c r="G576" i="1"/>
  <c r="H575" i="1"/>
  <c r="G575" i="1"/>
  <c r="H574" i="1"/>
  <c r="G574" i="1"/>
  <c r="H573" i="1"/>
  <c r="G573" i="1"/>
  <c r="H572" i="1"/>
  <c r="G572" i="1"/>
  <c r="H571" i="1"/>
  <c r="G571" i="1"/>
  <c r="H570" i="1"/>
  <c r="G570" i="1"/>
  <c r="H569" i="1"/>
  <c r="G569" i="1"/>
  <c r="H568" i="1"/>
  <c r="G568" i="1"/>
  <c r="H567" i="1"/>
  <c r="G567" i="1"/>
  <c r="H566" i="1"/>
  <c r="G566" i="1"/>
  <c r="H565" i="1"/>
  <c r="G565" i="1"/>
  <c r="H564" i="1"/>
  <c r="G564" i="1"/>
  <c r="H562" i="1"/>
  <c r="G562" i="1"/>
  <c r="H561" i="1"/>
  <c r="G561" i="1"/>
  <c r="H560" i="1"/>
  <c r="G560" i="1"/>
  <c r="H559" i="1"/>
  <c r="G559" i="1"/>
  <c r="H558" i="1"/>
  <c r="G558" i="1"/>
  <c r="H556" i="1"/>
  <c r="G556" i="1"/>
  <c r="H555" i="1"/>
  <c r="G555" i="1"/>
  <c r="H554" i="1"/>
  <c r="G554" i="1"/>
  <c r="H553" i="1"/>
  <c r="G553" i="1"/>
  <c r="H552" i="1"/>
  <c r="G552" i="1"/>
  <c r="H551" i="1"/>
  <c r="G551" i="1"/>
  <c r="H513" i="1"/>
  <c r="G513" i="1"/>
  <c r="H512" i="1"/>
  <c r="G512" i="1"/>
  <c r="H511" i="1"/>
  <c r="G511" i="1"/>
  <c r="H510" i="1"/>
  <c r="G510" i="1"/>
  <c r="H509" i="1"/>
  <c r="G509" i="1"/>
  <c r="H508" i="1"/>
  <c r="G508" i="1"/>
  <c r="H507" i="1"/>
  <c r="G507" i="1"/>
  <c r="H506" i="1"/>
  <c r="G506" i="1"/>
  <c r="H505" i="1"/>
  <c r="G505" i="1"/>
  <c r="H504" i="1"/>
  <c r="G504" i="1"/>
  <c r="H503" i="1"/>
  <c r="G503" i="1"/>
  <c r="H502" i="1"/>
  <c r="G502" i="1"/>
  <c r="H501" i="1"/>
  <c r="G501" i="1"/>
  <c r="H500" i="1"/>
  <c r="G500" i="1"/>
  <c r="H499" i="1"/>
  <c r="G499" i="1"/>
  <c r="H498" i="1"/>
  <c r="G498" i="1"/>
  <c r="H497" i="1"/>
  <c r="G497" i="1"/>
  <c r="H496" i="1"/>
  <c r="G496" i="1"/>
  <c r="H494" i="1"/>
  <c r="G494" i="1"/>
  <c r="H493" i="1"/>
  <c r="G493" i="1"/>
  <c r="H492" i="1"/>
  <c r="G492" i="1"/>
  <c r="H491" i="1"/>
  <c r="G491" i="1"/>
  <c r="H490" i="1"/>
  <c r="G490" i="1"/>
  <c r="H487" i="1"/>
  <c r="G487" i="1"/>
  <c r="H486" i="1"/>
  <c r="G486" i="1"/>
  <c r="H485" i="1"/>
  <c r="G485" i="1"/>
  <c r="H484" i="1"/>
  <c r="G484" i="1"/>
  <c r="H483" i="1"/>
  <c r="G483" i="1"/>
  <c r="H481" i="1"/>
  <c r="G481" i="1"/>
  <c r="H480" i="1"/>
  <c r="G480" i="1"/>
  <c r="H479" i="1"/>
  <c r="G479" i="1"/>
  <c r="H478" i="1"/>
  <c r="G478" i="1"/>
  <c r="H477" i="1"/>
  <c r="G477" i="1"/>
  <c r="H476" i="1"/>
  <c r="G476" i="1"/>
  <c r="G473" i="1"/>
  <c r="H473" i="1" s="1"/>
  <c r="G472" i="1"/>
  <c r="H472" i="1" s="1"/>
  <c r="G471" i="1"/>
  <c r="H471" i="1" s="1"/>
  <c r="G470" i="1"/>
  <c r="H470" i="1" s="1"/>
  <c r="G469" i="1"/>
  <c r="H469" i="1" s="1"/>
  <c r="G468" i="1"/>
  <c r="H468" i="1" s="1"/>
  <c r="H387" i="1"/>
  <c r="G387" i="1"/>
  <c r="G388" i="1"/>
  <c r="H388" i="1"/>
  <c r="H462" i="1"/>
  <c r="G462" i="1"/>
  <c r="H488" i="1" l="1"/>
  <c r="H910" i="1"/>
  <c r="G898" i="1"/>
  <c r="G474" i="1"/>
  <c r="H758" i="1"/>
  <c r="H898" i="1"/>
  <c r="H474" i="1"/>
  <c r="G910" i="1"/>
  <c r="G841" i="1"/>
  <c r="H779" i="1"/>
  <c r="H841" i="1"/>
  <c r="H871" i="1"/>
  <c r="H877" i="1"/>
  <c r="G779" i="1"/>
  <c r="H828" i="1"/>
  <c r="H835" i="1"/>
  <c r="G877" i="1"/>
  <c r="G828" i="1"/>
  <c r="G871" i="1"/>
  <c r="G835" i="1"/>
  <c r="H752" i="1"/>
  <c r="G758" i="1"/>
  <c r="G752" i="1"/>
  <c r="G709" i="1"/>
  <c r="H716" i="1"/>
  <c r="G716" i="1"/>
  <c r="G722" i="1"/>
  <c r="H722" i="1"/>
  <c r="H709" i="1"/>
  <c r="H681" i="1"/>
  <c r="H673" i="1" s="1"/>
  <c r="G550" i="1"/>
  <c r="H550" i="1"/>
  <c r="H206" i="1"/>
  <c r="G827" i="1" l="1"/>
  <c r="H708" i="1"/>
  <c r="H744" i="1"/>
  <c r="H863" i="1"/>
  <c r="H827" i="1"/>
  <c r="H791" i="1" s="1"/>
  <c r="G863" i="1"/>
  <c r="G708" i="1"/>
  <c r="G673" i="1"/>
  <c r="G744" i="1"/>
  <c r="G488" i="1"/>
  <c r="G206" i="1"/>
  <c r="G20" i="14"/>
  <c r="H419" i="1"/>
  <c r="H418" i="1"/>
  <c r="H417" i="1"/>
  <c r="H416" i="1"/>
  <c r="H415" i="1"/>
  <c r="H414" i="1"/>
  <c r="H413" i="1"/>
  <c r="H412" i="1"/>
  <c r="H411" i="1"/>
  <c r="H410" i="1"/>
  <c r="H409" i="1"/>
  <c r="H408" i="1"/>
  <c r="H407" i="1"/>
  <c r="H406" i="1"/>
  <c r="H405" i="1"/>
  <c r="H404" i="1"/>
  <c r="H403" i="1"/>
  <c r="H402" i="1"/>
  <c r="H401" i="1"/>
  <c r="H400" i="1"/>
  <c r="H399" i="1"/>
  <c r="H398" i="1"/>
  <c r="H397" i="1"/>
  <c r="H453" i="1"/>
  <c r="H452" i="1"/>
  <c r="H451" i="1"/>
  <c r="H450" i="1"/>
  <c r="H449" i="1"/>
  <c r="H448" i="1"/>
  <c r="H447" i="1"/>
  <c r="H446" i="1"/>
  <c r="H445" i="1"/>
  <c r="H444" i="1"/>
  <c r="H463" i="1"/>
  <c r="H461" i="1"/>
  <c r="H460" i="1"/>
  <c r="H459" i="1"/>
  <c r="H458" i="1"/>
  <c r="H457" i="1"/>
  <c r="H456" i="1"/>
  <c r="H455" i="1"/>
  <c r="H454" i="1"/>
  <c r="G467" i="1"/>
  <c r="H467" i="1" s="1"/>
  <c r="G466" i="1"/>
  <c r="H466" i="1" s="1"/>
  <c r="G465" i="1"/>
  <c r="H465" i="1" s="1"/>
  <c r="G640" i="1"/>
  <c r="H640" i="1"/>
  <c r="H672" i="1"/>
  <c r="G672" i="1"/>
  <c r="H671" i="1"/>
  <c r="G671" i="1"/>
  <c r="H670" i="1"/>
  <c r="G670" i="1"/>
  <c r="H669" i="1"/>
  <c r="G669" i="1"/>
  <c r="H668" i="1"/>
  <c r="G668" i="1"/>
  <c r="H667" i="1"/>
  <c r="G667" i="1"/>
  <c r="H666" i="1"/>
  <c r="G666" i="1"/>
  <c r="H665" i="1"/>
  <c r="G665" i="1"/>
  <c r="H664" i="1"/>
  <c r="G664" i="1"/>
  <c r="H663" i="1"/>
  <c r="G663" i="1"/>
  <c r="H662" i="1"/>
  <c r="G662" i="1"/>
  <c r="H661" i="1"/>
  <c r="G661" i="1"/>
  <c r="H660" i="1"/>
  <c r="G660" i="1"/>
  <c r="H659" i="1"/>
  <c r="G659" i="1"/>
  <c r="H658" i="1"/>
  <c r="G658" i="1"/>
  <c r="H657" i="1"/>
  <c r="G657" i="1"/>
  <c r="H656" i="1"/>
  <c r="G656" i="1"/>
  <c r="H655" i="1"/>
  <c r="G655" i="1"/>
  <c r="H654" i="1"/>
  <c r="G654" i="1"/>
  <c r="H653" i="1"/>
  <c r="G653" i="1"/>
  <c r="H651" i="1"/>
  <c r="G651" i="1"/>
  <c r="H650" i="1"/>
  <c r="G650" i="1"/>
  <c r="H649" i="1"/>
  <c r="G649" i="1"/>
  <c r="H648" i="1"/>
  <c r="G648" i="1"/>
  <c r="H647" i="1"/>
  <c r="G647" i="1"/>
  <c r="H645" i="1"/>
  <c r="G645" i="1"/>
  <c r="H644" i="1"/>
  <c r="G644" i="1"/>
  <c r="H643" i="1"/>
  <c r="G643" i="1"/>
  <c r="H642" i="1"/>
  <c r="G642" i="1"/>
  <c r="H641" i="1"/>
  <c r="G641" i="1"/>
  <c r="G626" i="1"/>
  <c r="H626" i="1"/>
  <c r="H627" i="1"/>
  <c r="G628" i="1"/>
  <c r="H628" i="1"/>
  <c r="H632" i="1"/>
  <c r="G632" i="1"/>
  <c r="H631" i="1"/>
  <c r="G631" i="1"/>
  <c r="H630" i="1"/>
  <c r="G630" i="1"/>
  <c r="H629" i="1"/>
  <c r="G629" i="1"/>
  <c r="H625" i="1"/>
  <c r="G625" i="1"/>
  <c r="H624" i="1"/>
  <c r="G624" i="1"/>
  <c r="H623" i="1"/>
  <c r="G623" i="1"/>
  <c r="H622" i="1"/>
  <c r="G622" i="1"/>
  <c r="H621" i="1"/>
  <c r="G621" i="1"/>
  <c r="H620" i="1"/>
  <c r="G620" i="1"/>
  <c r="H619" i="1"/>
  <c r="G619" i="1"/>
  <c r="H618" i="1"/>
  <c r="G618" i="1"/>
  <c r="H617" i="1"/>
  <c r="G617" i="1"/>
  <c r="H616" i="1"/>
  <c r="G616" i="1"/>
  <c r="H615" i="1"/>
  <c r="G615" i="1"/>
  <c r="H614" i="1"/>
  <c r="G614" i="1"/>
  <c r="H613" i="1"/>
  <c r="G613" i="1"/>
  <c r="H611" i="1"/>
  <c r="G611" i="1"/>
  <c r="H610" i="1"/>
  <c r="G610" i="1"/>
  <c r="H609" i="1"/>
  <c r="H608" i="1"/>
  <c r="G608" i="1"/>
  <c r="H607" i="1"/>
  <c r="G607" i="1"/>
  <c r="H605" i="1"/>
  <c r="G605" i="1"/>
  <c r="H604" i="1"/>
  <c r="G604" i="1"/>
  <c r="H603" i="1"/>
  <c r="G603" i="1"/>
  <c r="H602" i="1"/>
  <c r="G602" i="1"/>
  <c r="H601" i="1"/>
  <c r="G601" i="1"/>
  <c r="H600" i="1"/>
  <c r="G600" i="1"/>
  <c r="H597" i="1"/>
  <c r="G597" i="1"/>
  <c r="H596" i="1"/>
  <c r="G596" i="1"/>
  <c r="H595" i="1"/>
  <c r="G595" i="1"/>
  <c r="H594" i="1"/>
  <c r="G594" i="1"/>
  <c r="H593" i="1"/>
  <c r="G593" i="1"/>
  <c r="H592" i="1"/>
  <c r="G592" i="1"/>
  <c r="H591" i="1"/>
  <c r="G591" i="1"/>
  <c r="H590" i="1"/>
  <c r="G590" i="1"/>
  <c r="H589" i="1"/>
  <c r="G589" i="1"/>
  <c r="H588" i="1"/>
  <c r="G588" i="1"/>
  <c r="H587" i="1"/>
  <c r="G587" i="1"/>
  <c r="H585" i="1"/>
  <c r="G585" i="1"/>
  <c r="H548" i="1"/>
  <c r="G548" i="1"/>
  <c r="H547" i="1"/>
  <c r="G547" i="1"/>
  <c r="H546" i="1"/>
  <c r="G546" i="1"/>
  <c r="H545" i="1"/>
  <c r="G545" i="1"/>
  <c r="H544" i="1"/>
  <c r="G544" i="1"/>
  <c r="H543" i="1"/>
  <c r="G543" i="1"/>
  <c r="H542" i="1"/>
  <c r="G542" i="1"/>
  <c r="H541" i="1"/>
  <c r="G541" i="1"/>
  <c r="H540" i="1"/>
  <c r="G540" i="1"/>
  <c r="H539" i="1"/>
  <c r="G539" i="1"/>
  <c r="H538" i="1"/>
  <c r="G538" i="1"/>
  <c r="H537" i="1"/>
  <c r="G537" i="1"/>
  <c r="H536" i="1"/>
  <c r="G536" i="1"/>
  <c r="H535" i="1"/>
  <c r="G535" i="1"/>
  <c r="H534" i="1"/>
  <c r="G534" i="1"/>
  <c r="H533" i="1"/>
  <c r="G533" i="1"/>
  <c r="H532" i="1"/>
  <c r="G532" i="1"/>
  <c r="H531" i="1"/>
  <c r="G531" i="1"/>
  <c r="H530" i="1"/>
  <c r="G530" i="1"/>
  <c r="H529" i="1"/>
  <c r="G529" i="1"/>
  <c r="H527" i="1"/>
  <c r="G527" i="1"/>
  <c r="H526" i="1"/>
  <c r="G526" i="1"/>
  <c r="H525" i="1"/>
  <c r="G525" i="1"/>
  <c r="H524" i="1"/>
  <c r="G524" i="1"/>
  <c r="H523" i="1"/>
  <c r="G523" i="1"/>
  <c r="H521" i="1"/>
  <c r="G521" i="1"/>
  <c r="H520" i="1"/>
  <c r="G520" i="1"/>
  <c r="H519" i="1"/>
  <c r="G519" i="1"/>
  <c r="H518" i="1"/>
  <c r="G518" i="1"/>
  <c r="H517" i="1"/>
  <c r="G517" i="1"/>
  <c r="H516" i="1"/>
  <c r="G516" i="1"/>
  <c r="G31" i="14" l="1"/>
  <c r="F48" i="18"/>
  <c r="G791" i="1"/>
  <c r="G549" i="1"/>
  <c r="G30" i="14"/>
  <c r="H549" i="1"/>
  <c r="F41" i="18"/>
  <c r="G599" i="1"/>
  <c r="H599" i="1"/>
  <c r="H646" i="1"/>
  <c r="H652" i="1"/>
  <c r="G612" i="1"/>
  <c r="G646" i="1"/>
  <c r="H586" i="1"/>
  <c r="H612" i="1"/>
  <c r="G586" i="1"/>
  <c r="G652" i="1"/>
  <c r="G29" i="14" l="1"/>
  <c r="G26" i="14" s="1"/>
  <c r="H638" i="1"/>
  <c r="H637" i="1" s="1"/>
  <c r="G638" i="1"/>
  <c r="G637" i="1" s="1"/>
  <c r="G598" i="1"/>
  <c r="H514" i="1"/>
  <c r="H598" i="1"/>
  <c r="G514" i="1"/>
  <c r="G434" i="1" l="1"/>
  <c r="H434" i="1"/>
  <c r="G463" i="1"/>
  <c r="G461" i="1"/>
  <c r="G460" i="1"/>
  <c r="G459" i="1"/>
  <c r="G458" i="1"/>
  <c r="G457" i="1"/>
  <c r="G456" i="1"/>
  <c r="G455" i="1"/>
  <c r="G454" i="1"/>
  <c r="G453" i="1"/>
  <c r="G452" i="1"/>
  <c r="G451" i="1"/>
  <c r="G450" i="1"/>
  <c r="G449" i="1"/>
  <c r="G448" i="1"/>
  <c r="G447" i="1"/>
  <c r="G446" i="1"/>
  <c r="G445" i="1"/>
  <c r="G444" i="1"/>
  <c r="H442" i="1"/>
  <c r="G442" i="1"/>
  <c r="H441" i="1"/>
  <c r="G441" i="1"/>
  <c r="H440" i="1"/>
  <c r="G440" i="1"/>
  <c r="H439" i="1"/>
  <c r="G439" i="1"/>
  <c r="H438" i="1"/>
  <c r="G438" i="1"/>
  <c r="H436" i="1"/>
  <c r="G436" i="1"/>
  <c r="H435" i="1"/>
  <c r="G435" i="1"/>
  <c r="G433" i="1"/>
  <c r="H433" i="1"/>
  <c r="H432" i="1"/>
  <c r="G432" i="1"/>
  <c r="H431" i="1"/>
  <c r="G431" i="1"/>
  <c r="H428" i="1"/>
  <c r="G428" i="1"/>
  <c r="H427" i="1"/>
  <c r="G427" i="1"/>
  <c r="H426" i="1"/>
  <c r="G426" i="1"/>
  <c r="H425" i="1"/>
  <c r="G425" i="1"/>
  <c r="H424" i="1"/>
  <c r="G424" i="1"/>
  <c r="H422" i="1"/>
  <c r="G422" i="1"/>
  <c r="H421" i="1"/>
  <c r="G421" i="1"/>
  <c r="G419" i="1"/>
  <c r="G418" i="1"/>
  <c r="G416" i="1"/>
  <c r="G415" i="1"/>
  <c r="G414" i="1"/>
  <c r="G411" i="1"/>
  <c r="G410" i="1"/>
  <c r="G409" i="1"/>
  <c r="G408" i="1"/>
  <c r="G407" i="1"/>
  <c r="G406" i="1"/>
  <c r="G405" i="1"/>
  <c r="G404" i="1"/>
  <c r="G403" i="1"/>
  <c r="G402" i="1"/>
  <c r="G401" i="1"/>
  <c r="G400" i="1"/>
  <c r="G399" i="1"/>
  <c r="G398" i="1"/>
  <c r="G397" i="1"/>
  <c r="H320" i="1"/>
  <c r="G320" i="1"/>
  <c r="H319" i="1"/>
  <c r="G319" i="1"/>
  <c r="H318" i="1"/>
  <c r="G317" i="1"/>
  <c r="H317" i="1"/>
  <c r="H316" i="1"/>
  <c r="G316" i="1"/>
  <c r="H315" i="1"/>
  <c r="G315" i="1"/>
  <c r="H314" i="1"/>
  <c r="G314" i="1"/>
  <c r="G313" i="1"/>
  <c r="H313" i="1"/>
  <c r="H312" i="1"/>
  <c r="G312" i="1"/>
  <c r="H311" i="1"/>
  <c r="G311" i="1"/>
  <c r="H310" i="1"/>
  <c r="G309" i="1"/>
  <c r="H309" i="1"/>
  <c r="H308" i="1"/>
  <c r="G308" i="1"/>
  <c r="H307" i="1"/>
  <c r="G307" i="1"/>
  <c r="H306" i="1"/>
  <c r="G306" i="1"/>
  <c r="H305" i="1"/>
  <c r="G305" i="1"/>
  <c r="F25" i="18" l="1"/>
  <c r="H304" i="1"/>
  <c r="G423" i="1"/>
  <c r="G430" i="1"/>
  <c r="H430" i="1"/>
  <c r="H423" i="1"/>
  <c r="G437" i="1"/>
  <c r="H437" i="1"/>
  <c r="G310" i="1"/>
  <c r="G318" i="1"/>
  <c r="C25" i="18" l="1"/>
  <c r="I25" i="18" s="1"/>
  <c r="G304" i="1"/>
  <c r="G413" i="1" l="1"/>
  <c r="G412" i="1"/>
  <c r="H395" i="1" l="1"/>
  <c r="G395" i="1"/>
  <c r="H394" i="1"/>
  <c r="G394" i="1"/>
  <c r="H392" i="1"/>
  <c r="G392" i="1"/>
  <c r="G391" i="1"/>
  <c r="H393" i="1"/>
  <c r="G393" i="1"/>
  <c r="H391" i="1"/>
  <c r="H389" i="1"/>
  <c r="G389" i="1"/>
  <c r="G386" i="1"/>
  <c r="H385" i="1"/>
  <c r="G385" i="1"/>
  <c r="H384" i="1"/>
  <c r="G384" i="1"/>
  <c r="H381" i="1"/>
  <c r="G381" i="1"/>
  <c r="H380" i="1"/>
  <c r="G380" i="1"/>
  <c r="H379" i="1"/>
  <c r="G379" i="1"/>
  <c r="H378" i="1"/>
  <c r="G378" i="1"/>
  <c r="H377" i="1"/>
  <c r="G377" i="1"/>
  <c r="H386" i="1"/>
  <c r="G383" i="1" l="1"/>
  <c r="H383" i="1"/>
  <c r="H372" i="1" l="1"/>
  <c r="H374" i="1"/>
  <c r="H375" i="1"/>
  <c r="G372" i="1"/>
  <c r="G374" i="1"/>
  <c r="G375" i="1"/>
  <c r="H371" i="1"/>
  <c r="G371" i="1"/>
  <c r="G201" i="1"/>
  <c r="G200" i="1"/>
  <c r="H201" i="1"/>
  <c r="H200" i="1"/>
  <c r="H370" i="1" l="1"/>
  <c r="G370" i="1"/>
  <c r="G368" i="1" s="1"/>
  <c r="G24" i="14" l="1"/>
  <c r="H368" i="1"/>
  <c r="H116" i="1"/>
  <c r="G116" i="1"/>
  <c r="G197" i="1"/>
  <c r="G198" i="1"/>
  <c r="G199" i="1"/>
  <c r="G196" i="1"/>
  <c r="H199" i="1"/>
  <c r="H198" i="1"/>
  <c r="H197" i="1"/>
  <c r="H196" i="1"/>
  <c r="H239" i="1"/>
  <c r="H238" i="1"/>
  <c r="G242" i="1"/>
  <c r="H242" i="1"/>
  <c r="H241" i="1"/>
  <c r="G241" i="1"/>
  <c r="G240" i="1"/>
  <c r="H240" i="1"/>
  <c r="G239" i="1"/>
  <c r="G238" i="1"/>
  <c r="H235" i="1"/>
  <c r="H234" i="1"/>
  <c r="G160" i="1"/>
  <c r="H159" i="1"/>
  <c r="G159" i="1"/>
  <c r="G161" i="1"/>
  <c r="H161" i="1"/>
  <c r="H160" i="1"/>
  <c r="G157" i="1"/>
  <c r="H157" i="1"/>
  <c r="H139" i="1"/>
  <c r="G139" i="1"/>
  <c r="H237" i="1"/>
  <c r="G237" i="1"/>
  <c r="H236" i="1"/>
  <c r="G236" i="1"/>
  <c r="H231" i="1"/>
  <c r="G231" i="1"/>
  <c r="H230" i="1"/>
  <c r="G230" i="1"/>
  <c r="H223" i="1"/>
  <c r="G223" i="1"/>
  <c r="H222" i="1"/>
  <c r="G222" i="1"/>
  <c r="G235" i="1"/>
  <c r="G234" i="1"/>
  <c r="H233" i="1"/>
  <c r="G233" i="1"/>
  <c r="H232" i="1"/>
  <c r="G232" i="1"/>
  <c r="H229" i="1"/>
  <c r="G229" i="1"/>
  <c r="H228" i="1"/>
  <c r="G228" i="1"/>
  <c r="H227" i="1"/>
  <c r="G227" i="1"/>
  <c r="H226" i="1"/>
  <c r="G226" i="1"/>
  <c r="H225" i="1"/>
  <c r="G225" i="1"/>
  <c r="H224" i="1"/>
  <c r="G224" i="1"/>
  <c r="H123" i="1"/>
  <c r="G123" i="1"/>
  <c r="H122" i="1"/>
  <c r="G122" i="1"/>
  <c r="H121" i="1"/>
  <c r="G121" i="1"/>
  <c r="H120" i="1"/>
  <c r="G120" i="1"/>
  <c r="H119" i="1"/>
  <c r="G119" i="1"/>
  <c r="H118" i="1"/>
  <c r="G118" i="1"/>
  <c r="H117" i="1"/>
  <c r="G117" i="1"/>
  <c r="H203" i="1" l="1"/>
  <c r="G250" i="1"/>
  <c r="G249" i="1"/>
  <c r="H185" i="1"/>
  <c r="G185" i="1"/>
  <c r="H184" i="1"/>
  <c r="G184" i="1"/>
  <c r="H183" i="1"/>
  <c r="G183" i="1"/>
  <c r="H182" i="1"/>
  <c r="G182" i="1"/>
  <c r="H181" i="1"/>
  <c r="G181" i="1"/>
  <c r="H156" i="1"/>
  <c r="G156" i="1"/>
  <c r="G203" i="1" l="1"/>
  <c r="H166" i="1"/>
  <c r="G166" i="1"/>
  <c r="G209" i="1"/>
  <c r="G212" i="1"/>
  <c r="G213" i="1"/>
  <c r="G220" i="1"/>
  <c r="H250" i="1"/>
  <c r="H249" i="1"/>
  <c r="H248" i="1"/>
  <c r="G248" i="1"/>
  <c r="H105" i="1"/>
  <c r="G105" i="1"/>
  <c r="H212" i="1"/>
  <c r="H209" i="1"/>
  <c r="H158" i="1"/>
  <c r="G158" i="1"/>
  <c r="H151" i="1"/>
  <c r="H150" i="1"/>
  <c r="H149" i="1"/>
  <c r="G149" i="1"/>
  <c r="H148" i="1"/>
  <c r="G148" i="1"/>
  <c r="H136" i="1"/>
  <c r="G136" i="1"/>
  <c r="H133" i="1"/>
  <c r="G133" i="1"/>
  <c r="H130" i="1"/>
  <c r="G130" i="1"/>
  <c r="H128" i="1"/>
  <c r="G128" i="1"/>
  <c r="H127" i="1"/>
  <c r="G127" i="1"/>
  <c r="H115" i="1"/>
  <c r="G115" i="1"/>
  <c r="H114" i="1"/>
  <c r="G114" i="1"/>
  <c r="H113" i="1"/>
  <c r="G113" i="1"/>
  <c r="H112" i="1"/>
  <c r="G112" i="1"/>
  <c r="H111" i="1"/>
  <c r="G111" i="1"/>
  <c r="H110" i="1"/>
  <c r="G110" i="1"/>
  <c r="H109" i="1"/>
  <c r="G109" i="1"/>
  <c r="H108" i="1"/>
  <c r="G108" i="1"/>
  <c r="H107" i="1"/>
  <c r="G107" i="1"/>
  <c r="H104" i="1"/>
  <c r="G104" i="1"/>
  <c r="H103" i="1"/>
  <c r="G103" i="1"/>
  <c r="H102" i="1"/>
  <c r="G102" i="1"/>
  <c r="H100" i="1"/>
  <c r="G100" i="1"/>
  <c r="H98" i="1"/>
  <c r="G98" i="1"/>
  <c r="H97" i="1"/>
  <c r="G97" i="1"/>
  <c r="G194" i="1" l="1"/>
  <c r="G7" i="14"/>
  <c r="F58" i="18"/>
  <c r="F54" i="18"/>
  <c r="F53" i="18"/>
  <c r="F19" i="18"/>
  <c r="C19" i="18"/>
  <c r="F44" i="18" l="1"/>
  <c r="H1473" i="1"/>
  <c r="G1473" i="1"/>
  <c r="H1472" i="1"/>
  <c r="G1472" i="1"/>
  <c r="C41" i="18"/>
  <c r="H347" i="1"/>
  <c r="G347" i="1"/>
  <c r="H346" i="1"/>
  <c r="G346" i="1"/>
  <c r="H345" i="1"/>
  <c r="G345" i="1"/>
  <c r="H344" i="1"/>
  <c r="G344" i="1"/>
  <c r="H93" i="1"/>
  <c r="G93" i="1"/>
  <c r="H92" i="1"/>
  <c r="G92" i="1"/>
  <c r="H91" i="1"/>
  <c r="G91" i="1"/>
  <c r="H90" i="1"/>
  <c r="G90" i="1"/>
  <c r="H193" i="1"/>
  <c r="G193" i="1"/>
  <c r="H192" i="1"/>
  <c r="G192" i="1"/>
  <c r="I7" i="14"/>
  <c r="I13" i="14"/>
  <c r="H2451" i="1"/>
  <c r="G2451" i="1"/>
  <c r="H2450" i="1"/>
  <c r="G2450" i="1"/>
  <c r="H2449" i="1"/>
  <c r="G2449" i="1"/>
  <c r="H2448" i="1"/>
  <c r="G2448" i="1"/>
  <c r="H2447" i="1"/>
  <c r="G2447" i="1"/>
  <c r="H2446" i="1"/>
  <c r="G2446" i="1"/>
  <c r="H2445" i="1"/>
  <c r="G2445" i="1"/>
  <c r="H2442" i="1"/>
  <c r="G2442" i="1"/>
  <c r="H2441" i="1"/>
  <c r="G2441" i="1"/>
  <c r="H2439" i="1"/>
  <c r="G2439" i="1"/>
  <c r="H2438" i="1"/>
  <c r="G2438" i="1"/>
  <c r="H2437" i="1"/>
  <c r="G2437" i="1"/>
  <c r="H2436" i="1"/>
  <c r="G2436" i="1"/>
  <c r="H2435" i="1"/>
  <c r="G2435" i="1"/>
  <c r="H2434" i="1"/>
  <c r="G2434" i="1"/>
  <c r="H2433" i="1"/>
  <c r="G2433" i="1"/>
  <c r="H2432" i="1"/>
  <c r="G2432" i="1"/>
  <c r="H2431" i="1"/>
  <c r="G2431" i="1"/>
  <c r="H2429" i="1"/>
  <c r="G2429" i="1"/>
  <c r="H2427" i="1"/>
  <c r="G2427" i="1"/>
  <c r="H2426" i="1"/>
  <c r="G2426" i="1"/>
  <c r="H2425" i="1"/>
  <c r="G2425" i="1"/>
  <c r="H2424" i="1"/>
  <c r="G2424" i="1"/>
  <c r="H2423" i="1"/>
  <c r="S33" i="14" s="1"/>
  <c r="G2423" i="1"/>
  <c r="G2420" i="1" s="1"/>
  <c r="H2419" i="1"/>
  <c r="G2419" i="1"/>
  <c r="H2418" i="1"/>
  <c r="G2418" i="1"/>
  <c r="H2416" i="1"/>
  <c r="G2416" i="1"/>
  <c r="H2415" i="1"/>
  <c r="G2415" i="1"/>
  <c r="H2414" i="1"/>
  <c r="G2414" i="1"/>
  <c r="H2413" i="1"/>
  <c r="G2413" i="1"/>
  <c r="H2412" i="1"/>
  <c r="G2412" i="1"/>
  <c r="H2411" i="1"/>
  <c r="G2411" i="1"/>
  <c r="H2410" i="1"/>
  <c r="G2410" i="1"/>
  <c r="H2408" i="1"/>
  <c r="G2408" i="1"/>
  <c r="H2406" i="1"/>
  <c r="G2406" i="1"/>
  <c r="H2405" i="1"/>
  <c r="S21" i="14" s="1"/>
  <c r="G2405" i="1"/>
  <c r="H2402" i="1"/>
  <c r="G2402" i="1"/>
  <c r="H2401" i="1"/>
  <c r="G2401" i="1"/>
  <c r="H2399" i="1"/>
  <c r="G2399" i="1"/>
  <c r="H2398" i="1"/>
  <c r="G2398" i="1"/>
  <c r="H2397" i="1"/>
  <c r="G2397" i="1"/>
  <c r="H2396" i="1"/>
  <c r="G2396" i="1"/>
  <c r="H2395" i="1"/>
  <c r="G2395" i="1"/>
  <c r="H2394" i="1"/>
  <c r="G2394" i="1"/>
  <c r="H2393" i="1"/>
  <c r="G2393" i="1"/>
  <c r="H2391" i="1"/>
  <c r="G2391" i="1"/>
  <c r="H2389" i="1"/>
  <c r="G2389" i="1"/>
  <c r="H2388" i="1"/>
  <c r="G2388" i="1"/>
  <c r="H2387" i="1"/>
  <c r="G2387" i="1"/>
  <c r="H2381" i="1"/>
  <c r="G2381" i="1"/>
  <c r="H2380" i="1"/>
  <c r="G2380" i="1"/>
  <c r="H2378" i="1"/>
  <c r="G2378" i="1"/>
  <c r="H2377" i="1"/>
  <c r="G2377" i="1"/>
  <c r="H2376" i="1"/>
  <c r="G2376" i="1"/>
  <c r="H2375" i="1"/>
  <c r="G2375" i="1"/>
  <c r="H2374" i="1"/>
  <c r="G2374" i="1"/>
  <c r="H2373" i="1"/>
  <c r="G2373" i="1"/>
  <c r="H2370" i="1"/>
  <c r="G2370" i="1"/>
  <c r="H2368" i="1"/>
  <c r="G2368" i="1"/>
  <c r="H2367" i="1"/>
  <c r="G2367" i="1"/>
  <c r="H2363" i="1"/>
  <c r="G2363" i="1"/>
  <c r="H2361" i="1"/>
  <c r="G2361" i="1"/>
  <c r="H2360" i="1"/>
  <c r="S16" i="14" s="1"/>
  <c r="S15" i="14" s="1"/>
  <c r="G2360" i="1"/>
  <c r="J16" i="14" s="1"/>
  <c r="C53" i="18"/>
  <c r="H2175" i="1"/>
  <c r="G2175" i="1"/>
  <c r="H1642" i="1"/>
  <c r="G1642" i="1"/>
  <c r="H1641" i="1"/>
  <c r="G1641" i="1"/>
  <c r="H1639" i="1"/>
  <c r="G1639" i="1"/>
  <c r="H1638" i="1"/>
  <c r="G1638" i="1"/>
  <c r="H1637" i="1"/>
  <c r="G1637" i="1"/>
  <c r="H1636" i="1"/>
  <c r="G1636" i="1"/>
  <c r="H1237" i="1"/>
  <c r="G1237" i="1"/>
  <c r="H1236" i="1"/>
  <c r="G1236" i="1"/>
  <c r="H1235" i="1"/>
  <c r="G1235" i="1"/>
  <c r="H1234" i="1"/>
  <c r="G1234" i="1"/>
  <c r="H1233" i="1"/>
  <c r="G1233" i="1"/>
  <c r="H1232" i="1"/>
  <c r="G1232" i="1"/>
  <c r="H1231" i="1"/>
  <c r="G1231" i="1"/>
  <c r="H1230" i="1"/>
  <c r="G1230" i="1"/>
  <c r="H1229" i="1"/>
  <c r="G1229" i="1"/>
  <c r="H1228" i="1"/>
  <c r="G1228" i="1"/>
  <c r="H1227" i="1"/>
  <c r="G1227" i="1"/>
  <c r="H1226" i="1"/>
  <c r="G1226" i="1"/>
  <c r="H1225" i="1"/>
  <c r="G1225" i="1"/>
  <c r="H1224" i="1"/>
  <c r="G1224" i="1"/>
  <c r="H1223" i="1"/>
  <c r="G1223" i="1"/>
  <c r="H1219" i="1"/>
  <c r="G1219" i="1"/>
  <c r="H1218" i="1"/>
  <c r="G1218" i="1"/>
  <c r="H1216" i="1"/>
  <c r="G1216" i="1"/>
  <c r="H1215" i="1"/>
  <c r="G1215" i="1"/>
  <c r="H1213" i="1"/>
  <c r="G1213" i="1"/>
  <c r="H1206" i="1"/>
  <c r="G1206" i="1"/>
  <c r="H1205" i="1"/>
  <c r="G1205" i="1"/>
  <c r="H1201" i="1"/>
  <c r="G1201" i="1"/>
  <c r="H1200" i="1"/>
  <c r="G1200" i="1"/>
  <c r="H1059" i="1"/>
  <c r="G1059" i="1"/>
  <c r="H1058" i="1"/>
  <c r="G1058" i="1"/>
  <c r="H1057" i="1"/>
  <c r="G1057" i="1"/>
  <c r="H1056" i="1"/>
  <c r="G1056" i="1"/>
  <c r="H1055" i="1"/>
  <c r="G1055" i="1"/>
  <c r="H1054" i="1"/>
  <c r="H1049" i="1" s="1"/>
  <c r="H1048" i="1" s="1"/>
  <c r="G1054" i="1"/>
  <c r="H956" i="1"/>
  <c r="G956" i="1"/>
  <c r="H955" i="1"/>
  <c r="G955" i="1"/>
  <c r="H953" i="1"/>
  <c r="G953" i="1"/>
  <c r="H952" i="1"/>
  <c r="G952" i="1"/>
  <c r="H951" i="1"/>
  <c r="G951" i="1"/>
  <c r="H950" i="1"/>
  <c r="G950" i="1"/>
  <c r="H949" i="1"/>
  <c r="G949" i="1"/>
  <c r="H948" i="1"/>
  <c r="G948" i="1"/>
  <c r="H947" i="1"/>
  <c r="G947" i="1"/>
  <c r="H946" i="1"/>
  <c r="G946" i="1"/>
  <c r="H945" i="1"/>
  <c r="G945" i="1"/>
  <c r="H944" i="1"/>
  <c r="G944" i="1"/>
  <c r="H942" i="1"/>
  <c r="G942" i="1"/>
  <c r="H941" i="1"/>
  <c r="G941" i="1"/>
  <c r="H940" i="1"/>
  <c r="G940" i="1"/>
  <c r="H939" i="1"/>
  <c r="G939" i="1"/>
  <c r="H938" i="1"/>
  <c r="G938" i="1"/>
  <c r="H937" i="1"/>
  <c r="G937" i="1"/>
  <c r="H936" i="1"/>
  <c r="G936" i="1"/>
  <c r="H930" i="1"/>
  <c r="G930" i="1"/>
  <c r="H929" i="1"/>
  <c r="G929" i="1"/>
  <c r="H928" i="1"/>
  <c r="G928" i="1"/>
  <c r="H927" i="1"/>
  <c r="G927" i="1"/>
  <c r="H926" i="1"/>
  <c r="G926" i="1"/>
  <c r="H925" i="1"/>
  <c r="G925" i="1"/>
  <c r="H924" i="1"/>
  <c r="G924" i="1"/>
  <c r="H923" i="1"/>
  <c r="G923" i="1"/>
  <c r="H922" i="1"/>
  <c r="G922" i="1"/>
  <c r="H921" i="1"/>
  <c r="G921" i="1"/>
  <c r="H920" i="1"/>
  <c r="G920" i="1"/>
  <c r="H916" i="1"/>
  <c r="G916" i="1"/>
  <c r="H636" i="1"/>
  <c r="G636" i="1"/>
  <c r="H635" i="1"/>
  <c r="G635" i="1"/>
  <c r="H366" i="1"/>
  <c r="G366" i="1"/>
  <c r="H324" i="1"/>
  <c r="G324" i="1"/>
  <c r="H323" i="1"/>
  <c r="G323" i="1"/>
  <c r="H322" i="1"/>
  <c r="G322" i="1"/>
  <c r="H303" i="1"/>
  <c r="G303" i="1"/>
  <c r="H302" i="1"/>
  <c r="G302" i="1"/>
  <c r="H301" i="1"/>
  <c r="G301" i="1"/>
  <c r="H299" i="1"/>
  <c r="G299" i="1"/>
  <c r="H297" i="1"/>
  <c r="G297" i="1"/>
  <c r="H296" i="1"/>
  <c r="G296" i="1"/>
  <c r="H295" i="1"/>
  <c r="G295" i="1"/>
  <c r="H294" i="1"/>
  <c r="G294" i="1"/>
  <c r="H293" i="1"/>
  <c r="G293" i="1"/>
  <c r="H292" i="1"/>
  <c r="G292" i="1"/>
  <c r="H291" i="1"/>
  <c r="G291" i="1"/>
  <c r="H290" i="1"/>
  <c r="G290" i="1"/>
  <c r="H287" i="1"/>
  <c r="G287" i="1"/>
  <c r="H286" i="1"/>
  <c r="G286" i="1"/>
  <c r="H285" i="1"/>
  <c r="G285" i="1"/>
  <c r="H284" i="1"/>
  <c r="G284" i="1"/>
  <c r="H283" i="1"/>
  <c r="G283" i="1"/>
  <c r="H282" i="1"/>
  <c r="G282" i="1"/>
  <c r="H281" i="1"/>
  <c r="G281" i="1"/>
  <c r="H275" i="1"/>
  <c r="H272" i="1"/>
  <c r="G272" i="1"/>
  <c r="H271" i="1"/>
  <c r="G271" i="1"/>
  <c r="H270" i="1"/>
  <c r="G270" i="1"/>
  <c r="H220" i="1"/>
  <c r="H213" i="1"/>
  <c r="H190" i="1"/>
  <c r="G190" i="1"/>
  <c r="H186" i="1"/>
  <c r="G186" i="1"/>
  <c r="H163" i="1"/>
  <c r="G163" i="1"/>
  <c r="H162" i="1"/>
  <c r="G162" i="1"/>
  <c r="H129" i="1"/>
  <c r="G129" i="1"/>
  <c r="H126" i="1"/>
  <c r="G126" i="1"/>
  <c r="H125" i="1"/>
  <c r="G125" i="1"/>
  <c r="H124" i="1"/>
  <c r="G124" i="1"/>
  <c r="H167" i="1"/>
  <c r="G167" i="1"/>
  <c r="H106" i="1"/>
  <c r="G106" i="1"/>
  <c r="H96" i="1"/>
  <c r="G96" i="1"/>
  <c r="H88" i="1"/>
  <c r="G88" i="1"/>
  <c r="H87" i="1"/>
  <c r="H86" i="1" s="1"/>
  <c r="G87" i="1"/>
  <c r="H80" i="1"/>
  <c r="G80" i="1"/>
  <c r="H79" i="1"/>
  <c r="G79" i="1"/>
  <c r="H76" i="1"/>
  <c r="G76" i="1"/>
  <c r="H75" i="1"/>
  <c r="G75" i="1"/>
  <c r="H31" i="1"/>
  <c r="G31" i="1"/>
  <c r="H30" i="1"/>
  <c r="G30" i="1"/>
  <c r="H29" i="1"/>
  <c r="G29" i="1"/>
  <c r="H28" i="1"/>
  <c r="G28" i="1"/>
  <c r="H27" i="1"/>
  <c r="G27" i="1"/>
  <c r="H26" i="1"/>
  <c r="G26" i="1"/>
  <c r="H25" i="1"/>
  <c r="G25" i="1"/>
  <c r="H20" i="1"/>
  <c r="G20" i="1"/>
  <c r="H18" i="1"/>
  <c r="G18" i="1"/>
  <c r="H16" i="1"/>
  <c r="G16" i="1"/>
  <c r="H14" i="1"/>
  <c r="G14" i="1"/>
  <c r="H13" i="1"/>
  <c r="G13" i="1"/>
  <c r="E32" i="14"/>
  <c r="E33" i="14"/>
  <c r="F33" i="14"/>
  <c r="J21" i="14" l="1"/>
  <c r="G2403" i="1"/>
  <c r="C14" i="18"/>
  <c r="G95" i="1"/>
  <c r="G24" i="1"/>
  <c r="G23" i="1" s="1"/>
  <c r="G22" i="1" s="1"/>
  <c r="H2156" i="1"/>
  <c r="S13" i="14"/>
  <c r="S32" i="14"/>
  <c r="S14" i="14"/>
  <c r="H21" i="14"/>
  <c r="J32" i="14"/>
  <c r="J14" i="14"/>
  <c r="G2156" i="1"/>
  <c r="J13" i="14"/>
  <c r="G1221" i="1"/>
  <c r="G1220" i="1" s="1"/>
  <c r="H1221" i="1"/>
  <c r="H1220" i="1" s="1"/>
  <c r="G934" i="1"/>
  <c r="G919" i="1"/>
  <c r="H919" i="1"/>
  <c r="H934" i="1"/>
  <c r="G348" i="1"/>
  <c r="C12" i="18"/>
  <c r="H348" i="1"/>
  <c r="H274" i="1"/>
  <c r="F40" i="18"/>
  <c r="C9" i="18"/>
  <c r="G164" i="1"/>
  <c r="G1082" i="1"/>
  <c r="G1049" i="1"/>
  <c r="G1048" i="1" s="1"/>
  <c r="G1064" i="1"/>
  <c r="G1092" i="1"/>
  <c r="H1092" i="1"/>
  <c r="H1091" i="1" s="1"/>
  <c r="H1064" i="1"/>
  <c r="H1063" i="1" s="1"/>
  <c r="H1082" i="1"/>
  <c r="H1081" i="1" s="1"/>
  <c r="C40" i="18"/>
  <c r="H27" i="14"/>
  <c r="K27" i="14" s="1"/>
  <c r="Q27" i="14"/>
  <c r="T27" i="14" s="1"/>
  <c r="H1459" i="1"/>
  <c r="H1458" i="1" s="1"/>
  <c r="H7" i="14"/>
  <c r="H28" i="14"/>
  <c r="K28" i="14" s="1"/>
  <c r="Q28" i="14"/>
  <c r="T28" i="14" s="1"/>
  <c r="G1459" i="1"/>
  <c r="G1458" i="1" s="1"/>
  <c r="F49" i="18"/>
  <c r="G326" i="1"/>
  <c r="G325" i="1" s="1"/>
  <c r="F39" i="18"/>
  <c r="H326" i="1"/>
  <c r="H325" i="1" s="1"/>
  <c r="F43" i="18"/>
  <c r="F46" i="18"/>
  <c r="G252" i="1"/>
  <c r="H252" i="1"/>
  <c r="C58" i="18"/>
  <c r="F47" i="18"/>
  <c r="F42" i="18"/>
  <c r="G634" i="1"/>
  <c r="G23" i="14"/>
  <c r="F50" i="18"/>
  <c r="F51" i="18"/>
  <c r="C39" i="18"/>
  <c r="C46" i="18"/>
  <c r="D31" i="14"/>
  <c r="H24" i="1"/>
  <c r="H23" i="1" s="1"/>
  <c r="H22" i="1" s="1"/>
  <c r="H915" i="1"/>
  <c r="H634" i="1"/>
  <c r="C42" i="18"/>
  <c r="C43" i="18"/>
  <c r="C13" i="18"/>
  <c r="G9" i="14"/>
  <c r="H194" i="1"/>
  <c r="C44" i="18"/>
  <c r="C54" i="18"/>
  <c r="C24" i="18"/>
  <c r="I30" i="14"/>
  <c r="R30" i="14"/>
  <c r="C31" i="18"/>
  <c r="F23" i="18"/>
  <c r="O30" i="14"/>
  <c r="D30" i="14"/>
  <c r="F30" i="14"/>
  <c r="F17" i="18"/>
  <c r="C17" i="18"/>
  <c r="F18" i="18"/>
  <c r="H89" i="1"/>
  <c r="C23" i="18"/>
  <c r="G11" i="1"/>
  <c r="C18" i="18"/>
  <c r="H30" i="14"/>
  <c r="H11" i="1"/>
  <c r="G191" i="1"/>
  <c r="G94" i="1" s="1"/>
  <c r="F21" i="18"/>
  <c r="C21" i="18"/>
  <c r="C27" i="18"/>
  <c r="C48" i="18"/>
  <c r="C26" i="18"/>
  <c r="H191" i="1"/>
  <c r="F31" i="14"/>
  <c r="C50" i="18"/>
  <c r="C47" i="18"/>
  <c r="P30" i="14"/>
  <c r="F10" i="18"/>
  <c r="C8" i="18"/>
  <c r="F8" i="18"/>
  <c r="F9" i="18"/>
  <c r="F11" i="18"/>
  <c r="M30" i="14"/>
  <c r="Q30" i="14"/>
  <c r="E30" i="14"/>
  <c r="N30" i="14"/>
  <c r="G89" i="1"/>
  <c r="H1032" i="1" l="1"/>
  <c r="T30" i="14"/>
  <c r="S12" i="14"/>
  <c r="S11" i="14" s="1"/>
  <c r="J12" i="14"/>
  <c r="K26" i="14"/>
  <c r="K30" i="14"/>
  <c r="G918" i="1"/>
  <c r="H918" i="1"/>
  <c r="H26" i="14"/>
  <c r="Z27" i="14"/>
  <c r="AB27" i="14" s="1"/>
  <c r="Z28" i="14"/>
  <c r="AB28" i="14" s="1"/>
  <c r="I39" i="18"/>
  <c r="AA30" i="14"/>
  <c r="V30" i="14"/>
  <c r="X30" i="14"/>
  <c r="Y30" i="14"/>
  <c r="I8" i="18"/>
  <c r="W30" i="14"/>
  <c r="G1640" i="1" l="1"/>
  <c r="G1635" i="1" l="1"/>
  <c r="D32" i="14" l="1"/>
  <c r="AG21" i="14" l="1"/>
  <c r="AD21" i="14"/>
  <c r="I33" i="14" l="1"/>
  <c r="I32" i="14"/>
  <c r="C56" i="18" l="1"/>
  <c r="C60" i="18"/>
  <c r="C11" i="18"/>
  <c r="C36" i="18"/>
  <c r="G915" i="1" l="1"/>
  <c r="H2379" i="1"/>
  <c r="G2379" i="1"/>
  <c r="H2372" i="1"/>
  <c r="G2372" i="1"/>
  <c r="H2371" i="1"/>
  <c r="G2371" i="1"/>
  <c r="H2369" i="1"/>
  <c r="H2366" i="1"/>
  <c r="G2366" i="1"/>
  <c r="G2365" i="1" l="1"/>
  <c r="H2365" i="1"/>
  <c r="H33" i="14"/>
  <c r="H32" i="14"/>
  <c r="C55" i="18" s="1"/>
  <c r="H31" i="14"/>
  <c r="C49" i="18" s="1"/>
  <c r="G2443" i="1"/>
  <c r="H1217" i="1"/>
  <c r="H1214" i="1"/>
  <c r="H2384" i="1"/>
  <c r="H2403" i="1"/>
  <c r="G2384" i="1"/>
  <c r="H2443" i="1"/>
  <c r="H1633" i="1"/>
  <c r="H2420" i="1"/>
  <c r="G1217" i="1"/>
  <c r="H1193" i="1" l="1"/>
  <c r="H29" i="14"/>
  <c r="C59" i="18"/>
  <c r="G1214" i="1"/>
  <c r="G1193" i="1" s="1"/>
  <c r="Z30" i="14" l="1"/>
  <c r="AB30" i="14" s="1"/>
  <c r="D26" i="4" s="1"/>
  <c r="G1633" i="1"/>
  <c r="C34" i="18"/>
  <c r="G1378" i="1" l="1"/>
  <c r="G1081" i="1"/>
  <c r="G1063" i="1"/>
  <c r="H1031" i="1"/>
  <c r="G1277" i="1" l="1"/>
  <c r="G1276" i="1" s="1"/>
  <c r="G1091" i="1"/>
  <c r="G1032" i="1" s="1"/>
  <c r="G1031" i="1" l="1"/>
  <c r="M31" i="14" l="1"/>
  <c r="R33" i="14"/>
  <c r="Q33" i="14"/>
  <c r="P33" i="14"/>
  <c r="O33" i="14"/>
  <c r="N33" i="14"/>
  <c r="P32" i="14"/>
  <c r="N32" i="14"/>
  <c r="Q31" i="14"/>
  <c r="R25" i="14"/>
  <c r="Q25" i="14"/>
  <c r="O25" i="14"/>
  <c r="N25" i="14"/>
  <c r="M25" i="14"/>
  <c r="R24" i="14"/>
  <c r="Q24" i="14"/>
  <c r="O24" i="14"/>
  <c r="N24" i="14"/>
  <c r="M24" i="14"/>
  <c r="R23" i="14"/>
  <c r="Q23" i="14"/>
  <c r="O23" i="14"/>
  <c r="N23" i="14"/>
  <c r="M23" i="14"/>
  <c r="P21" i="14"/>
  <c r="O21" i="14"/>
  <c r="N21" i="14"/>
  <c r="M21" i="14"/>
  <c r="R20" i="14"/>
  <c r="Q20" i="14"/>
  <c r="O20" i="14"/>
  <c r="N20" i="14"/>
  <c r="M20" i="14"/>
  <c r="R19" i="14"/>
  <c r="Q19" i="14"/>
  <c r="P19" i="14"/>
  <c r="O19" i="14"/>
  <c r="N19" i="14"/>
  <c r="M19" i="14"/>
  <c r="R18" i="14"/>
  <c r="P18" i="14"/>
  <c r="N18" i="14"/>
  <c r="M18" i="14"/>
  <c r="R17" i="14"/>
  <c r="P17" i="14"/>
  <c r="N17" i="14"/>
  <c r="M17" i="14"/>
  <c r="R16" i="14"/>
  <c r="Q16" i="14"/>
  <c r="P16" i="14"/>
  <c r="N16" i="14"/>
  <c r="M16" i="14"/>
  <c r="P14" i="14"/>
  <c r="O14" i="14"/>
  <c r="P13" i="14"/>
  <c r="O13" i="14"/>
  <c r="N13" i="14"/>
  <c r="R10" i="14"/>
  <c r="Q10" i="14"/>
  <c r="P10" i="14"/>
  <c r="O10" i="14"/>
  <c r="M10" i="14"/>
  <c r="R9" i="14"/>
  <c r="Q9" i="14"/>
  <c r="O9" i="14"/>
  <c r="N9" i="14"/>
  <c r="M9" i="14"/>
  <c r="R8" i="14"/>
  <c r="Q8" i="14"/>
  <c r="P8" i="14"/>
  <c r="N8" i="14"/>
  <c r="M8" i="14"/>
  <c r="P7" i="14"/>
  <c r="O7" i="14"/>
  <c r="T19" i="14" l="1"/>
  <c r="P25" i="14"/>
  <c r="T25" i="14" s="1"/>
  <c r="G25" i="14"/>
  <c r="Q22" i="14"/>
  <c r="P15" i="14"/>
  <c r="R22" i="14"/>
  <c r="R15" i="14"/>
  <c r="O22" i="14"/>
  <c r="M15" i="14"/>
  <c r="N15" i="14"/>
  <c r="P12" i="14"/>
  <c r="M22" i="14"/>
  <c r="P31" i="14"/>
  <c r="P29" i="14" s="1"/>
  <c r="O12" i="14"/>
  <c r="N22" i="14"/>
  <c r="E8" i="14" l="1"/>
  <c r="Z20" i="14" l="1"/>
  <c r="H10" i="14"/>
  <c r="G21" i="14"/>
  <c r="Y21" i="14" s="1"/>
  <c r="F21" i="14"/>
  <c r="X21" i="14" s="1"/>
  <c r="E21" i="14"/>
  <c r="W21" i="14" s="1"/>
  <c r="D21" i="14"/>
  <c r="I20" i="14"/>
  <c r="AA20" i="14" s="1"/>
  <c r="F20" i="14"/>
  <c r="X20" i="14" s="1"/>
  <c r="E20" i="14"/>
  <c r="W20" i="14" s="1"/>
  <c r="D20" i="14"/>
  <c r="H9" i="14"/>
  <c r="H8" i="14"/>
  <c r="K20" i="14" l="1"/>
  <c r="V21" i="14"/>
  <c r="V20" i="14"/>
  <c r="G321" i="1"/>
  <c r="O31" i="14" l="1"/>
  <c r="M32" i="14" l="1"/>
  <c r="D33" i="14"/>
  <c r="J33" i="14" l="1"/>
  <c r="J29" i="14" s="1"/>
  <c r="J26" i="14" s="1"/>
  <c r="D29" i="14"/>
  <c r="D26" i="14" s="1"/>
  <c r="G86" i="1"/>
  <c r="D13" i="14"/>
  <c r="M33" i="14"/>
  <c r="G78" i="1"/>
  <c r="S29" i="14" l="1"/>
  <c r="S26" i="14" s="1"/>
  <c r="S4" i="14" s="1"/>
  <c r="T33" i="14"/>
  <c r="K33" i="14"/>
  <c r="M29" i="14"/>
  <c r="G77" i="1"/>
  <c r="M7" i="14"/>
  <c r="M14" i="14"/>
  <c r="I53" i="18"/>
  <c r="H77" i="1"/>
  <c r="G74" i="1"/>
  <c r="G10" i="1" s="1"/>
  <c r="H74" i="1"/>
  <c r="M6" i="14" l="1"/>
  <c r="I43" i="18"/>
  <c r="I42" i="18"/>
  <c r="P9" i="14"/>
  <c r="P24" i="14"/>
  <c r="T24" i="14" s="1"/>
  <c r="P20" i="14"/>
  <c r="T20" i="14" s="1"/>
  <c r="I50" i="18"/>
  <c r="P6" i="14" l="1"/>
  <c r="T9" i="14"/>
  <c r="P23" i="14"/>
  <c r="C30" i="18"/>
  <c r="C29" i="18"/>
  <c r="F38" i="18"/>
  <c r="I41" i="18"/>
  <c r="Y20" i="14"/>
  <c r="AB20" i="14" s="1"/>
  <c r="D19" i="4" s="1"/>
  <c r="P22" i="14" l="1"/>
  <c r="P11" i="14" s="1"/>
  <c r="T23" i="14"/>
  <c r="F30" i="18"/>
  <c r="G22" i="14"/>
  <c r="O16" i="14" l="1"/>
  <c r="T16" i="14" s="1"/>
  <c r="O32" i="14"/>
  <c r="F32" i="14"/>
  <c r="K32" i="14" s="1"/>
  <c r="O29" i="14" l="1"/>
  <c r="F29" i="14"/>
  <c r="F26" i="14" s="1"/>
  <c r="O8" i="14"/>
  <c r="F16" i="14"/>
  <c r="I54" i="18"/>
  <c r="F8" i="14"/>
  <c r="H321" i="1"/>
  <c r="H2359" i="1"/>
  <c r="G2362" i="1"/>
  <c r="H2362" i="1"/>
  <c r="G2359" i="1"/>
  <c r="O6" i="14" l="1"/>
  <c r="T8" i="14"/>
  <c r="H300" i="1"/>
  <c r="G300" i="1"/>
  <c r="H280" i="1"/>
  <c r="H298" i="1" l="1"/>
  <c r="O18" i="14"/>
  <c r="F18" i="14"/>
  <c r="G298" i="1"/>
  <c r="G274" i="1"/>
  <c r="G280" i="1"/>
  <c r="G288" i="1"/>
  <c r="H288" i="1"/>
  <c r="H273" i="1" l="1"/>
  <c r="G273" i="1"/>
  <c r="G251" i="1" s="1"/>
  <c r="O17" i="14"/>
  <c r="F17" i="14"/>
  <c r="O15" i="14" l="1"/>
  <c r="O11" i="14" s="1"/>
  <c r="C22" i="18"/>
  <c r="Z19" i="14" l="1"/>
  <c r="H13" i="14" l="1"/>
  <c r="H14" i="14" l="1"/>
  <c r="Q21" i="14"/>
  <c r="Q17" i="14"/>
  <c r="T17" i="14" s="1"/>
  <c r="Q14" i="14"/>
  <c r="Q7" i="14"/>
  <c r="Q6" i="14" s="1"/>
  <c r="Q18" i="14"/>
  <c r="T18" i="14" s="1"/>
  <c r="Q32" i="14"/>
  <c r="Q29" i="14" l="1"/>
  <c r="Q15" i="14"/>
  <c r="Z21" i="14"/>
  <c r="C10" i="18"/>
  <c r="Z7" i="14"/>
  <c r="Z10" i="14" l="1"/>
  <c r="H6" i="14"/>
  <c r="N10" i="14" l="1"/>
  <c r="N7" i="14"/>
  <c r="T10" i="14" l="1"/>
  <c r="F14" i="18" s="1"/>
  <c r="N6" i="14"/>
  <c r="N14" i="14"/>
  <c r="E14" i="14"/>
  <c r="E7" i="14"/>
  <c r="H95" i="1"/>
  <c r="N12" i="14" l="1"/>
  <c r="N11" i="14" s="1"/>
  <c r="E19" i="14"/>
  <c r="W19" i="14" s="1"/>
  <c r="I19" i="14"/>
  <c r="AA19" i="14" s="1"/>
  <c r="G19" i="14"/>
  <c r="Y19" i="14" s="1"/>
  <c r="F19" i="14"/>
  <c r="X19" i="14" s="1"/>
  <c r="D19" i="14"/>
  <c r="I10" i="14"/>
  <c r="AA10" i="14" s="1"/>
  <c r="G10" i="14"/>
  <c r="Y10" i="14" s="1"/>
  <c r="F10" i="14"/>
  <c r="X10" i="14" s="1"/>
  <c r="E10" i="14"/>
  <c r="W10" i="14" s="1"/>
  <c r="D10" i="14"/>
  <c r="D9" i="14"/>
  <c r="K10" i="14" l="1"/>
  <c r="K19" i="14"/>
  <c r="V10" i="14"/>
  <c r="AB10" i="14" s="1"/>
  <c r="V19" i="14"/>
  <c r="AB19" i="14" s="1"/>
  <c r="D9" i="4" l="1"/>
  <c r="I14" i="18"/>
  <c r="D18" i="4"/>
  <c r="I31" i="14" l="1"/>
  <c r="I29" i="14" s="1"/>
  <c r="I26" i="14" s="1"/>
  <c r="R7" i="14"/>
  <c r="R14" i="14"/>
  <c r="T14" i="14" s="1"/>
  <c r="R6" i="14" l="1"/>
  <c r="T7" i="14"/>
  <c r="G1830" i="1"/>
  <c r="I21" i="14"/>
  <c r="I14" i="14"/>
  <c r="C52" i="18"/>
  <c r="N52" i="18" s="1"/>
  <c r="I44" i="18" l="1"/>
  <c r="K21" i="14"/>
  <c r="C51" i="18"/>
  <c r="D7" i="14" l="1"/>
  <c r="V7" i="14" l="1"/>
  <c r="I25" i="14" l="1"/>
  <c r="H25" i="14"/>
  <c r="F25" i="14"/>
  <c r="E25" i="14"/>
  <c r="D25" i="14"/>
  <c r="Y24" i="14"/>
  <c r="I24" i="14"/>
  <c r="H24" i="14"/>
  <c r="F24" i="14"/>
  <c r="E24" i="14"/>
  <c r="D24" i="14"/>
  <c r="I23" i="14"/>
  <c r="H23" i="14"/>
  <c r="F23" i="14"/>
  <c r="E23" i="14"/>
  <c r="D23" i="14"/>
  <c r="I18" i="14"/>
  <c r="G18" i="14"/>
  <c r="E18" i="14"/>
  <c r="D18" i="14"/>
  <c r="I17" i="14"/>
  <c r="G17" i="14"/>
  <c r="E17" i="14"/>
  <c r="D17" i="14"/>
  <c r="I16" i="14"/>
  <c r="G16" i="14"/>
  <c r="E16" i="14"/>
  <c r="D16" i="14"/>
  <c r="G14" i="14"/>
  <c r="F14" i="14"/>
  <c r="G13" i="14"/>
  <c r="F13" i="14"/>
  <c r="E13" i="14"/>
  <c r="I9" i="14"/>
  <c r="Y9" i="14"/>
  <c r="F9" i="14"/>
  <c r="E9" i="14"/>
  <c r="I8" i="14"/>
  <c r="D8" i="14"/>
  <c r="Y7" i="14"/>
  <c r="F7" i="14"/>
  <c r="K7" i="14" s="1"/>
  <c r="K17" i="14" l="1"/>
  <c r="K23" i="14"/>
  <c r="J6" i="14"/>
  <c r="E12" i="14"/>
  <c r="K13" i="14"/>
  <c r="K25" i="14"/>
  <c r="K16" i="14"/>
  <c r="K18" i="14"/>
  <c r="K9" i="14"/>
  <c r="K24" i="14"/>
  <c r="J22" i="14"/>
  <c r="J15" i="14"/>
  <c r="R31" i="14"/>
  <c r="R32" i="14"/>
  <c r="T32" i="14" s="1"/>
  <c r="R21" i="14"/>
  <c r="T21" i="14" s="1"/>
  <c r="R13" i="14"/>
  <c r="R12" i="14" s="1"/>
  <c r="F55" i="18"/>
  <c r="F56" i="18"/>
  <c r="I56" i="18" s="1"/>
  <c r="E6" i="14"/>
  <c r="F6" i="14"/>
  <c r="AA18" i="14"/>
  <c r="AA9" i="14"/>
  <c r="Y16" i="14"/>
  <c r="V16" i="14"/>
  <c r="AA24" i="14"/>
  <c r="G1829" i="1"/>
  <c r="G1826" i="1" s="1"/>
  <c r="AA23" i="14"/>
  <c r="W25" i="14"/>
  <c r="V8" i="14"/>
  <c r="W16" i="14"/>
  <c r="Z25" i="14"/>
  <c r="V18" i="14"/>
  <c r="AA25" i="14"/>
  <c r="AA17" i="14"/>
  <c r="X24" i="14"/>
  <c r="W17" i="14"/>
  <c r="AA16" i="14"/>
  <c r="X13" i="14"/>
  <c r="Y32" i="14"/>
  <c r="Z31" i="14"/>
  <c r="W32" i="14"/>
  <c r="Y13" i="14"/>
  <c r="W24" i="14"/>
  <c r="X25" i="14"/>
  <c r="Z9" i="14"/>
  <c r="Z24" i="14"/>
  <c r="X7" i="14"/>
  <c r="X8" i="14"/>
  <c r="Y14" i="14"/>
  <c r="H15" i="14"/>
  <c r="Z16" i="14"/>
  <c r="V23" i="14"/>
  <c r="W23" i="14"/>
  <c r="W18" i="14"/>
  <c r="X23" i="14"/>
  <c r="Z8" i="14"/>
  <c r="AA8" i="14"/>
  <c r="V9" i="14"/>
  <c r="W13" i="14"/>
  <c r="V17" i="14"/>
  <c r="Y18" i="14"/>
  <c r="Z18" i="14"/>
  <c r="Z23" i="14"/>
  <c r="V25" i="14"/>
  <c r="W9" i="14"/>
  <c r="V24" i="14"/>
  <c r="W8" i="14"/>
  <c r="X9" i="14"/>
  <c r="X14" i="14"/>
  <c r="Y17" i="14"/>
  <c r="Y25" i="14"/>
  <c r="G15" i="14"/>
  <c r="I15" i="14"/>
  <c r="D15" i="14"/>
  <c r="E15" i="14"/>
  <c r="I49" i="18"/>
  <c r="F12" i="14"/>
  <c r="D22" i="14"/>
  <c r="G12" i="14"/>
  <c r="F22" i="14"/>
  <c r="I22" i="14"/>
  <c r="G2364" i="1"/>
  <c r="I6" i="14"/>
  <c r="F31" i="18"/>
  <c r="F29" i="18"/>
  <c r="F37" i="18"/>
  <c r="G8" i="14"/>
  <c r="G6" i="14" s="1"/>
  <c r="Y23" i="14"/>
  <c r="E22" i="14"/>
  <c r="H22" i="14"/>
  <c r="R11" i="14" l="1"/>
  <c r="G1721" i="1"/>
  <c r="G917" i="1"/>
  <c r="K8" i="14"/>
  <c r="K22" i="14"/>
  <c r="AA31" i="14"/>
  <c r="R29" i="14"/>
  <c r="Y22" i="14"/>
  <c r="AA21" i="14"/>
  <c r="G11" i="14"/>
  <c r="G4" i="14" s="1"/>
  <c r="I55" i="18"/>
  <c r="I52" i="18" s="1"/>
  <c r="F52" i="18"/>
  <c r="F15" i="14"/>
  <c r="F11" i="14" s="1"/>
  <c r="H1830" i="1"/>
  <c r="H1829" i="1" s="1"/>
  <c r="H1826" i="1" s="1"/>
  <c r="H1721" i="1" s="1"/>
  <c r="H917" i="1" s="1"/>
  <c r="W15" i="14"/>
  <c r="V15" i="14"/>
  <c r="AA14" i="14"/>
  <c r="AA15" i="14"/>
  <c r="X12" i="14"/>
  <c r="Y12" i="14"/>
  <c r="Y8" i="14"/>
  <c r="X17" i="14"/>
  <c r="X18" i="14"/>
  <c r="X16" i="14"/>
  <c r="AA13" i="14"/>
  <c r="AB23" i="14"/>
  <c r="AB24" i="14"/>
  <c r="Y15" i="14"/>
  <c r="AA7" i="14"/>
  <c r="AB25" i="14"/>
  <c r="D24" i="4" s="1"/>
  <c r="AB9" i="14"/>
  <c r="AI4" i="14" s="1"/>
  <c r="X31" i="14"/>
  <c r="Y31" i="14"/>
  <c r="AA32" i="14"/>
  <c r="X32" i="14"/>
  <c r="Z32" i="14"/>
  <c r="C37" i="18"/>
  <c r="H2358" i="1"/>
  <c r="I48" i="18"/>
  <c r="I24" i="18"/>
  <c r="G2358" i="1"/>
  <c r="G2155" i="1" s="1"/>
  <c r="G2154" i="1" s="1"/>
  <c r="D14" i="14"/>
  <c r="C20" i="18"/>
  <c r="F12" i="18"/>
  <c r="H2364" i="1"/>
  <c r="I12" i="14"/>
  <c r="I11" i="14" s="1"/>
  <c r="I4" i="14" s="1"/>
  <c r="F60" i="18"/>
  <c r="W7" i="14"/>
  <c r="C33" i="18"/>
  <c r="C32" i="18" s="1"/>
  <c r="I18" i="18"/>
  <c r="I51" i="18"/>
  <c r="F28" i="18"/>
  <c r="I31" i="18"/>
  <c r="F36" i="18"/>
  <c r="I11" i="18"/>
  <c r="F59" i="18"/>
  <c r="I10" i="18"/>
  <c r="F20" i="18"/>
  <c r="I23" i="18"/>
  <c r="J11" i="14" l="1"/>
  <c r="J4" i="14" s="1"/>
  <c r="K14" i="14"/>
  <c r="H2155" i="1"/>
  <c r="H2154" i="1" s="1"/>
  <c r="AJ4" i="14"/>
  <c r="AB7" i="14"/>
  <c r="AE4" i="14" s="1"/>
  <c r="AB21" i="14"/>
  <c r="AH4" i="14" s="1"/>
  <c r="D6" i="14"/>
  <c r="D8" i="4"/>
  <c r="D22" i="4"/>
  <c r="D23" i="4"/>
  <c r="F13" i="18"/>
  <c r="I13" i="18" s="1"/>
  <c r="F4" i="14"/>
  <c r="X6" i="14"/>
  <c r="AB18" i="14"/>
  <c r="Z6" i="14"/>
  <c r="AA12" i="14"/>
  <c r="AA22" i="14"/>
  <c r="W6" i="14"/>
  <c r="AA6" i="14"/>
  <c r="AB8" i="14"/>
  <c r="V31" i="14"/>
  <c r="W14" i="14"/>
  <c r="I29" i="18"/>
  <c r="V14" i="14"/>
  <c r="X15" i="14"/>
  <c r="AB16" i="14"/>
  <c r="C35" i="18"/>
  <c r="I9" i="18"/>
  <c r="I36" i="18"/>
  <c r="I12" i="18"/>
  <c r="E11" i="14"/>
  <c r="H251" i="1"/>
  <c r="I27" i="18"/>
  <c r="I19" i="18"/>
  <c r="I60" i="18"/>
  <c r="F7" i="18"/>
  <c r="T6" i="14"/>
  <c r="I59" i="18"/>
  <c r="I21" i="18"/>
  <c r="C7" i="18"/>
  <c r="C6" i="18" s="1"/>
  <c r="I26" i="18"/>
  <c r="AG4" i="14" l="1"/>
  <c r="K6" i="14"/>
  <c r="D20" i="4"/>
  <c r="D15" i="4"/>
  <c r="N22" i="18" s="1"/>
  <c r="D21" i="4"/>
  <c r="D7" i="4"/>
  <c r="D17" i="4"/>
  <c r="I30" i="18"/>
  <c r="I28" i="18" s="1"/>
  <c r="C28" i="18"/>
  <c r="W22" i="14"/>
  <c r="X22" i="14"/>
  <c r="W12" i="14"/>
  <c r="Y6" i="14"/>
  <c r="V22" i="14"/>
  <c r="V6" i="14"/>
  <c r="F22" i="18"/>
  <c r="F6" i="18"/>
  <c r="N35" i="18"/>
  <c r="I7" i="18"/>
  <c r="I6" i="18" s="1"/>
  <c r="I20" i="18"/>
  <c r="I22" i="18"/>
  <c r="D6" i="4" l="1"/>
  <c r="AB6" i="14"/>
  <c r="AB22" i="14"/>
  <c r="Z22" i="14"/>
  <c r="N28" i="18"/>
  <c r="T22" i="14"/>
  <c r="F35" i="18"/>
  <c r="N7" i="18" l="1"/>
  <c r="D5" i="4"/>
  <c r="I37" i="18"/>
  <c r="I35" i="18" l="1"/>
  <c r="C57" i="18" l="1"/>
  <c r="F57" i="18"/>
  <c r="V32" i="14" l="1"/>
  <c r="I58" i="18"/>
  <c r="AB32" i="14" l="1"/>
  <c r="I57" i="18"/>
  <c r="N57" i="18"/>
  <c r="D28" i="4" l="1"/>
  <c r="H12" i="14" l="1"/>
  <c r="H11" i="14" l="1"/>
  <c r="H4" i="14" s="1"/>
  <c r="K15" i="14"/>
  <c r="M13" i="14" l="1"/>
  <c r="F16" i="18"/>
  <c r="M12" i="14" l="1"/>
  <c r="M11" i="14" s="1"/>
  <c r="C16" i="18"/>
  <c r="I17" i="18"/>
  <c r="V13" i="14"/>
  <c r="D12" i="14"/>
  <c r="D11" i="14" l="1"/>
  <c r="D4" i="14" s="1"/>
  <c r="I16" i="18"/>
  <c r="V12" i="14"/>
  <c r="C15" i="18"/>
  <c r="K12" i="14"/>
  <c r="K11" i="14" s="1"/>
  <c r="G633" i="1" l="1"/>
  <c r="G367" i="1" s="1"/>
  <c r="G9" i="1" s="1"/>
  <c r="G8" i="1" s="1"/>
  <c r="Z17" i="14"/>
  <c r="Z14" i="14"/>
  <c r="F34" i="18"/>
  <c r="T15" i="14" l="1"/>
  <c r="I34" i="18"/>
  <c r="AB14" i="14"/>
  <c r="Z15" i="14"/>
  <c r="AB17" i="14"/>
  <c r="D13" i="4" l="1"/>
  <c r="D16" i="4"/>
  <c r="D14" i="4" s="1"/>
  <c r="AB15" i="14"/>
  <c r="N32" i="18"/>
  <c r="N20" i="18" l="1"/>
  <c r="N31" i="14" l="1"/>
  <c r="T31" i="14" s="1"/>
  <c r="I40" i="18" l="1"/>
  <c r="I38" i="18" s="1"/>
  <c r="E31" i="14"/>
  <c r="K31" i="14" s="1"/>
  <c r="C45" i="18"/>
  <c r="H164" i="1"/>
  <c r="H94" i="1" s="1"/>
  <c r="K29" i="14" l="1"/>
  <c r="E29" i="14"/>
  <c r="E26" i="14" s="1"/>
  <c r="C38" i="18"/>
  <c r="N38" i="18" s="1"/>
  <c r="I47" i="18"/>
  <c r="W31" i="14"/>
  <c r="I46" i="18"/>
  <c r="F45" i="18"/>
  <c r="E4" i="14" l="1"/>
  <c r="C5" i="18"/>
  <c r="AB31" i="14"/>
  <c r="I45" i="18"/>
  <c r="E18" i="18" l="1"/>
  <c r="E17" i="18"/>
  <c r="E19" i="18"/>
  <c r="K4" i="14"/>
  <c r="S5" i="14" s="1"/>
  <c r="E11" i="18"/>
  <c r="E20" i="18"/>
  <c r="E32" i="18"/>
  <c r="E52" i="18"/>
  <c r="E57" i="18"/>
  <c r="E28" i="18"/>
  <c r="E15" i="18"/>
  <c r="E6" i="18"/>
  <c r="E9" i="18"/>
  <c r="E7" i="18"/>
  <c r="E45" i="18"/>
  <c r="E16" i="18"/>
  <c r="E14" i="18"/>
  <c r="E35" i="18"/>
  <c r="M4" i="18"/>
  <c r="E13" i="18"/>
  <c r="E38" i="18"/>
  <c r="E10" i="18"/>
  <c r="E22" i="18"/>
  <c r="E12" i="18"/>
  <c r="D27" i="4"/>
  <c r="J5" i="14" l="1"/>
  <c r="K5" i="14"/>
  <c r="G5" i="14"/>
  <c r="I5" i="14"/>
  <c r="F5" i="14"/>
  <c r="H5" i="14"/>
  <c r="D5" i="14"/>
  <c r="E5" i="14"/>
  <c r="L28" i="14"/>
  <c r="L27" i="14"/>
  <c r="L26" i="14"/>
  <c r="L8" i="14"/>
  <c r="L6" i="14"/>
  <c r="L17" i="14"/>
  <c r="L9" i="14"/>
  <c r="L29" i="14"/>
  <c r="L19" i="14"/>
  <c r="L16" i="14"/>
  <c r="L31" i="14"/>
  <c r="L23" i="14"/>
  <c r="L7" i="14"/>
  <c r="L21" i="14"/>
  <c r="L24" i="14"/>
  <c r="L11" i="14"/>
  <c r="L22" i="14"/>
  <c r="L10" i="14"/>
  <c r="L12" i="14"/>
  <c r="L14" i="14"/>
  <c r="L20" i="14"/>
  <c r="L33" i="14"/>
  <c r="L13" i="14"/>
  <c r="L25" i="14"/>
  <c r="L32" i="14"/>
  <c r="L15" i="14"/>
  <c r="L18" i="14"/>
  <c r="L30" i="14"/>
  <c r="R26" i="14"/>
  <c r="AA33" i="14"/>
  <c r="O26" i="14"/>
  <c r="X33" i="14"/>
  <c r="T29" i="14"/>
  <c r="N29" i="14"/>
  <c r="N26" i="14" s="1"/>
  <c r="W33" i="14"/>
  <c r="Q26" i="14"/>
  <c r="Z33" i="14"/>
  <c r="P26" i="14"/>
  <c r="Y33" i="14"/>
  <c r="V33" i="14"/>
  <c r="M26" i="14"/>
  <c r="P4" i="14" l="1"/>
  <c r="O4" i="14"/>
  <c r="N4" i="14"/>
  <c r="R4" i="14"/>
  <c r="M4" i="14"/>
  <c r="V29" i="14"/>
  <c r="V26" i="14" s="1"/>
  <c r="Y29" i="14"/>
  <c r="Y26" i="14" s="1"/>
  <c r="X29" i="14"/>
  <c r="X26" i="14" s="1"/>
  <c r="AA29" i="14"/>
  <c r="AA26" i="14" s="1"/>
  <c r="W29" i="14"/>
  <c r="W26" i="14" s="1"/>
  <c r="Z29" i="14"/>
  <c r="Z26" i="14" s="1"/>
  <c r="AB33" i="14"/>
  <c r="AF4" i="14" s="1"/>
  <c r="T26" i="14"/>
  <c r="AA11" i="14" l="1"/>
  <c r="AA4" i="14" s="1"/>
  <c r="Y11" i="14"/>
  <c r="Y4" i="14" s="1"/>
  <c r="W11" i="14"/>
  <c r="W4" i="14" s="1"/>
  <c r="X11" i="14"/>
  <c r="X4" i="14" s="1"/>
  <c r="V11" i="14"/>
  <c r="V4" i="14" s="1"/>
  <c r="AB29" i="14"/>
  <c r="AB26" i="14" s="1"/>
  <c r="D29" i="4"/>
  <c r="D25" i="4" s="1"/>
  <c r="N45" i="18" s="1"/>
  <c r="Q13" i="14" l="1"/>
  <c r="T13" i="14" s="1"/>
  <c r="Q12" i="14" l="1"/>
  <c r="Q11" i="14" s="1"/>
  <c r="Z13" i="14"/>
  <c r="F33" i="18"/>
  <c r="H633" i="1"/>
  <c r="H367" i="1" s="1"/>
  <c r="H10" i="1" s="1"/>
  <c r="H9" i="1" l="1"/>
  <c r="H8" i="1" s="1"/>
  <c r="H7" i="1" s="1"/>
  <c r="AB13" i="14"/>
  <c r="Z12" i="14"/>
  <c r="T12" i="14"/>
  <c r="T11" i="14" s="1"/>
  <c r="Q4" i="14"/>
  <c r="F32" i="18"/>
  <c r="I33" i="18"/>
  <c r="Z11" i="14" l="1"/>
  <c r="I32" i="18"/>
  <c r="AB12" i="14"/>
  <c r="AD4" i="14" s="1"/>
  <c r="D12" i="4"/>
  <c r="D11" i="4" s="1"/>
  <c r="F15" i="18"/>
  <c r="T4" i="14" l="1"/>
  <c r="U11" i="14" s="1"/>
  <c r="AB11" i="14"/>
  <c r="F5" i="18"/>
  <c r="I15" i="18"/>
  <c r="Z4" i="14"/>
  <c r="U26" i="14" l="1"/>
  <c r="N5" i="14"/>
  <c r="T5" i="14"/>
  <c r="M5" i="14"/>
  <c r="R5" i="14"/>
  <c r="O5" i="14"/>
  <c r="P5" i="14"/>
  <c r="Q5" i="14"/>
  <c r="U22" i="14"/>
  <c r="H15" i="18"/>
  <c r="H38" i="18"/>
  <c r="U31" i="14"/>
  <c r="U30" i="14"/>
  <c r="U12" i="14"/>
  <c r="U15" i="14"/>
  <c r="U32" i="14"/>
  <c r="U33" i="14"/>
  <c r="U6" i="14"/>
  <c r="U29" i="14"/>
  <c r="N16" i="18"/>
  <c r="D10" i="4"/>
  <c r="H57" i="18"/>
  <c r="H45" i="18"/>
  <c r="H35" i="18"/>
  <c r="H20" i="18"/>
  <c r="H16" i="18"/>
  <c r="H7" i="18"/>
  <c r="H22" i="18"/>
  <c r="H6" i="18"/>
  <c r="H52" i="18"/>
  <c r="H28" i="18"/>
  <c r="H32" i="18"/>
  <c r="I5" i="18"/>
  <c r="J25" i="18" s="1"/>
  <c r="AB4" i="14"/>
  <c r="AC28" i="14" l="1"/>
  <c r="AC27" i="14"/>
  <c r="AC26" i="14"/>
  <c r="AC14" i="14"/>
  <c r="AC24" i="14"/>
  <c r="AC30" i="14"/>
  <c r="AC17" i="14"/>
  <c r="D4" i="4"/>
  <c r="E24" i="4" s="1"/>
  <c r="J15" i="18"/>
  <c r="J44" i="18"/>
  <c r="J40" i="18"/>
  <c r="J42" i="18"/>
  <c r="J43" i="18"/>
  <c r="J41" i="18"/>
  <c r="J39" i="18"/>
  <c r="J38" i="18"/>
  <c r="AC11" i="14"/>
  <c r="AC21" i="14"/>
  <c r="AC4" i="14"/>
  <c r="AC15" i="14"/>
  <c r="AC6" i="14"/>
  <c r="AC19" i="14"/>
  <c r="AB5" i="14"/>
  <c r="Y5" i="14"/>
  <c r="V5" i="14"/>
  <c r="AC20" i="14"/>
  <c r="AC29" i="14"/>
  <c r="X5" i="14"/>
  <c r="AC8" i="14"/>
  <c r="AA5" i="14"/>
  <c r="W5" i="14"/>
  <c r="AC16" i="14"/>
  <c r="AC32" i="14"/>
  <c r="AC23" i="14"/>
  <c r="AC33" i="14"/>
  <c r="AC7" i="14"/>
  <c r="AC18" i="14"/>
  <c r="AC31" i="14"/>
  <c r="AC25" i="14"/>
  <c r="AC10" i="14"/>
  <c r="AC22" i="14"/>
  <c r="AC9" i="14"/>
  <c r="AC13" i="14"/>
  <c r="AC12" i="14"/>
  <c r="J54" i="18"/>
  <c r="J50" i="18"/>
  <c r="J11" i="18"/>
  <c r="J52" i="18"/>
  <c r="J20" i="18"/>
  <c r="J53" i="18"/>
  <c r="J16" i="18"/>
  <c r="J21" i="18"/>
  <c r="J19" i="18"/>
  <c r="J37" i="18"/>
  <c r="J51" i="18"/>
  <c r="J24" i="18"/>
  <c r="J31" i="18"/>
  <c r="J26" i="18"/>
  <c r="J27" i="18"/>
  <c r="J55" i="18"/>
  <c r="J23" i="18"/>
  <c r="J58" i="18"/>
  <c r="J18" i="18"/>
  <c r="J7" i="18"/>
  <c r="J28" i="18"/>
  <c r="J56" i="18"/>
  <c r="J60" i="18"/>
  <c r="J49" i="18"/>
  <c r="J35" i="18"/>
  <c r="J59" i="18"/>
  <c r="J8" i="18"/>
  <c r="J13" i="18"/>
  <c r="J46" i="18"/>
  <c r="J10" i="18"/>
  <c r="J9" i="18"/>
  <c r="J14" i="18"/>
  <c r="J57" i="18"/>
  <c r="J47" i="18"/>
  <c r="J45" i="18"/>
  <c r="J30" i="18"/>
  <c r="J29" i="18"/>
  <c r="J48" i="18"/>
  <c r="J22" i="18"/>
  <c r="J36" i="18"/>
  <c r="J12" i="18"/>
  <c r="J34" i="18"/>
  <c r="J6" i="18"/>
  <c r="J17" i="18"/>
  <c r="E5" i="18"/>
  <c r="J33" i="18"/>
  <c r="J32" i="18"/>
  <c r="H5" i="18"/>
  <c r="N15" i="18"/>
  <c r="Z5" i="14"/>
  <c r="E17" i="4" l="1"/>
  <c r="E15" i="4"/>
  <c r="E5" i="4"/>
  <c r="E13" i="4"/>
  <c r="E16" i="4"/>
  <c r="E25" i="4"/>
  <c r="E8" i="4"/>
  <c r="E14" i="4"/>
  <c r="E19" i="4"/>
  <c r="E7" i="4"/>
  <c r="E6" i="4"/>
  <c r="E18" i="4"/>
  <c r="E9" i="4"/>
  <c r="E12" i="4"/>
  <c r="E11" i="4"/>
  <c r="E10" i="4"/>
  <c r="G7" i="1" l="1"/>
</calcChain>
</file>

<file path=xl/comments1.xml><?xml version="1.0" encoding="utf-8"?>
<comments xmlns="http://schemas.openxmlformats.org/spreadsheetml/2006/main">
  <authors>
    <author>viettq9-lap</author>
    <author>halv8</author>
    <author>LAP-TOANND13</author>
  </authors>
  <commentList>
    <comment ref="B98" authorId="0" shapeId="0">
      <text>
        <r>
          <rPr>
            <b/>
            <sz val="9"/>
            <color indexed="81"/>
            <rFont val="Tahoma"/>
            <family val="2"/>
          </rPr>
          <t>viettq9-lap:</t>
        </r>
        <r>
          <rPr>
            <sz val="9"/>
            <color indexed="81"/>
            <rFont val="Tahoma"/>
            <family val="2"/>
          </rPr>
          <t xml:space="preserve">
Bao gồm cả MSC+MGW với Erl của MGW theo profile 40mErl/sub att</t>
        </r>
      </text>
    </comment>
    <comment ref="B99" authorId="0" shapeId="0">
      <text>
        <r>
          <rPr>
            <b/>
            <sz val="9"/>
            <color indexed="81"/>
            <rFont val="Tahoma"/>
            <family val="2"/>
          </rPr>
          <t>viettq9-lap:</t>
        </r>
        <r>
          <rPr>
            <sz val="9"/>
            <color indexed="81"/>
            <rFont val="Tahoma"/>
            <family val="2"/>
          </rPr>
          <t xml:space="preserve">
Bao gồm cả MSC+MGW với Erl của MGW theo profile 40mErl/sub att</t>
        </r>
      </text>
    </comment>
    <comment ref="B161" authorId="0" shapeId="0">
      <text>
        <r>
          <rPr>
            <b/>
            <sz val="9"/>
            <color indexed="81"/>
            <rFont val="Tahoma"/>
            <family val="2"/>
          </rPr>
          <t>viettq9-lap:</t>
        </r>
        <r>
          <rPr>
            <sz val="9"/>
            <color indexed="81"/>
            <rFont val="Tahoma"/>
            <family val="2"/>
          </rPr>
          <t xml:space="preserve">
Remote</t>
        </r>
      </text>
    </comment>
    <comment ref="B187" authorId="0" shapeId="0">
      <text>
        <r>
          <rPr>
            <b/>
            <sz val="9"/>
            <color indexed="81"/>
            <rFont val="Tahoma"/>
            <family val="2"/>
          </rPr>
          <t>viettq9-lap:</t>
        </r>
        <r>
          <rPr>
            <sz val="9"/>
            <color indexed="81"/>
            <rFont val="Tahoma"/>
            <family val="2"/>
          </rPr>
          <t xml:space="preserve">
Remote</t>
        </r>
      </text>
    </comment>
    <comment ref="B1715" authorId="1" shapeId="0">
      <text>
        <r>
          <rPr>
            <b/>
            <sz val="9"/>
            <color indexed="81"/>
            <rFont val="Tahoma"/>
            <family val="2"/>
          </rPr>
          <t>halv8:</t>
        </r>
        <r>
          <rPr>
            <sz val="9"/>
            <color indexed="81"/>
            <rFont val="Tahoma"/>
            <family val="2"/>
          </rPr>
          <t xml:space="preserve">
Ống nhựa B cấp
</t>
        </r>
      </text>
    </comment>
    <comment ref="F1835" authorId="2" shapeId="0">
      <text>
        <r>
          <rPr>
            <b/>
            <sz val="9"/>
            <color indexed="81"/>
            <rFont val="Tahoma"/>
            <family val="2"/>
          </rPr>
          <t>LAP-TOANND13:</t>
        </r>
        <r>
          <rPr>
            <sz val="9"/>
            <color indexed="81"/>
            <rFont val="Tahoma"/>
            <family val="2"/>
          </rPr>
          <t xml:space="preserve">
Giá anh Toanlqb</t>
        </r>
      </text>
    </comment>
  </commentList>
</comments>
</file>

<file path=xl/sharedStrings.xml><?xml version="1.0" encoding="utf-8"?>
<sst xmlns="http://schemas.openxmlformats.org/spreadsheetml/2006/main" count="15645" uniqueCount="1460">
  <si>
    <t>TT</t>
  </si>
  <si>
    <t>Nội dung/ hạng mục đầu tư, mua sắm</t>
  </si>
  <si>
    <t>Đơn vị tính</t>
  </si>
  <si>
    <t>USD</t>
  </si>
  <si>
    <t>I</t>
  </si>
  <si>
    <t>CƠ ĐIỆN</t>
  </si>
  <si>
    <t>CĐ</t>
  </si>
  <si>
    <t>VT</t>
  </si>
  <si>
    <t>-</t>
  </si>
  <si>
    <t>Gói</t>
  </si>
  <si>
    <t>HT</t>
  </si>
  <si>
    <t>M</t>
  </si>
  <si>
    <t>II</t>
  </si>
  <si>
    <t>A</t>
  </si>
  <si>
    <t>VÔ TUYẾN</t>
  </si>
  <si>
    <t>Cái</t>
  </si>
  <si>
    <t>Vùng phủ</t>
  </si>
  <si>
    <t>MẠNG LÕI</t>
  </si>
  <si>
    <t>ML</t>
  </si>
  <si>
    <t>III</t>
  </si>
  <si>
    <t>TRUYỀN DẪN</t>
  </si>
  <si>
    <t>TD</t>
  </si>
  <si>
    <t>Dung lượng</t>
  </si>
  <si>
    <t>Card</t>
  </si>
  <si>
    <t>Bộ</t>
  </si>
  <si>
    <t>Km</t>
  </si>
  <si>
    <t>IV</t>
  </si>
  <si>
    <t>Tổ</t>
  </si>
  <si>
    <t>Trạm BTS</t>
  </si>
  <si>
    <t>CĐBR</t>
  </si>
  <si>
    <t>km</t>
  </si>
  <si>
    <t>Tủ</t>
  </si>
  <si>
    <t>IP</t>
  </si>
  <si>
    <t>License</t>
  </si>
  <si>
    <t>Chiếc</t>
  </si>
  <si>
    <t>Hạ tầng mạng</t>
  </si>
  <si>
    <t>cái</t>
  </si>
  <si>
    <t>V</t>
  </si>
  <si>
    <t>CNTT</t>
  </si>
  <si>
    <t>gói</t>
  </si>
  <si>
    <t>Trạm</t>
  </si>
  <si>
    <t>Củng cố, kiên cố, bền vững</t>
  </si>
  <si>
    <t>B</t>
  </si>
  <si>
    <t>I.1</t>
  </si>
  <si>
    <t>Mbps</t>
  </si>
  <si>
    <t>I.2</t>
  </si>
  <si>
    <t>Sub</t>
  </si>
  <si>
    <t>C</t>
  </si>
  <si>
    <t>Cáp treo</t>
  </si>
  <si>
    <t>PHỤ KIỆN</t>
  </si>
  <si>
    <t>Cột</t>
  </si>
  <si>
    <t>Cột 8m</t>
  </si>
  <si>
    <t>Cột 10m</t>
  </si>
  <si>
    <t>Cáp ngầm</t>
  </si>
  <si>
    <t>D</t>
  </si>
  <si>
    <t>Tổng trạm Khu vực</t>
  </si>
  <si>
    <t>Trạm BTS -TT tỉnh</t>
  </si>
  <si>
    <t>E</t>
  </si>
  <si>
    <t>Compute</t>
  </si>
  <si>
    <t>Storage</t>
  </si>
  <si>
    <t>F</t>
  </si>
  <si>
    <t xml:space="preserve">TRIỂN KHAI HẠ TẦNG </t>
  </si>
  <si>
    <t>TK</t>
  </si>
  <si>
    <t>Chi phí triển khai truyền dẫn</t>
  </si>
  <si>
    <t>Thi công cống bể</t>
  </si>
  <si>
    <t>Thi công cáp ngầm</t>
  </si>
  <si>
    <t>Cáp quang Cống bể</t>
  </si>
  <si>
    <t>Cáp quang CTT</t>
  </si>
  <si>
    <t>Thi công cáp treo</t>
  </si>
  <si>
    <t>Thi công trồng cột</t>
  </si>
  <si>
    <t>Chi phí triển khai Cơ điện</t>
  </si>
  <si>
    <t>Chi phí triển khai CĐBR</t>
  </si>
  <si>
    <t>Mạng lõi</t>
  </si>
  <si>
    <t>Vô tuyến</t>
  </si>
  <si>
    <t>Truyền dẫn</t>
  </si>
  <si>
    <t>Cơ điện</t>
  </si>
  <si>
    <t>Mạng 4G</t>
  </si>
  <si>
    <t>Nội dung</t>
  </si>
  <si>
    <t>TỔNG ĐẦU TƯ</t>
  </si>
  <si>
    <t>Vùng phủ (đầu tư thiết bị)</t>
  </si>
  <si>
    <t>Vùng phủ (triển khai)</t>
  </si>
  <si>
    <t>Dung lượng (đầu tư + triển khai)</t>
  </si>
  <si>
    <t>Dung lượng (đầu tư)</t>
  </si>
  <si>
    <t>CĐBR-TH</t>
  </si>
  <si>
    <t>Lĩnh vực</t>
  </si>
  <si>
    <t>Khối lượng các hạng mục đầu tư chính</t>
  </si>
  <si>
    <t>Tỷ trọng</t>
  </si>
  <si>
    <t>Tổng</t>
  </si>
  <si>
    <t>Tỷ trọng (%)</t>
  </si>
  <si>
    <t>Mã mảng</t>
  </si>
  <si>
    <t>Mã DV</t>
  </si>
  <si>
    <t>Mã loại</t>
  </si>
  <si>
    <t>Mảng</t>
  </si>
  <si>
    <t>5G</t>
  </si>
  <si>
    <t>STT</t>
  </si>
  <si>
    <t>*</t>
  </si>
  <si>
    <t>Anten đa băng</t>
  </si>
  <si>
    <t>Card baseband</t>
  </si>
  <si>
    <t>VII</t>
  </si>
  <si>
    <t>ATTT</t>
  </si>
  <si>
    <t>Phụ kiện treo</t>
  </si>
  <si>
    <t>Phụ kiện ngầm</t>
  </si>
  <si>
    <t>Ống F110x5</t>
  </si>
  <si>
    <t>Ống F110x7</t>
  </si>
  <si>
    <t>Core tỉnh Juniper</t>
  </si>
  <si>
    <t>cổng</t>
  </si>
  <si>
    <t/>
  </si>
  <si>
    <t>BRAS</t>
  </si>
  <si>
    <t>Headend</t>
  </si>
  <si>
    <t>Kiên cố, củng cố</t>
  </si>
  <si>
    <t>P1</t>
  </si>
  <si>
    <t>P2</t>
  </si>
  <si>
    <t>VTTB</t>
  </si>
  <si>
    <t>Mạng 5G</t>
  </si>
  <si>
    <t>Bức tranh mạng lưới sau QHĐC</t>
  </si>
  <si>
    <t>Datacenter</t>
  </si>
  <si>
    <t xml:space="preserve">   Vùng phủ GPON</t>
  </si>
  <si>
    <t xml:space="preserve">   ERP</t>
  </si>
  <si>
    <t>Củng cố kiên cố</t>
  </si>
  <si>
    <t>Phục vụ kinh doanh Cloud</t>
  </si>
  <si>
    <t>Data Center</t>
  </si>
  <si>
    <t>Vùng phủ GPON</t>
  </si>
  <si>
    <t>Đơn giá dự kiến</t>
  </si>
  <si>
    <t>Cloud_KD</t>
  </si>
  <si>
    <t>DC</t>
  </si>
  <si>
    <t>TH</t>
  </si>
  <si>
    <t>Không xóa</t>
  </si>
  <si>
    <t>VPDĐ</t>
  </si>
  <si>
    <t>DLDĐ</t>
  </si>
  <si>
    <t>VPGPON</t>
  </si>
  <si>
    <t>DLGPON</t>
  </si>
  <si>
    <t>KHÔNG XÓA</t>
  </si>
  <si>
    <t>CCKC</t>
  </si>
  <si>
    <t>Đảm bảo VHKT và chất lượng mạng</t>
  </si>
  <si>
    <t>3.1</t>
  </si>
  <si>
    <t>3.2</t>
  </si>
  <si>
    <t>Vùng phủ ngoài trời (VTTB + Triển khai)</t>
  </si>
  <si>
    <t>Vùng phủ dự án (VTTB + Triển khai)</t>
  </si>
  <si>
    <t>Dung lượng Internet</t>
  </si>
  <si>
    <t>Dung lượng Truyền hình</t>
  </si>
  <si>
    <t>Cáp quang treo hình số 8-12 sợi</t>
  </si>
  <si>
    <t>I.3</t>
  </si>
  <si>
    <t>Thiết bị chuyển mạch quản trị</t>
  </si>
  <si>
    <t>Thiết bị chuyển mạch gom quản trị</t>
  </si>
  <si>
    <t>Cloud</t>
  </si>
  <si>
    <t>VHKT</t>
  </si>
  <si>
    <t>Xây dựng cống bế 2 ống</t>
  </si>
  <si>
    <t>Cáp quang treo hình số 8-12Fo</t>
  </si>
  <si>
    <t>Vùng phủ (đầu tư thiết bị + triển khai)</t>
  </si>
  <si>
    <t>+</t>
  </si>
  <si>
    <t>Bình</t>
  </si>
  <si>
    <t>DLMETRO</t>
  </si>
  <si>
    <t>DLIPBN</t>
  </si>
  <si>
    <t>DC_X</t>
  </si>
  <si>
    <t>Thay thế thiết bị cũ hết niên hạn</t>
  </si>
  <si>
    <t>Cổng</t>
  </si>
  <si>
    <t>Ko xóa</t>
  </si>
  <si>
    <t>IoT</t>
  </si>
  <si>
    <t xml:space="preserve">   Dung lượng Internet</t>
  </si>
  <si>
    <t xml:space="preserve">   Dung lượng Truyền hình</t>
  </si>
  <si>
    <t xml:space="preserve">   VAS</t>
  </si>
  <si>
    <t xml:space="preserve">   Fintech</t>
  </si>
  <si>
    <t>Thiết bị lưu trữ SAN loại 1</t>
  </si>
  <si>
    <t>Ngoài trời</t>
  </si>
  <si>
    <t>Dự án (tòa nhà, KCN)</t>
  </si>
  <si>
    <t>Mạng cáp</t>
  </si>
  <si>
    <t>Module</t>
  </si>
  <si>
    <t>VIBA</t>
  </si>
  <si>
    <t>Giải pháp nâng cấp dung lượng cho các tuyến vi ba</t>
  </si>
  <si>
    <t>Dịch vụ cho gói giải pháp nâng cấp dung lượng cho các tuyến vi ba</t>
  </si>
  <si>
    <t>Cáp quang treo hình số 8-12FO</t>
  </si>
  <si>
    <t>Cảnh báo khói</t>
  </si>
  <si>
    <t>Cảnh báo mở cửa</t>
  </si>
  <si>
    <t>Tỷ trọng
(%)</t>
  </si>
  <si>
    <t>Hạng mục đầu tư, triển khai chính</t>
  </si>
  <si>
    <t>Tỷ trọng theo mảng</t>
  </si>
  <si>
    <t>Kênh truyền</t>
  </si>
  <si>
    <t xml:space="preserve">   Kênh truyền</t>
  </si>
  <si>
    <t>Cáp quang luồn cống 24 sợi (Sợi thường)</t>
  </si>
  <si>
    <t>Cáp quang chôn 24 sợi (Sợi thường)</t>
  </si>
  <si>
    <t>Cáp quang treo 24 sợi (Cáp hình số 8)</t>
  </si>
  <si>
    <t>Cáp quang treo ADSS 24 sợi - KV200m</t>
  </si>
  <si>
    <t>Cáp quang treo ADSS 24 sợi - KV500m</t>
  </si>
  <si>
    <t>Cáp quang treo ADSS 24 sợi - KV100 (chống gặm nhấm)</t>
  </si>
  <si>
    <t>Cáp quang treo 24 sợi (cáp hình số 8-chống gặm nhấm)</t>
  </si>
  <si>
    <t>VSAT</t>
  </si>
  <si>
    <t>Giải pháp nâng cấp dung lượng cho các tuyến visat</t>
  </si>
  <si>
    <t>Dịch vụ cho gói giải pháp nâng cấp dung lượng cho các tuyến vsat</t>
  </si>
  <si>
    <t>Tổng trạm mới</t>
  </si>
  <si>
    <t>Cáp quang cống bể 96 sợi</t>
  </si>
  <si>
    <t>Cáp quang treo ADSS 96 sợi - KV100 (G652D)</t>
  </si>
  <si>
    <t>DV5G</t>
  </si>
  <si>
    <t>KT</t>
  </si>
  <si>
    <t>Máy chủ Cloud loại 1</t>
  </si>
  <si>
    <t>Máy chủ vật lý loại 1</t>
  </si>
  <si>
    <t>Máy chủ GPU loại 1</t>
  </si>
  <si>
    <t>Thiết bị chuyển mạch SAN loại 1</t>
  </si>
  <si>
    <t>Thiết bị tường lửa public loại 1</t>
  </si>
  <si>
    <t>Thiết bị tường lửa public loại 2</t>
  </si>
  <si>
    <t>Thiết bị cân bằng tải public loại 1</t>
  </si>
  <si>
    <t>Thiết bị cân bằng tải public loại 2</t>
  </si>
  <si>
    <t>Card Spine</t>
  </si>
  <si>
    <t>Thiết bị chuyển mạch Access Leaf loại 1</t>
  </si>
  <si>
    <t>Thiết bị chuyển mạch Access Leaf loại 2</t>
  </si>
  <si>
    <t>NMS cho thiết bị mạng</t>
  </si>
  <si>
    <t>Mở rộng hệ thống DNS</t>
  </si>
  <si>
    <t>CDN</t>
  </si>
  <si>
    <t>Thiết bị BGW</t>
  </si>
  <si>
    <t>BigData</t>
  </si>
  <si>
    <t>Thiết bị 4G</t>
  </si>
  <si>
    <t>Thành tiền dự kiến (VNĐ)</t>
  </si>
  <si>
    <t>Dự kiến đơn vị đầu tư, mua sắm</t>
  </si>
  <si>
    <t>Bền vững mạng lưới trong thiên tai</t>
  </si>
  <si>
    <t>PCTT</t>
  </si>
  <si>
    <t>Tỷ trọng theo dịch vụ</t>
  </si>
  <si>
    <t xml:space="preserve">Đảm bảo VHKT </t>
  </si>
  <si>
    <t>4G vùng phủ</t>
  </si>
  <si>
    <t>4G dung lượng</t>
  </si>
  <si>
    <t>4G</t>
  </si>
  <si>
    <t>Mạng BRCĐ&amp;TH</t>
  </si>
  <si>
    <t>Kiên cố thường trình</t>
  </si>
  <si>
    <t>Private Mobile Network</t>
  </si>
  <si>
    <t>Triển khai hạ tầng CNTT</t>
  </si>
  <si>
    <t xml:space="preserve">OLT XGSPON </t>
  </si>
  <si>
    <t>bộ</t>
  </si>
  <si>
    <t>Core Backend và hệ thống quản trị, giám sát, nâng cao chất lượng dịch vụ Internet</t>
  </si>
  <si>
    <t>Hệ thống CGNAT</t>
  </si>
  <si>
    <t>Hệ thống Analytics</t>
  </si>
  <si>
    <t xml:space="preserve">HT </t>
  </si>
  <si>
    <t>Hệ thống giám sát và quản trị băng thông (dung lượng 100k sub)</t>
  </si>
  <si>
    <t>Mở rộng tính năng mới cho ACS</t>
  </si>
  <si>
    <t xml:space="preserve">Hệ thống phần cứng để triển khai ITO, VQT, ICP </t>
  </si>
  <si>
    <t>Backend, Trợ lý ảo, water marking</t>
  </si>
  <si>
    <t>Triển khai Backend (dung lượng, multisite), trợ lý ảo</t>
  </si>
  <si>
    <t>Lưu trữ</t>
  </si>
  <si>
    <t>Thiết bị lưu trữ SAN loại 2</t>
  </si>
  <si>
    <t>Giải pháp lưu trữ Object loại 4</t>
  </si>
  <si>
    <t>Hệ thống Water marking</t>
  </si>
  <si>
    <t>Nâng cấp tính năng mới cho CDN hiện tại</t>
  </si>
  <si>
    <t>Thiết bị chuyển đổi Frane rate conversion cho tín hiệu SDI</t>
  </si>
  <si>
    <t>kênh</t>
  </si>
  <si>
    <t>License upmix, upmap cho Transcoder</t>
  </si>
  <si>
    <t>License Frame rate Conversion cho Transcoder</t>
  </si>
  <si>
    <t>Hệ thống đo kiểm chất lượng kênh truyền hình OTT (217 kênh)</t>
  </si>
  <si>
    <t>Triển khai hệ thống Headend dự phòng (2 site)</t>
  </si>
  <si>
    <t>Hệ thống máy chủ thay thế card VCA</t>
  </si>
  <si>
    <t>Tách cáp chung lộ,Ngầm hóa tuyến cáp (trục/nhánh)</t>
  </si>
  <si>
    <t>Tách cáp chung lộ, ngầm hóa</t>
  </si>
  <si>
    <t>Công nghệ mới triển khai diện rộng cho kinh doanh</t>
  </si>
  <si>
    <t>XGSPON</t>
  </si>
  <si>
    <t>AI/GPU</t>
  </si>
  <si>
    <t>PMN</t>
  </si>
  <si>
    <t>Mở rộng mạng lưới hiện tại cho kinh doanh</t>
  </si>
  <si>
    <t xml:space="preserve">Công nghệ mới triển khai diện rộng cho kinh doanh </t>
  </si>
  <si>
    <t>Trực tiếp kinh doanh</t>
  </si>
  <si>
    <t>Hỗ trợ kinh doanh và quản trị</t>
  </si>
  <si>
    <t>Đảm bảo VHKT, kiên cố, bền vững trong thiên tai</t>
  </si>
  <si>
    <t>TTKD</t>
  </si>
  <si>
    <t>HTKD</t>
  </si>
  <si>
    <t>KCTT</t>
  </si>
  <si>
    <t>Triển khai cho 1.136 km cáp quang trong đó: Tách cáp chung lộ 139.8 km; ngầm hoá tuyến cáp 996.2 km</t>
  </si>
  <si>
    <t>Đầu tư 5GC Mini cho khách hàng PMN</t>
  </si>
  <si>
    <t>Session</t>
  </si>
  <si>
    <t>Node</t>
  </si>
  <si>
    <t>Tính năng Bypass tự động Rx, Ro cho IMS Ericsson</t>
  </si>
  <si>
    <t>Máy chủ GPU loại 2</t>
  </si>
  <si>
    <t>Giải pháp lưu trữ File loại 1</t>
  </si>
  <si>
    <t>Giải pháp lưu trữ Object loại 1</t>
  </si>
  <si>
    <t>Thiết bị tường lửa nội bộ loại 1</t>
  </si>
  <si>
    <t>Thiết bị tường lửa nội bộ loại 2</t>
  </si>
  <si>
    <t>Phần mềm quản trị thiết bị tường lửa</t>
  </si>
  <si>
    <t>Thiết bị cân bằng tải nội bộ loại 1</t>
  </si>
  <si>
    <t>Thiết bị cân bằng tải nội bộ loại 2</t>
  </si>
  <si>
    <t>Phần mềm quản trị thiết bị cân bằng tải</t>
  </si>
  <si>
    <t>Thiết bị tường lửa cho hệ thống vTMS</t>
  </si>
  <si>
    <t>Thiết bị tường lửa cho hệ thống TMS ZTE</t>
  </si>
  <si>
    <t>Thiết bị chuyển mạch cho hệ thống vTMS</t>
  </si>
  <si>
    <t>Thiết bị chuyển mạch cho hệ thống TMS ZTE</t>
  </si>
  <si>
    <t>Thiết bị chuyển mạch Access Leaf loại 3</t>
  </si>
  <si>
    <t>Giải pháp DBFW</t>
  </si>
  <si>
    <t>An toàn thông tin</t>
  </si>
  <si>
    <t>Đầu tư giải pháp WAF và giải pháp DDoS</t>
  </si>
  <si>
    <t>Hạ tầng CNTT được bảo vệ bằng các biện pháp ATTT triển khai đồng bộ theo tiêu chuẩn NIST Cyber Securiy Framework.</t>
  </si>
  <si>
    <t xml:space="preserve">Cáp quang Cống bể 24Fo </t>
  </si>
  <si>
    <t>Cáp quang ngầm chôn trực tiếp 24Fo</t>
  </si>
  <si>
    <t>Cáp quang treo hình số 8-24 sợi</t>
  </si>
  <si>
    <t>Cáp quang treo ADSS24 KV200</t>
  </si>
  <si>
    <t>Cáp quang treo ADSS24 KV500</t>
  </si>
  <si>
    <t>Cáp gặm nhấm loại ADSS24</t>
  </si>
  <si>
    <t>Cáp bọc kim loại F8-24Fo</t>
  </si>
  <si>
    <t>Bộ treo cáp ADSS khoảng vượt 100 m</t>
  </si>
  <si>
    <t>Bộ treo cáp ADSS khoảng vượt 200 m</t>
  </si>
  <si>
    <t>Bộ néo 2 hướng cáp ADSS khoảng vượt 100 m</t>
  </si>
  <si>
    <t>Bộ néo 2 hướng cáp ADSS khoảng vượt 200 m</t>
  </si>
  <si>
    <t>Bộ néo 2 hướng cáp ADSS khoảng vượt 500 m</t>
  </si>
  <si>
    <t xml:space="preserve">Kẹp 2 rãnh 3 lỗ </t>
  </si>
  <si>
    <t>ODF 24Fo Indoor</t>
  </si>
  <si>
    <t>ODF 24Fo Outdoor</t>
  </si>
  <si>
    <t>Tấm ốp D12</t>
  </si>
  <si>
    <t>Tấm ốp D14</t>
  </si>
  <si>
    <t>Đế chữ U</t>
  </si>
  <si>
    <t>Chống rung</t>
  </si>
  <si>
    <t>Dây đai</t>
  </si>
  <si>
    <t>Khóa đai</t>
  </si>
  <si>
    <t>Biển báo cáp quang</t>
  </si>
  <si>
    <t>Biển báo độ cao</t>
  </si>
  <si>
    <t>DWDM/VIBA/VSAT</t>
  </si>
  <si>
    <t>Thiết bị SRT</t>
  </si>
  <si>
    <t>Thiết bị AGG</t>
  </si>
  <si>
    <t>AGG Juniper</t>
  </si>
  <si>
    <t>AGG Huawei</t>
  </si>
  <si>
    <t>Thiết bị Core tỉnh</t>
  </si>
  <si>
    <t>I.4</t>
  </si>
  <si>
    <t>Thiết bị IPBN</t>
  </si>
  <si>
    <t>E4</t>
  </si>
  <si>
    <t>E5</t>
  </si>
  <si>
    <t>Đảm bảo vận hành khai thác</t>
  </si>
  <si>
    <t xml:space="preserve">Cáp quang Cống bể 48Fo </t>
  </si>
  <si>
    <t>Cáp quang ngầm chôn trực tiếp 48Fo</t>
  </si>
  <si>
    <t>Cáp quang treo ADSS48 KV200</t>
  </si>
  <si>
    <t>Măng xông 48Fo</t>
  </si>
  <si>
    <t>ODF 48Fo Indoor</t>
  </si>
  <si>
    <t>E6</t>
  </si>
  <si>
    <t>Kiên cố bền vững trong thiên tai</t>
  </si>
  <si>
    <t>Cáp quang kiên cố, bền vững trong PCTT</t>
  </si>
  <si>
    <t xml:space="preserve">Cáp quang Cống bể 96Fo </t>
  </si>
  <si>
    <t>Cáp quang chôn Trực tiếp 24Fo</t>
  </si>
  <si>
    <t>Triển khai cáp kiên cố bền vững</t>
  </si>
  <si>
    <t>Ngầm CBXM hóa liên tỉnh</t>
  </si>
  <si>
    <t>Ngầm CBXM hóa liên huyện</t>
  </si>
  <si>
    <t>Ngầm CBXM trạm UT</t>
  </si>
  <si>
    <t>Cáp quang treo ADSS24 KV200 chống gặm nhấm</t>
  </si>
  <si>
    <t>Cáp quang treo ADSS48 KV200 chống gặm nhấm</t>
  </si>
  <si>
    <t>Thi công cáp ngầm XHH</t>
  </si>
  <si>
    <t>Xây dựng cống bế 1 ống</t>
  </si>
  <si>
    <t>Xây dựng cống bế 3 ống</t>
  </si>
  <si>
    <t>Xây dựng cống bế 4 ống</t>
  </si>
  <si>
    <t>E3</t>
  </si>
  <si>
    <t>Mở rộng dung lượng hệ thống AAA  (dung lượng và license 380k sub)</t>
  </si>
  <si>
    <t>Mở rộng vùng phủ XGSPON đáp ứng nhu cầu kinh doanh gói cước ARPU cao</t>
  </si>
  <si>
    <t>Đáp ứng nhu cầu kinh doanh kênh thuê riêng của VTS</t>
  </si>
  <si>
    <t xml:space="preserve"> Đầu tư thiết bị IP theo nhu cầu đấu nối của VTS và thiết bị DWDM theo nhu cầu kênh thuê riêng VTS.</t>
  </si>
  <si>
    <t>- Swap thay thế 08 thiết bị máy chủ của Headend đã EoL, EoS đầu tư từ 2017(~119 kênh);
- Triển khai multi-site Headend (2 site KV2, KV3);  
- Đầu tư bổ sung hệ thống đo kiểm chất lượng kênh truyền hình triển khai đến POP CDN (dung lượng 216 kênh OTT và 4 POP)
 --&gt; Giúp tăng dự phòng, khả năng giám sát và nâng cao chất lượng dịch vụ truyền hình OTT.</t>
  </si>
  <si>
    <t>- Swap Metro QNH và QNM (swap AGG, CT); đấu CT mới 02 tỉnh QNH và QNM; bổ sung thiết bị Viba, VSAT; 
- Triển khai kiên cố TD liên tỉnh (vùng gió III, IV; Sạt lở) ~ 38/63 tỉnh/TP ~ 56%; liên huyện: (vùng gió IV và sạt lở) ~ 207/704 huyện~30% ; Trạm UT (vùng gió 4, sạt lở) ~ 1293/3530 trạm UT vùng gói III, IV ~ 37%</t>
  </si>
  <si>
    <t>Đầu tư thay thế các thiết bị EOL, đến ngưỡng (12 hệ thống UPS frame 200kVA; 16 hệ thống tủ nguồn DC 2000A; 20 hệ thống ĐHCX 150.000 BTU/h; 33 tổ ắc quy chì 2V-2000Ah; 15 tổ ắc quy chì 2V-1000Ah) và các giải pháp đo kiểm, đánh giá, nâng cao chất lượng VHKT các tổng trạm khu vực</t>
  </si>
  <si>
    <t>Cải tạo điện yếu cho 1.535 trạm; Đầu tư 1.275 tủ nguồn tích hợp AC V5-3P và attomat 3 pha 4 cực 63A cho các trạm cải tạo lên 3 pha; Cải tạo tiếp địa cho 10 trạm; Đầu tư 50 tủ cắt sét 200kA; 1.058 tủ cắt sét 3 pha; 2.320 bộ CLS 1 pha; 1.655 bộ CLS 3 pha; 918 bộ SPD 1 pha (cho tủ AC box RRU kéo dài); 3.232 bộ giám sát tủ nguồn DC; 1.161 ATS 3 pha 63A; 12 tủ MSB 250A; 672 bình (28 tổ) ắc quy chì 2V-500Ah; Xây mới 1.161 bệ đặt MPĐ dầu; Đầu tư 3.647 bộ iACV; 300 tổ ắc quy Sodium và chi phí triển khai.</t>
  </si>
  <si>
    <t>Đầu tư 600 máy phát điện dầu 20kVA; 1.662 máy phát điện dầu 12kVA; 2.262 ATS 3 pha 63A; 4.623 bình ắc quy Lithium 48V-100Ah; 2.486 bình portable battery Lithium; Xây mới 1.884 bệ đặt máy phát điện + 348 nhà đặt máy phát điện vượt lũ và chi phí triển khai</t>
  </si>
  <si>
    <t>- Ngầm hoá theo yêu cầu của UBND tỉnh/TP góp phần làm đẹp cảnh quan đô thị và bền vững mạng lưới truyền dẫn.
- Cơ điện: Củng cố hạ tầng cơ điện trạm BTS đáp ứng yêu cầu thiết kế cũng như vận hành khai thác</t>
  </si>
  <si>
    <t>Đây là dịch vụ mới, chi phí đầu tư cao, cần có thêm đánh giá hiệu quả đầu tư thực tế mới có thể triển khai đại trà</t>
  </si>
  <si>
    <t>Thiết bị macro 5G</t>
  </si>
  <si>
    <t>Thiết bị RRU 5G</t>
  </si>
  <si>
    <t>RRU 5G triển khai IBD</t>
  </si>
  <si>
    <t>Thiết bị smallcell 5G</t>
  </si>
  <si>
    <t>Thiết bị vô tuyến 5G 4T4R</t>
  </si>
  <si>
    <t>Card Baseband</t>
  </si>
  <si>
    <t>Card Baseband cho 5G</t>
  </si>
  <si>
    <t>Nâng cấp hệ thống Inbuilding lên 5G</t>
  </si>
  <si>
    <t>A2</t>
  </si>
  <si>
    <t>Hiện đại hóa mạng lưới</t>
  </si>
  <si>
    <t>Nâng cao chất lượng mạng</t>
  </si>
  <si>
    <t>Phần mềm, công cụ</t>
  </si>
  <si>
    <t>Xe cơ động phục vụ LHSK</t>
  </si>
  <si>
    <t>Xe phát sóng chỉ huy, dã chiến đảm bảo hoạt động liên tục trong thiên tai, địch họa</t>
  </si>
  <si>
    <t>Đầu tư thiết bị GPU phục vụ nhu cầu kinh doanh toàn Tập đoàn, lũy kế 554 máy chủ</t>
  </si>
  <si>
    <t>Nâng cao chất lượng mạng lưới (thay thế, bổ sung dung lượng dự phòng,...) với 119 máy chủ, 8 thiết bị lưu trữ SAN, 0,308 PB lưu trữ NAS, 4,7 PB lưu trữ Object và thiết bị mạng.</t>
  </si>
  <si>
    <t>A1</t>
  </si>
  <si>
    <t>Xe phát sóng cơ động</t>
  </si>
  <si>
    <t>Triển khai xây dựng trạm và lắp đặt thiết bị đầu tư cho vùng phủ</t>
  </si>
  <si>
    <t>Triển khai kiên cố cho 550 trạm quá tải trọng hàng năm</t>
  </si>
  <si>
    <t>- Vô tuyến: Triển khai kiên cố cho 550 trạm quá tải trọng hàng năm
- BRCĐ: Triển khai cho 1.136 km cáp quang trong đó: Tách cáp chung lộ 139.8 km; ngầm hoá tuyến cáp 996.2 km.
- Truyền dẫn: Triển khai ngầm XHH tại 10 tỉnh ~ 455 km cống bể/ trên 234km đường theo đề xuất VT tỉnh TP (đã trừ 7 tỉnh ven biển trùng chương trình kiên cố bão ~ 230km cống bể/120 km đường).
- Cơ điện: Cải tạo điện yếu cho 1.535 trạm; Đầu tư 1.275 tủ nguồn tích hợp AC V5-3P và attomat 3 pha 4 cực 63A cho các trạm cải tạo lên 3 pha; Cải tạo tiếp địa cho 10 trạm; Đầu tư 50 tủ cắt sét 200kA; 1.058 tủ cắt sét 3 pha; 2.320 bộ CLS 1 pha; 1.655 bộ CLS 3 pha; 918 bộ SPD 1 pha (cho tủ AC box RRU kéo dài); 3.232 bộ giám sát tủ nguồn DC; 1.161 ATS 3 pha 63A; 12 tủ MSB 250A; 672 bình (28 tổ) ắc quy chì 2V-500Ah; Xây mới 1.161 bệ đặt MPĐ dầu; Đầu tư 3.647 bộ iACV; 300 tổ ắc quy Sodium.</t>
  </si>
  <si>
    <r>
      <t xml:space="preserve">- Đảm bảo kiên cố hạ tầng cột, nhà trạm và truyền dẫn trục Quốc gia theo kiến trúc mới.
- 33/63 tỉnh có 02 cáp kiên cố là của Viettel. 207/705 huyện vùng gió IV và sạt lở đảm bảo kiên cố.
- Swap thiết bị AGG/CT Metro QNH và QNM theo thiết kế kiến cố mới, vật tư swap ra tiếp tục triển khai nâng cấp dung lượng và kiên cố các tỉnh khác.
- Đảm bảo tài nguyên cơ điện cho 25 tỉnh ven biển và 11 tỉnh thường xuyên lũ lụt, sạt lở, giúp duy trì mạng lưới xuyên suốt ngay cả trong thiên tai
</t>
    </r>
    <r>
      <rPr>
        <i/>
        <sz val="10"/>
        <rFont val="Times New Roman"/>
        <family val="1"/>
      </rPr>
      <t>=&gt; Đảm bảo vùng phủ outdoor 4G đạt tối thiểu 90% trong và sau thiên tai tại khu vực vùng gió IV và sạt lở.</t>
    </r>
  </si>
  <si>
    <t>8Ghz, 2+0, 0.6m, 1Gbps</t>
  </si>
  <si>
    <t>8Ghz, 2+0, 0.9m, 1Gbps</t>
  </si>
  <si>
    <t>8Ghz, 2+0, 1.2m, 1Gbps</t>
  </si>
  <si>
    <t>Vsat cho huyện đảo, huyện miền núi</t>
  </si>
  <si>
    <t>Viba, VSAT cho kiên cố, bền vững trong PCTT</t>
  </si>
  <si>
    <t>hop</t>
  </si>
  <si>
    <t>WDM cho kiên cố, bền vững trong PCTT</t>
  </si>
  <si>
    <t>Giải pháp nâng cấp thiết bị mở rộng mạng DWDM cho các tỉnh kiên cố</t>
  </si>
  <si>
    <t xml:space="preserve">Dịch vụ cho giải pháp nâng cấp thiết bị mở rộng mạng DWDM cho các tỉnh kiển cố (thiết kế, triển khai mẫu, hỗ trợ triển khai) </t>
  </si>
  <si>
    <t>Đầu tư gá antena, gia cố jumper, dây quang; thực hiện kiên cố hạ tầng cột, nhà trạm theo cho 321 trạm theo ưu tiên 1 và đầu tư xe phát sóng chỉ huy, dã chiến đảm bảo hoạt động liên tục trong thiên tai</t>
  </si>
  <si>
    <t>- Vô tuyến: Đầu tư gá antena, gia cố jumper, dây quang; thực hiện kiên cố hạ tầng cột, nhà trạm theo cho 321 trạm theo ưu tiên 1 và đầu tư xe phát sóng chỉ huy, dã chiến đảm bảo hoạt động liên tục trong thiên tai
- Truyền dẫn: Swap Metro QNH và QNM (swap AGG, CT); đấu CT mới 02 tỉnh QNH và QNM; bổ sung thiết bị Viba, VSAT; Triển khai kiên cố TD liên tỉnh (vùng gió III, IV; Sạt lở) ~ 38/63 tỉnh/TP ~ 56%; liên huyện: (vùng gió IV và sạt lở) ~ 207/704 huyện~30% ; Trạm UT (vùng gió 4, sạt lở) ~ 1293/3530 trạm UT vùng gói III, IV ~ 37%
- Cơ điện: Đầu tư 600 máy phát điện dầu 20kVA; 1.662 máy phát điện dầu 12kVA; 2.262 ATS 3 pha 63A; 4.623 bình ắc quy Lithium 48V-100Ah; 2.486 bình portable battery Lithium; Xây mới 1.884 bệ đặt máy phát điện + 348 nhà đặt máy phát điện vượt lũ.</t>
  </si>
  <si>
    <r>
      <t xml:space="preserve">PHỤ LỤC 1.3: BẢNG TỔNG HỢP ĐẦU TƯ THEO DỊCH VỤ VÀ BỨC TRANH SAU QHĐC 2027-2028
</t>
    </r>
    <r>
      <rPr>
        <i/>
        <sz val="14"/>
        <rFont val="Times New Roman"/>
        <family val="1"/>
      </rPr>
      <t>(Ban hành kèm theo Công văn số                      của Tổng Công ty VTNet)</t>
    </r>
  </si>
  <si>
    <t>2027 (triệu USD)</t>
  </si>
  <si>
    <t>2028 (triệu USD)</t>
  </si>
  <si>
    <t>2027-2028 (triệu USD)</t>
  </si>
  <si>
    <t xml:space="preserve">- CNTT: 
- Truyền dẫn: </t>
  </si>
  <si>
    <t xml:space="preserve">- Vô tuyến: 
- Truyền dẫn: .
- Cơ điện: </t>
  </si>
  <si>
    <t>- Vùng phủ: Sau khi triển khai ...., vùng phủ 5G đạt vùng phủ ~....% dân số tại TPT/TTH/KCN/KDL với tốc độ biên cell DL/UL 50Mbps/1Mbps; ~...% dân số tại khu vực nông thôn ....
- Dung lượng mạng lõi đáp ứng ....
- Mạng cáp đáp ứng luỹ kế .... trạm vô tuyến 5G.
- Đảm bảo hạ tầng cơ điện cho triển khai 5G; các trạm 5G chạy mixed-mode với 4G và các trạm 5G quan trọng phục vụ khu vực hot/vip được đầu tư bổ sung ắc quy backup; các trạm theo quy hoạch đặt MPĐ cố định được tính toán đảm bảo công suất sẵn sàng UCTT khi mất điện.</t>
  </si>
  <si>
    <t>- Vô tuyến: Đầu tư .... gNodeB (... trạm loại 64T64R, .... trạm 32T32R), .... RRU classic cho IBD, ... card Baseband, ... small cell, nâng cấp 01 hệ thống 5G cho tòa ..... Chi phí lắp đặt thiết bị và kiên cố ... trạm cho 5G.
- Mạng lõi: Đầu tư bổ sung .....
- Truyền dẫn: ... SRT 5G smallcell, .... SRT 100G cho 5G NEW, card 10G AGG đấu nối ring 5G NEW, ....
- Cơ điện: Đầu tư .... bình ắc quy Lithium 48V-100Ah; .... tủ nguồn DC indoor và ... rectifier đồng bộ; 1.062 tủ Compact Minishelter;.... tủ nguồn DC mini; ...converter quang FE;.....</t>
  </si>
  <si>
    <t>Triển khai …. trạm XGSPON combo tại nội thành, ngoại thành cho ….</t>
  </si>
  <si>
    <t>Đầu tư trước …. bộ 5GC Mini để đảm bảo nhu cầu kinh doanh</t>
  </si>
  <si>
    <t>- Vùng phủ: Sau khi triển khai: .... vị trí mới (... macro, ... RRU, 191 inbuilding),
và ... vị trí di dời; .... trạm cosite băng thấp. =&gt; Vùng phủ 4G tăng từ ... lên ...%.
- Cáp quang: Luỹ kế toàn mạng là ... nghìn km. Tỷ lệ quang hoá đạt ...%. ...% xã đất liền được quang hoá.
- Cơ điện: Lũy kế có .... MPĐ/..... trạm Macro - đạt tỷ lệ ...%. có .../.... trạm Macro sử dụng ắc quy Lib, đạt tỷ lệ ~...%. ....% trạm Macro hoàn thành giám sát hệ thống nguồn DC, ắc quy lithium.</t>
  </si>
  <si>
    <t>Vùng phủ lũy kế toàn mạng đạt ... triệu cổng, nâng tỷ lệ phủ dân đạt ...%, lũy kế toàn mạng thực hiện ... dự án trên tổng số ... dự án ~ ... % số dự án và lũy kế triển khai được ...trạm, phủ toàn bộ ...., các vị trí đông dân cư tại ngoại thành ...và thủ phủ tỉnh, trung tâm huyện.</t>
  </si>
  <si>
    <t>Triển khai …. triệu cổng GPON (...tr cổng năm 2025, ...k cổng năm 2026) và ... dự án toà nhà mới ~ ...k cổng.</t>
  </si>
  <si>
    <t>- BRCĐ-TH: Đầu tư .... đáp ứng cho ... triệu thuê bao, đầu tư ... hệ thống DPI cho ...K subs, mở rộng hệ thống AAA với .... nghìn subs, đầu tư hệ thống Analytics quản trị tập trung dữ liệu mạng BRCĐ, mở rộng hệ thống DNS đáp ứng cho ...nghìn subs; đầu tư CGNAT đáp ứng cho tăng trưởng băng thông và đổ tải ... triệu subs FTTH, bổ sung tính năng mới cho ACS tích hợp với AP multivendor, đầu tư phần cứng cho các hệ thống ITO, VQT, ICP.
- Truyền dẫn: SRT 100G cho OLT không trùng 5G ~ ... SRT, .... tỷ card AGG 100G đấu ring OLT, ... tỷ card Core tỉnh, CKV, PECĐ) theo tỷ lệ dưới Metro, trên Metro; WDM theo nhu cầu tăng dung lượng liên huyện, liên tỉnh, KNQT với tỷ lệ Internet là ...% theo tỷ lệ di động trên Metro, dưới Metro</t>
  </si>
  <si>
    <t>- Đáp ứng lũy kế đạt .... triệu thuê bao Internet.
- Dung lượng và hiệu suất từng phân lớp: Lớp xã/huyện có dung lượng ...Tbps, hiệu suất lớp xã đạt ...%, hiệu suất lớp huyện đạt ...%; lớp liên tỉnh tăng từ ... Tbps lên .... Tbps, hiệu suất ~...%. Lớp trục ....Tbps.</t>
  </si>
  <si>
    <t>Đáp ứng lũy kế ... triệu thuê bao truyền hình (... triệu thuê bao OTT và …. triệu thuê bao IPTV) và lũy kế đáp ứng …. kênh truyền hình cho dịch vụ OTT (….HD, ... UHD/4K) đến hết 2026</t>
  </si>
  <si>
    <t>- Truyền dẫn: Đầu tư thiết bị IP tại tổng trạm ... và thiết bị WDM theo nhu cầu triển khai tại tổng trạm mới …</t>
  </si>
  <si>
    <t>- Phục vụ kết nối liên tổng trạm mới …</t>
  </si>
  <si>
    <t>Đảm bảo VHKT và nâng cao chất lượng mạng</t>
  </si>
  <si>
    <t>Đảm bảo dự phòng ƯCTT</t>
  </si>
  <si>
    <t>ƯCTT</t>
  </si>
  <si>
    <t>Củng cố kiên cố thường trình</t>
  </si>
  <si>
    <t>Lũy kế đầu tư …. máy chủ vật lý, ... PB dung lượng lưu trữ, đảm bảo các nhu cầu triển khai hạ tầng CNTT của Viettel</t>
  </si>
  <si>
    <t>- BRCĐ-TH: Đầu tư nâng cấp tính năng mới cho CDN OTT; đầu tư thiết bị và license  upmap, frame rate conversion (FRC) cho ... kênh tại Headend; đầu tư 01 hệ thống Water marking; đầu tư Backend và ứng dụng Trợ lý ảo TV360.
- Truyền dẫn: SRT 100G cho OLT không trùng 5G ~ ... SRT, card AGG 100G, Core tỉnh, CKV, PECĐ, PETH) theo tỷ lệ truyền hình ...% của CĐBR; WDM theo nhu cầu tăng dung lượng liên huyện, liên tỉnh, KNQT với tỷ lệ TH là ....%</t>
  </si>
  <si>
    <t>TỔNG ĐẦU TƯ VTTB VÀ XÂY LẮP 2027-2028</t>
  </si>
  <si>
    <t>TỔNG ĐẦU TƯ VTTB 2027-2028</t>
  </si>
  <si>
    <r>
      <t xml:space="preserve">PHỤ LỤC 1.1: BẢNG TỔNG HỢP CHI TIẾT NHU CẦU ĐẦU TƯ, MUA SẮM THEO QHĐC NĂM 2027-2028
</t>
    </r>
    <r>
      <rPr>
        <i/>
        <sz val="14"/>
        <rFont val="Times New Roman"/>
        <family val="1"/>
      </rPr>
      <t>(Ban hành kèm theo Tờ trình số                      của Tập đoàn CNVTQĐ)</t>
    </r>
  </si>
  <si>
    <t>Khối lượng</t>
  </si>
  <si>
    <t>Ngoài trời (triển khai cho ...M cổng)</t>
  </si>
  <si>
    <t>Dự án (tòa nhà, KCN): triển khai ... dự án ~...k cổng</t>
  </si>
  <si>
    <t>A3</t>
  </si>
  <si>
    <t>VI</t>
  </si>
  <si>
    <t>E7</t>
  </si>
  <si>
    <r>
      <t xml:space="preserve">Chi phí
</t>
    </r>
    <r>
      <rPr>
        <i/>
        <sz val="10"/>
        <rFont val="Times New Roman"/>
        <family val="1"/>
      </rPr>
      <t>(triệu USD)</t>
    </r>
  </si>
  <si>
    <t>Đầu tư .... bình ắc quy Lithium 48V-100Ah; .... tủ nguồn DC indoor và ... rectifier đồng bộ; 1.062 tủ Compact Minishelter;.... tủ nguồn DC mini; ...converter quang FE;.....và chi phí lắp đặt.</t>
  </si>
  <si>
    <t>Tổng đầu tư và triển khai 2027-2028 (triệu USD)</t>
  </si>
  <si>
    <r>
      <t xml:space="preserve">PHỤ LỤC 1.2: BẢNG TỔNG HỢP ĐẦU TƯ THEO MỤC ĐÍCH QHĐC 2027-2028
</t>
    </r>
    <r>
      <rPr>
        <i/>
        <sz val="14"/>
        <rFont val="Times New Roman"/>
        <family val="1"/>
      </rPr>
      <t>(Ban hành kèm theo Công văn số                      của Tổng Công ty VTNet)</t>
    </r>
  </si>
  <si>
    <t>- Vùng phủ trạm mới: đầu tư ... bình ắc quy Lithium 48V-100Ah; ... tủ nguồn DC indoor và 1.188 rectifier đồng bộ; ... tủ Compact Minishelter; ... tủ nguồn DC mini; ... converter quang FE; 479 module SFP quang; ... tủ nguồn AC V5-3P; ... bộ DAQ; ... bộ converter quang FE loại 1G; ... bộ iACV; ... bộ cảnh báo khói + cảnh báo mở cửa và chi phí triển khai.
- Vùng phủ cosite: đầu tư tài nguyên cho ... trạm trục/hub (... hệ thống micro datacenter outdoor; ... bình ắc quy Lithium 48V-100Ah; ... tủ nguồn DC indoor và ... rectifier đồng bộ; ... điều hòa ... BTU/h; ... tủ nguồn AC V5-3P; ... và chi phí triển khai</t>
  </si>
  <si>
    <t>Truyền hình</t>
  </si>
  <si>
    <t>MSC</t>
  </si>
  <si>
    <t>Feature - GMSC</t>
  </si>
  <si>
    <t>Feature - IMS service</t>
  </si>
  <si>
    <t>IMS</t>
  </si>
  <si>
    <t>IMS SW</t>
  </si>
  <si>
    <t>IMS HW</t>
  </si>
  <si>
    <t>IMS expansion service</t>
  </si>
  <si>
    <t>IMS new build service</t>
  </si>
  <si>
    <t>PS Core</t>
  </si>
  <si>
    <t>SMSC</t>
  </si>
  <si>
    <t>Spare part</t>
  </si>
  <si>
    <t>MOTM/s</t>
  </si>
  <si>
    <t>PS Software extra PDP</t>
  </si>
  <si>
    <t>PS Software extra Mbps</t>
  </si>
  <si>
    <t>PS Hardware extra Mbps</t>
  </si>
  <si>
    <t>MSC upgrade service</t>
  </si>
  <si>
    <t>MSC upgrade software</t>
  </si>
  <si>
    <t>Swap: PS Hardware SAU</t>
  </si>
  <si>
    <t>Swap: PS Software extra Mbps</t>
  </si>
  <si>
    <t>Swap: PS Hardware extra Mbps</t>
  </si>
  <si>
    <t>USC - STP Software license (1 pair)</t>
  </si>
  <si>
    <t>USC - STP Hardware (1 pair)</t>
  </si>
  <si>
    <t>USC - DRA/DEA Software license (1 pair)</t>
  </si>
  <si>
    <t>USC - DRA/DEA Hardware (1 pair)</t>
  </si>
  <si>
    <t>New build USC Deploy Package</t>
  </si>
  <si>
    <t>MSU</t>
  </si>
  <si>
    <t>TPS</t>
  </si>
  <si>
    <t>Nâng cấp softwarea cho MSC</t>
  </si>
  <si>
    <t>Đầu tư mới USC cho báo hiệu</t>
  </si>
  <si>
    <t>SBC International (Hardware and Software license)</t>
  </si>
  <si>
    <t>SBC Domestic (Hardware and Software license)</t>
  </si>
  <si>
    <t>Swap: PS 2G/3G/4G Software SAU</t>
  </si>
  <si>
    <t>F1</t>
  </si>
  <si>
    <t>Thiết bị máy chủ cho hệ thống BCCS, OSS, Vas private, ….</t>
  </si>
  <si>
    <t>Máy chủ loại 1</t>
  </si>
  <si>
    <t>Máy chủ loại 2</t>
  </si>
  <si>
    <t>Máy chủ loại 3</t>
  </si>
  <si>
    <t>Máy chủ cho các hệ thống phục vụ KH doanh nghiệp</t>
  </si>
  <si>
    <t>Máy chủ GPU cho hệ thống AI</t>
  </si>
  <si>
    <t>Chi phí phần mềm</t>
  </si>
  <si>
    <t>SLA phần mềm mSuite</t>
  </si>
  <si>
    <t>SLA ứng dụng IPCC</t>
  </si>
  <si>
    <t>SLA ứng dụng RPA</t>
  </si>
  <si>
    <t xml:space="preserve">gói </t>
  </si>
  <si>
    <t>Thiết bị lưu trữ</t>
  </si>
  <si>
    <t>Thiết bị mạng</t>
  </si>
  <si>
    <t>Tủ rack, phụ kiện và dịch vụ triển khai</t>
  </si>
  <si>
    <t>Tủ rack 42U 19"</t>
  </si>
  <si>
    <t>Cáp điện</t>
  </si>
  <si>
    <t>m</t>
  </si>
  <si>
    <t>Cáp tiếp địa</t>
  </si>
  <si>
    <t>CAT 6 (305M)</t>
  </si>
  <si>
    <t>Thùng</t>
  </si>
  <si>
    <t>RJ 45 (100pcs)</t>
  </si>
  <si>
    <t>Hộp</t>
  </si>
  <si>
    <t>Industrial plug 32A + 3P (pcs)</t>
  </si>
  <si>
    <t>chiếc</t>
  </si>
  <si>
    <t>Cord tie 20cm (bag)</t>
  </si>
  <si>
    <t>Cord tie 30cm (bag)</t>
  </si>
  <si>
    <t>COS head for AC power cable (pcs)</t>
  </si>
  <si>
    <t>COS head for Earthing wire (pcs)</t>
  </si>
  <si>
    <t>Dịch vụ triển khai (lắp đặt, tích hợp, đào tạo)</t>
  </si>
  <si>
    <t>Tài nguyên cho hệ thống dư phòng, DR cho ứng dụng ĐBQT</t>
  </si>
  <si>
    <t>Erl</t>
  </si>
  <si>
    <t xml:space="preserve">Máy chủ </t>
  </si>
  <si>
    <t>Chi phí license</t>
  </si>
  <si>
    <t>Chi phí phần cứng</t>
  </si>
  <si>
    <t>MSC ATT SW</t>
  </si>
  <si>
    <t>MSC CSFB SW</t>
  </si>
  <si>
    <t>MSC ATT HW</t>
  </si>
  <si>
    <t>MSC newbuid service</t>
  </si>
  <si>
    <t>CS Core swap MSC ATT SW</t>
  </si>
  <si>
    <t>CS Core swap MSC ATT HW</t>
  </si>
  <si>
    <t>HLR/HSS/UDM</t>
  </si>
  <si>
    <t>HLR/HSS 2G/3G FE SW</t>
  </si>
  <si>
    <t>HLR/HSS 2G/3G FE HW</t>
  </si>
  <si>
    <t>HLR/HSS 4G FE SW</t>
  </si>
  <si>
    <t>HLR/HSS 4G BE HW</t>
  </si>
  <si>
    <t>HLR/HSS 5G FE SW</t>
  </si>
  <si>
    <t>HLR/HSS 5G BE HW</t>
  </si>
  <si>
    <t>HLR/HSS IMS FE SW</t>
  </si>
  <si>
    <t>HLR/HSS IMS FE HW</t>
  </si>
  <si>
    <t>HLR/HSS 2G/3G BE SW</t>
  </si>
  <si>
    <t>HLR/HSS 2G/3G BE HW</t>
  </si>
  <si>
    <t>HLR/HSS 4G BE SW</t>
  </si>
  <si>
    <t>HLR/HSS 5G BE SW</t>
  </si>
  <si>
    <t>HLR/HSS IMS BE SW</t>
  </si>
  <si>
    <t>HLR/HSS IMS BE HW</t>
  </si>
  <si>
    <t>HLR/HSS swap 2G/3G FE SW</t>
  </si>
  <si>
    <t>HLR/HSS swap 2G/3G FE HW</t>
  </si>
  <si>
    <t>HLR/HSS swap 4G FE SW</t>
  </si>
  <si>
    <t>HLR/HSS swap 4G BE HW</t>
  </si>
  <si>
    <t>HLR/HSS swap 5G FE SW</t>
  </si>
  <si>
    <t>HLR/HSS swap 5G BE HW</t>
  </si>
  <si>
    <t>HLR/HSS swap IMS FE SW</t>
  </si>
  <si>
    <t>HLR/HSS swap IMS FE HW</t>
  </si>
  <si>
    <t>HLR/HSS swap 2G/3G BE SW</t>
  </si>
  <si>
    <t>HLR/HSS swap 2G/3G BE HW</t>
  </si>
  <si>
    <t>HLR/HSS swap 4G BE SW</t>
  </si>
  <si>
    <t>HLR/HSS swap 5G BE SW</t>
  </si>
  <si>
    <t>HLR/HSS swap IMS BE SW</t>
  </si>
  <si>
    <t>HLR/HSS swap IMS BE HW</t>
  </si>
  <si>
    <t>HLR/HSS expansion service</t>
  </si>
  <si>
    <t>HLR/HSS movement service</t>
  </si>
  <si>
    <t>HLR/HSS newbuid service</t>
  </si>
  <si>
    <t>HLR/HSS SW upgrade</t>
  </si>
  <si>
    <t>HLR/HSS upgrade service</t>
  </si>
  <si>
    <t>SBC newbuid service</t>
  </si>
  <si>
    <t>PS Core expansion service</t>
  </si>
  <si>
    <t>PS Core newbuid service</t>
  </si>
  <si>
    <t>SMSC SW</t>
  </si>
  <si>
    <t>SMSC HW</t>
  </si>
  <si>
    <t>SMSC newbuid service</t>
  </si>
  <si>
    <t>SMSC SW upgrade</t>
  </si>
  <si>
    <t>SMSC upgrade service</t>
  </si>
  <si>
    <t>Swap: PS Deploy Package</t>
  </si>
  <si>
    <t>HLR/HSS swap 4G FE HW</t>
  </si>
  <si>
    <t>HLR/HSS swap 5G FE HW</t>
  </si>
  <si>
    <t>HLR/HSS 4G FE HW</t>
  </si>
  <si>
    <t>HLR/HSS 5G FE HW</t>
  </si>
  <si>
    <t>Máy chủ</t>
  </si>
  <si>
    <t>Datalake</t>
  </si>
  <si>
    <t>Hệ thống Ví điện tử 3.0</t>
  </si>
  <si>
    <t>MGW newbuid service</t>
  </si>
  <si>
    <t>Thiết bị chuyển mạch Access Leaf loại 4</t>
  </si>
  <si>
    <t>Mạng 2/3/4G</t>
  </si>
  <si>
    <t>2/3/4G vùng phủ</t>
  </si>
  <si>
    <t>2/3/4G dung lượng</t>
  </si>
  <si>
    <t>CS Core swap MGW Erl SW</t>
  </si>
  <si>
    <t>CS Core swap MGW Erl HW</t>
  </si>
  <si>
    <t>01 vMSC (HW:1072K ATT, 1.5M Reg, 45K Erl, SW: 572K ATT, 800K Reg, 22.857K Erl), MSC (SW: CSFB: 1M sub), UDM (SW: 200K FE 2G/3G, 400K BE 2G/3G, 300K FE 4G, 2.9M BE 4G), 1 vEPC (HW: 1M SAU, 1.5M PDP, 100 Gbps, SW: 1M SAU, 1.5M PDP, 60 Gbps). vEPC4 (SW: 650K SAU, 975K PDP, 49.4 Gbps). SMSC (SW: 1400 MOMT). 2 IMS (HW: 500K, SW: 100K).</t>
  </si>
  <si>
    <t>vEPC5 (SW: 34 Gbps). UDM (SW: 300K FE 2G/3G, 500K BE 2G/3G, 400K FE 4G, 1.9M BE 4G).</t>
  </si>
  <si>
    <t>Swap EoS BUMS03, BUMW03 bằng 1 vMSC (HW:1072K ATT, 1.5M Reg, 45K Erl, SW: 835K ATT, 1.15M Reg, 34.5K Erl).</t>
  </si>
  <si>
    <t>Chuyển 01/02 UDM từ tổng trạng cũ sang tổng trạm mới và hiện đại hóa 01 cặp HSS cũ (thông qua mở rộng UDM với DL tương ứng của HSS cũ)</t>
  </si>
  <si>
    <t>- Vô tuyến:...
- Mạng lõi: Mối năm có budget 100K USD để mua hàng dự phòng
- BRCĐ-TH: ...
- CNTT: ...
- Truyền dẫn: 
- Cơ điện: …</t>
  </si>
  <si>
    <t xml:space="preserve">Mạng lõi: Đảm bảo hàng dự phòng
</t>
  </si>
  <si>
    <t>- Vô tuyến:...
- Mạng lõi: Năm 2027: Swap EoS BUMS03, BUMW03 bằng 1 vMSC (HW:1072K ATT, 1.5M Reg, 45K Erl, SW: 835K ATT, 1.15M Reg, 34.5K Erl).
Năm 2028: Chuyển 01/02 UDM từ tổng trạng cũ sang tổng trạm mới và hiện đại hóa 01 cặp HSS cũ (thông qua mở rộng UDM với DL tương ứng của HSS cũ).
- BRCĐ-TH: ...
- CNTT: ...
- Truyền dẫn: 
- Cơ điện: …</t>
  </si>
  <si>
    <t>- Thêm 01 cloud MSC mới để hiện đại hóa 1 MSC cũ đã hết niên hạn sử dụng. Hiện đại hóa hệ thống HLR/HSS cũ để năm 2028 chạy hết trên hệ thống UDM mới.</t>
  </si>
  <si>
    <t>- Vô tuyến
- Mạng lõi: Có thêm 01 cloud MSC mới,  1 vEPC mới, 2 node IMS mới đáp ứng như cầu tăng trưởng dung lượng. Các node MSC, vEPC và 1 node IMS sẽ lắp tại tổng trạm mới.
- cáp quang:
- Cơ điện:</t>
  </si>
  <si>
    <t>- Vô tuyến
- Mạng lõi:
Năm 2027:  01 vMSC (HW:1072K ATT, 1.5M Reg, 45K Erl, SW: 572K ATT, 800K Reg, 22.857K Erl), MSC (SW: CSFB: 1M sub), UDM (SW: 200K FE 2G/3G, 400K BE 2G/3G, 300K FE 4G, 2.9M BE 4G), 1 vEPC (HW: 1M SAU, 1.5M PDP, 100 Gbps, SW: 1M SAU, 1.5M PDP, 60 Gbps). vEPC4 (SW: 650K SAU, 975K PDP, 49.4 Gbps). SMSC (SW: 1400 MOMT). 2 IMS (HW: 500K, SW: 100K).
Năm 2028: vEPC5 (SW: 34 Gbps). UDM (SW: 300K FE 2G/3G, 500K BE 2G/3G, 400K FE 4G, 1.9M BE 4G).
- Truyền dẫn:
- Cơ điện:</t>
  </si>
  <si>
    <t>Optical cable 02FO</t>
  </si>
  <si>
    <t>Optical cable 04FO</t>
  </si>
  <si>
    <t>Converter_AC_10/100M</t>
  </si>
  <si>
    <t>set</t>
  </si>
  <si>
    <t>power adapter 200avc/5vdc</t>
  </si>
  <si>
    <t>power adapter 200avc/9vdc</t>
  </si>
  <si>
    <t>ODF_02FO Loại SC</t>
  </si>
  <si>
    <t>Modem_TOTOLINK</t>
  </si>
  <si>
    <t>Optical cable 12FO</t>
  </si>
  <si>
    <t>Tension</t>
  </si>
  <si>
    <t>pc</t>
  </si>
  <si>
    <t>Suspension</t>
  </si>
  <si>
    <t>Vaneer of muster (đế ốp)</t>
  </si>
  <si>
    <t>Steel lock</t>
  </si>
  <si>
    <t>Steel belt</t>
  </si>
  <si>
    <t>Mang xong 12FO</t>
  </si>
  <si>
    <t>Wooden poles</t>
  </si>
  <si>
    <t>Gông C1</t>
  </si>
  <si>
    <t>Triển khai thuê bao kênh truyền (VTTB + Triển khai)</t>
  </si>
  <si>
    <t>Máy chủ loại 4</t>
  </si>
  <si>
    <t>Vật tư dự phòng và ƯCTT</t>
  </si>
  <si>
    <t>CNTT+VÍ</t>
  </si>
  <si>
    <t>Swap: PS 5G Software SAU</t>
  </si>
  <si>
    <t>Chi phí triển khai Cloud</t>
  </si>
  <si>
    <t>Dịch vụ triển khai Cloud</t>
  </si>
  <si>
    <t>License phần mềm Hê thống vOCS 4.0</t>
  </si>
  <si>
    <t>Triển khai hệ thống vOCS4.0</t>
  </si>
  <si>
    <t>Phần cứng cho vOCS</t>
  </si>
  <si>
    <t>Hệ thống BCCS 3.0</t>
  </si>
  <si>
    <t>Hệ thống vESS (ERP, HR , QLTS …)</t>
  </si>
  <si>
    <t>License phần mềm eKYC/OCR</t>
  </si>
  <si>
    <t>SLA phần mềm SuperApp</t>
  </si>
  <si>
    <t>Triển khai phần mềm kinh doanh, kỹ thuật: VAS, OSS</t>
  </si>
  <si>
    <t xml:space="preserve">Triển khai giải pháp ATTT </t>
  </si>
  <si>
    <t>Triển khai ứng dụng mới</t>
  </si>
  <si>
    <t>Tài nguyên cho nâng cấp mở rộng</t>
  </si>
  <si>
    <t>Mở rộng ứng dụng cho các hệ thống BCCS, OSS, VAS</t>
  </si>
  <si>
    <t>Mở rộng hệ thống Datalake</t>
  </si>
  <si>
    <t>Tài nguyên lưu trữ  và thiết bị mạng cho triển khai mới và mở rộng</t>
  </si>
  <si>
    <t>UCTT (HDD, RAM, Nguồn, …)</t>
  </si>
  <si>
    <t>Nhu cầu phát triển mới</t>
  </si>
  <si>
    <t xml:space="preserve">Tài nguyên cho mở rộng </t>
  </si>
  <si>
    <t>2.1.1</t>
  </si>
  <si>
    <t>2.1.2</t>
  </si>
  <si>
    <t>2.1.3</t>
  </si>
  <si>
    <t>2.2.1</t>
  </si>
  <si>
    <t>2.2.2</t>
  </si>
  <si>
    <t>2.2.3</t>
  </si>
  <si>
    <t>2.3.1</t>
  </si>
  <si>
    <t>2.3.2</t>
  </si>
  <si>
    <t>2.3.3</t>
  </si>
  <si>
    <t>2.3.4</t>
  </si>
  <si>
    <t>VIII</t>
  </si>
  <si>
    <t>IX</t>
  </si>
  <si>
    <t>2.4.1</t>
  </si>
  <si>
    <t>VÍ ĐIỆN TỬ</t>
  </si>
  <si>
    <t>2.4.2</t>
  </si>
  <si>
    <t>2.4.3</t>
  </si>
  <si>
    <t>3.1.1</t>
  </si>
  <si>
    <t>3.1.2</t>
  </si>
  <si>
    <t>3.1.3</t>
  </si>
  <si>
    <t>3.2.1</t>
  </si>
  <si>
    <t>3.2.2</t>
  </si>
  <si>
    <t>3.2.3</t>
  </si>
  <si>
    <t>3.2.4</t>
  </si>
  <si>
    <t>3.3.1</t>
  </si>
  <si>
    <t>3.3.2</t>
  </si>
  <si>
    <t>3.3.3</t>
  </si>
  <si>
    <t>Triển khai ISO 27001</t>
  </si>
  <si>
    <t>Triển khai PCI-DSS</t>
  </si>
  <si>
    <t xml:space="preserve">License core </t>
  </si>
  <si>
    <t>License hệ thống AML</t>
  </si>
  <si>
    <t>Jumper</t>
  </si>
  <si>
    <t>Bộ Gá đa năng (gồm 3 gá đơn lẻ và các phụ kiện)</t>
  </si>
  <si>
    <t>Thiết bị 3G</t>
  </si>
  <si>
    <t>Thiết bị 2G</t>
  </si>
  <si>
    <t>BTS 2G dualband_Cosite</t>
  </si>
  <si>
    <t>BTS 2G dualband_New site 2G</t>
  </si>
  <si>
    <t>NodeB 3G dualband_Cosite</t>
  </si>
  <si>
    <t>NodeB 3G dualband_New site</t>
  </si>
  <si>
    <t>NodeB Massive MIMO 2.6GHz+3.5GHz</t>
  </si>
  <si>
    <t>Swap 2100Mhz_sector</t>
  </si>
  <si>
    <t>Triển khai 208 vị trí triển khai vùng phủ mới cho 4G kết hợp cosite 2G</t>
  </si>
  <si>
    <t>Triển khai 230 vị trí triển khai vùng phủ mới cho 4G kết hợp cosite 2G</t>
  </si>
  <si>
    <t>- 2G:
+) Bổ sung thêm 101 vị trí mới cho lưu lượng nhằm đáp ứng nhu cầu KD và giảm TU mạng 2G
+) Bổ sung thêm 48 trạm cosite 900MHz 
Tổng chi phí dự kiến 2.5M USD
- 4G:
+) 802 tủ MM 2.6+3.5GHz, 157 card BB, 83 sector 800, 293 sector 700, 197 sector 1800. Tổng chi phí dự kiến 38M USD</t>
  </si>
  <si>
    <t>- 2G:
+) Bổ sung thêm 38 vị trí mới cho lưu lượng nhằm đáp ứng nhu cầu KD và giảm TU mạng 2G
+) Bổ sung thêm 3 tủ 900MHz 
Tổng chi phí dự kiến 707K USD
- 4G:
+) 14 vị trí mới DL
+) 98 tủ MM 2.6+3.5GHz, 25 card BB, 21 sector 800, 298 sector 700, 353 sector 1800,
Tổng chi phí dự kiến 8.6M USD</t>
  </si>
  <si>
    <t>Gói UCTT: dự kiến 2.5M USD</t>
  </si>
  <si>
    <t>+) Gói công cụ tối ưu mạng thử nghiệm (CEM): dự kiến 200K USD
+) Swap anten đa băng 200tram/năm: 360K USD</t>
  </si>
  <si>
    <t xml:space="preserve">- Đầu tư 802 gNodeB Massive MIMO dualband 2.6+3.5GHz cosite tại vị trí 4G dung lượng. </t>
  </si>
  <si>
    <t xml:space="preserve">- Đầu tư 98 gNodeB Massive MIMO dualband 2.6+3.5GHz cosite tại vị trí 4G dung lượng. </t>
  </si>
  <si>
    <t>1.1</t>
  </si>
  <si>
    <t>Thay thế ắc quy</t>
  </si>
  <si>
    <t>Ắc quy 12V cho UPS</t>
  </si>
  <si>
    <t>Ắc quy 2V 2000Ah</t>
  </si>
  <si>
    <t>1.2</t>
  </si>
  <si>
    <t>Thay thế thiết bị hết niên hạn sử dụng</t>
  </si>
  <si>
    <t>Hệ thống nguồn DC 2000A</t>
  </si>
  <si>
    <t>Thay thế Hệ thống UPS</t>
  </si>
  <si>
    <t>Thay thế ĐHCX</t>
  </si>
  <si>
    <t>1.3</t>
  </si>
  <si>
    <t>Nâng cấp</t>
  </si>
  <si>
    <t>ĐHCX 250kBTU</t>
  </si>
  <si>
    <t>Set</t>
  </si>
  <si>
    <t>Hệ thống hành lang lạnh</t>
  </si>
  <si>
    <t>Gói phần mền giám sát DCIM (phần mềm, cài đặt, tích hợp....)</t>
  </si>
  <si>
    <t>2</t>
  </si>
  <si>
    <t>Gói vật tư dự phòng UCTT</t>
  </si>
  <si>
    <t>Compressor for model PAC P2080</t>
  </si>
  <si>
    <t>Bo mạch điều khiển PAC P2080</t>
  </si>
  <si>
    <t>Quạt dàn nóng PAC P2080</t>
  </si>
  <si>
    <t>Bo mạch cho dàn nóng PAC P2080</t>
  </si>
  <si>
    <t>Finished Board,A6V6FU11,A6V6FZB1 Monitor Board,</t>
  </si>
  <si>
    <t>Manufactured Board,A2V6FZ,A2V6FX1,PD380/600AFH-2 AC&amp;DC Signal Bridging Board,</t>
  </si>
  <si>
    <t>Controler M830B + Adapter CAU</t>
  </si>
  <si>
    <t>Van tiết lưu</t>
  </si>
  <si>
    <t>Filter Drier</t>
  </si>
  <si>
    <t>Switch high pressure for PAC</t>
  </si>
  <si>
    <t>Switch low pressure for PAC</t>
  </si>
  <si>
    <t>CompTrol 7000 I/O-Controller HW8 1MB Fl</t>
  </si>
  <si>
    <t>Compressor ZP137KCE-TFD-455</t>
  </si>
  <si>
    <t>Compressor ANB66FBZMT</t>
  </si>
  <si>
    <t>EVD evolution Carel RS485 Modbus</t>
  </si>
  <si>
    <t>Pressure transmitter 0 - 44,8 bar,</t>
  </si>
  <si>
    <t>Temperature sensor NTC030HTOO L=3m</t>
  </si>
  <si>
    <t>Pressure transmitter 0 to 20, 7bar</t>
  </si>
  <si>
    <t>Fan FN063-VDI.6N.V7P6</t>
  </si>
  <si>
    <t>Đảm bảo phát triển mới</t>
  </si>
  <si>
    <t>Gói bảo dưỡng</t>
  </si>
  <si>
    <t>Bảo dưỡng chuyên sâu máy phát điện sửa chữa các hỏng hóc</t>
  </si>
  <si>
    <t>Bảo dưỡng chuyên sâu hệ thống AC, mua bổ sung một số vật tư thay thế</t>
  </si>
  <si>
    <t>Máy biến áp</t>
  </si>
  <si>
    <t>3</t>
  </si>
  <si>
    <t>Trạm mới VP</t>
  </si>
  <si>
    <t>Trạm mới VP có điện</t>
  </si>
  <si>
    <t>1.1.1</t>
  </si>
  <si>
    <t>Battery</t>
  </si>
  <si>
    <t>LIB 48V-100Ah</t>
  </si>
  <si>
    <t>Battery Lithium minishelter</t>
  </si>
  <si>
    <t>1.1.2</t>
  </si>
  <si>
    <t>Genset</t>
  </si>
  <si>
    <t>Diesel  Genset 1P-220V 12kVA  (+ Fuel tank 500L/600L)</t>
  </si>
  <si>
    <t>1.1.3</t>
  </si>
  <si>
    <t>ATS/Timer</t>
  </si>
  <si>
    <t>ATS outdoor</t>
  </si>
  <si>
    <t>1.1.4</t>
  </si>
  <si>
    <t>DC  Power System</t>
  </si>
  <si>
    <t>1.1.4.1</t>
  </si>
  <si>
    <t>IPS with solar</t>
  </si>
  <si>
    <t>IPS minishelter (include controler, subrack,…)</t>
  </si>
  <si>
    <t>Rectifier 3000W</t>
  </si>
  <si>
    <t>Solar converter 3000W</t>
  </si>
  <si>
    <t>1.1.5</t>
  </si>
  <si>
    <t>Solar system</t>
  </si>
  <si>
    <t>Hệ thống ≥8000W (gồm tấm pin + khung giá)</t>
  </si>
  <si>
    <t>Hệ thống ≥12000W (gồm tấm pin + khung giá)</t>
  </si>
  <si>
    <t>1.1.6</t>
  </si>
  <si>
    <t>Mornitoring</t>
  </si>
  <si>
    <t>AC-V1 Alarm</t>
  </si>
  <si>
    <t>DAQ-V2</t>
  </si>
  <si>
    <t>Converter quang 4FE</t>
  </si>
  <si>
    <t>Module SFP</t>
  </si>
  <si>
    <t>Trạm mới VP không điện</t>
  </si>
  <si>
    <t>1.2.1</t>
  </si>
  <si>
    <t>1.2.2</t>
  </si>
  <si>
    <t>1.2.3</t>
  </si>
  <si>
    <t>1.2.3.1</t>
  </si>
  <si>
    <t>1.2.4</t>
  </si>
  <si>
    <t>Hệ thống ≥16000W (gồm tấm pin + khung giá)</t>
  </si>
  <si>
    <t>Hệ thống ≥20000W (gồm tấm pin + khung giá)</t>
  </si>
  <si>
    <t>1.2.5</t>
  </si>
  <si>
    <t>Trạm mới DL</t>
  </si>
  <si>
    <t>Trạm mới DL có điện</t>
  </si>
  <si>
    <t>2.1.4</t>
  </si>
  <si>
    <t>2.1.4.1</t>
  </si>
  <si>
    <t>2.1.5</t>
  </si>
  <si>
    <t>2.1.6</t>
  </si>
  <si>
    <t>2.2</t>
  </si>
  <si>
    <t>Trạm mới DL không điện</t>
  </si>
  <si>
    <t>2.2.3.1</t>
  </si>
  <si>
    <t>2.2.4</t>
  </si>
  <si>
    <t>2.2.5</t>
  </si>
  <si>
    <t>Trạm main node mới</t>
  </si>
  <si>
    <t>Solar DC System (Indoor)</t>
  </si>
  <si>
    <t>Solar Power System (Include Cabinet, Controller)</t>
  </si>
  <si>
    <t>Solar Converter 3000W</t>
  </si>
  <si>
    <t>Diesel  Genset 3P-380V 30kVA  (+ Fuel tank 500L/600L)</t>
  </si>
  <si>
    <t>3.3</t>
  </si>
  <si>
    <t>Rack ắc quy</t>
  </si>
  <si>
    <t>Rack</t>
  </si>
  <si>
    <t>3.4</t>
  </si>
  <si>
    <t>ATS-3P</t>
  </si>
  <si>
    <t>3.5</t>
  </si>
  <si>
    <t>Tủ nguồn AC</t>
  </si>
  <si>
    <t>Tủ AC - V5-3P</t>
  </si>
  <si>
    <t>3.6</t>
  </si>
  <si>
    <t>Cảnh báo Khói</t>
  </si>
  <si>
    <t>Cảnh báo mởi cửa</t>
  </si>
  <si>
    <t>3.7</t>
  </si>
  <si>
    <t>Điều hòa</t>
  </si>
  <si>
    <t>Điều hòa  18kBTU</t>
  </si>
  <si>
    <t>4</t>
  </si>
  <si>
    <t>Cosite 5G dung lượng</t>
  </si>
  <si>
    <t>4.1</t>
  </si>
  <si>
    <t>4.2</t>
  </si>
  <si>
    <t>DC system</t>
  </si>
  <si>
    <t>Rectifier 3000W-Vendor Vertiv/Emerson</t>
  </si>
  <si>
    <t>Rectifier 3000W - Vendor ZTE V5</t>
  </si>
  <si>
    <t>Rectifier - Vendor Agission</t>
  </si>
  <si>
    <t>Rectifier 3000W - Vendor ZTE V6</t>
  </si>
  <si>
    <t>Rectifier - Vendor VMC</t>
  </si>
  <si>
    <t>Rectifier - Vendor Huawei</t>
  </si>
  <si>
    <t>Solar converter</t>
  </si>
  <si>
    <t>4.2.1</t>
  </si>
  <si>
    <t>4.3</t>
  </si>
  <si>
    <t>4.4</t>
  </si>
  <si>
    <t>4.5</t>
  </si>
  <si>
    <t>ATS-3P (outdoor/indoor)</t>
  </si>
  <si>
    <t>4.6</t>
  </si>
  <si>
    <t>Diesel  Genset 3P-380V 50kVA  (+ Fuel tank 500L/600L)</t>
  </si>
  <si>
    <t>4.7</t>
  </si>
  <si>
    <t>CB 125A</t>
  </si>
  <si>
    <t>5</t>
  </si>
  <si>
    <t>Cosite 4G dung lượng</t>
  </si>
  <si>
    <t>5.1</t>
  </si>
  <si>
    <t>5.2</t>
  </si>
  <si>
    <t>5.3</t>
  </si>
  <si>
    <t>5.4</t>
  </si>
  <si>
    <t>5.5</t>
  </si>
  <si>
    <t>5.6</t>
  </si>
  <si>
    <t>5.7</t>
  </si>
  <si>
    <t>6</t>
  </si>
  <si>
    <t>6.1</t>
  </si>
  <si>
    <t>Normal DC System (Indoor)</t>
  </si>
  <si>
    <t>DC Power System (Include Cabinet, Controller)</t>
  </si>
  <si>
    <t>Khác</t>
  </si>
  <si>
    <t>Thông gió lọc bụi (Loại 2 chụp lọc, có điều khiển)</t>
  </si>
  <si>
    <t>6.2</t>
  </si>
  <si>
    <t>Portable battery</t>
  </si>
  <si>
    <t>Gasoline 1P-220V 10.6kVA</t>
  </si>
  <si>
    <t>6.2.1</t>
  </si>
  <si>
    <t>Máy phát điện thay thế hỏng hóc</t>
  </si>
  <si>
    <t>6.2.2</t>
  </si>
  <si>
    <t>Máy phát điện cho trạm kinh doanh tốt</t>
  </si>
  <si>
    <t>6.3</t>
  </si>
  <si>
    <t>ATS-1P</t>
  </si>
  <si>
    <t>ATS-3P indoor</t>
  </si>
  <si>
    <t>ATS-3P outdoor</t>
  </si>
  <si>
    <t>6.4</t>
  </si>
  <si>
    <t>6.4.1</t>
  </si>
  <si>
    <t>6.4.2</t>
  </si>
  <si>
    <t>6.5</t>
  </si>
  <si>
    <t>Tủ AC - V5-1P</t>
  </si>
  <si>
    <t>6.6</t>
  </si>
  <si>
    <t>Triển khai PMT cho trạm điện giá cao</t>
  </si>
  <si>
    <t>6.6.1</t>
  </si>
  <si>
    <t>6.6.2</t>
  </si>
  <si>
    <t>Hệ thống dàn PMT</t>
  </si>
  <si>
    <t>6.7</t>
  </si>
  <si>
    <t>Nâng cấp PMT trạm không điện</t>
  </si>
  <si>
    <t>6.7.1</t>
  </si>
  <si>
    <t>6.7.2</t>
  </si>
  <si>
    <t>6.8</t>
  </si>
  <si>
    <t>Vật tư khác</t>
  </si>
  <si>
    <t>Convert quang FE 4 cổng điện, 1 cổng quang</t>
  </si>
  <si>
    <t>Quả cầu chữa cháy tự động</t>
  </si>
  <si>
    <t>Smart DCDU</t>
  </si>
  <si>
    <t>Bộ xạc bù acquy 12V</t>
  </si>
  <si>
    <t>Cắt lọc sét MOV, SPD SC(R)100/385 | MOV surge protector</t>
  </si>
  <si>
    <t>Cắt lọc sét sơ cấp GZ</t>
  </si>
  <si>
    <t>Cảnh báo AC-V1</t>
  </si>
  <si>
    <t>Gói vật tư sửa chữa máy phát điện</t>
  </si>
  <si>
    <t>Máy</t>
  </si>
  <si>
    <t>Thông gió trực tiếp cho AGG CX960</t>
  </si>
  <si>
    <t>Khóa cửa thông minh</t>
  </si>
  <si>
    <t>Máy đo điện trở đất</t>
  </si>
  <si>
    <t>6.9</t>
  </si>
  <si>
    <t>Củng cố nhà trạm</t>
  </si>
  <si>
    <t>Lạt thít 200mm 3x200mm (500 sợi/gói)</t>
  </si>
  <si>
    <t>Lạt thít 400mm 5x400mm (250 sợi/gói)</t>
  </si>
  <si>
    <t>Máng Gen luồn dây điện, có nắp GA60/02 60x40x2000mm</t>
  </si>
  <si>
    <t>Máng gen nhựa răng lược có nắp 65x65x800mm</t>
  </si>
  <si>
    <t>Giấy dán nhãn khỗ A4 (30 tem 98 x 18mm/01 tờ; 20 tờ/01 tập)</t>
  </si>
  <si>
    <t>Tập</t>
  </si>
  <si>
    <t>Ống gen Φ 50/65 chôn ngầm</t>
  </si>
  <si>
    <t>Cáp tiếp địa vàng xanh 1x35mm2</t>
  </si>
  <si>
    <t>Cáp tiếp địa vàng xanh 1x25mm2</t>
  </si>
  <si>
    <t>Cáp tiếp địa vàng xanh 1x4mm2</t>
  </si>
  <si>
    <t>Cáp điện nhôm vặn xoắn 2x25mm2</t>
  </si>
  <si>
    <t>Cáp điện nhôm vặn xoắn 4x25mm2</t>
  </si>
  <si>
    <t>Kẹp cáp 4x25mm2+ phụ kiện</t>
  </si>
  <si>
    <t>Cáp điện 1x25mm2 xanh</t>
  </si>
  <si>
    <t>Cáp điện 1x25mm2 đen</t>
  </si>
  <si>
    <t>Cáp điện 2x1.5mm2 flexible</t>
  </si>
  <si>
    <t>Cáp điện 2x16mm2 flexible</t>
  </si>
  <si>
    <t>Headcore 1x35, 1x25,1x26,1x6mm2</t>
  </si>
  <si>
    <t>7</t>
  </si>
  <si>
    <t>Vật tự dự phòng UCTT</t>
  </si>
  <si>
    <t>7.1</t>
  </si>
  <si>
    <t>7.2</t>
  </si>
  <si>
    <t>Rectifier 3000W (theo Vendor)</t>
  </si>
  <si>
    <t>Rectifier 1000w tủ DC Mini Vertiv</t>
  </si>
  <si>
    <t>Rectifier 3000W - Vendor Emerson (loại tủ thường)</t>
  </si>
  <si>
    <t>Rectifier ZTE 3000W V5</t>
  </si>
  <si>
    <t>Rectifier ZTE 3000W V6</t>
  </si>
  <si>
    <t>Rectifier Huawei 3000W</t>
  </si>
  <si>
    <t>Rectifier VMC 3000W</t>
  </si>
  <si>
    <t>7.3</t>
  </si>
  <si>
    <t>Solar converter 3000W (theo vendor)</t>
  </si>
  <si>
    <t>ZTE PU V2.5</t>
  </si>
  <si>
    <t>ZTE PU V3</t>
  </si>
  <si>
    <t>Solar converter Huawei</t>
  </si>
  <si>
    <t>Solar converter VMC</t>
  </si>
  <si>
    <t>7.4</t>
  </si>
  <si>
    <t>Controller</t>
  </si>
  <si>
    <t>M221S hoặc M222S Emerson/Vertiv</t>
  </si>
  <si>
    <t>Controller Huawei</t>
  </si>
  <si>
    <t>Controller VMC</t>
  </si>
  <si>
    <t>7.5</t>
  </si>
  <si>
    <t>7.6</t>
  </si>
  <si>
    <t>Mini OLT 8 cổng (phần cứng + license)</t>
  </si>
  <si>
    <t>Tủ thuê bao 8 cổng ngoài trời (hỗ trợ lên 16 cổng)</t>
  </si>
  <si>
    <t>Tủ ODF indoor 12Fo LC/APC</t>
  </si>
  <si>
    <t>Bộ chia 1:8 có connector chuẩn SC/UPC ở đầu ra</t>
  </si>
  <si>
    <t>Bộ chia 1:8 (2 đầu không connector)</t>
  </si>
  <si>
    <t>Cáp quang ADSS 12Fo, 2 sợi/1 lỏng, KV100m</t>
  </si>
  <si>
    <t>Cáp quang ADSS 24Fo khoảng vượt 100m</t>
  </si>
  <si>
    <t>Bộ treo cáp quang ADSS KV100</t>
  </si>
  <si>
    <t xml:space="preserve">Bộ néo 2 hướng cáp quang ADSS KV100 </t>
  </si>
  <si>
    <t>Đế ốp D12</t>
  </si>
  <si>
    <t>Dây đai inox</t>
  </si>
  <si>
    <t>Khoá đai inox</t>
  </si>
  <si>
    <t>Ống nhựa bảo vệ cáp PVC fi 56</t>
  </si>
  <si>
    <t>Tủ nhánh (lắp đặt tối đa được 20 bộ chia quang PLC và 5 khay hàn )</t>
  </si>
  <si>
    <t>Cột gỗ 9m</t>
  </si>
  <si>
    <t>Gông G7</t>
  </si>
  <si>
    <t>Măng xông 24 Fo</t>
  </si>
  <si>
    <t>Thiết bị BRAS (NetEngine 8000 X8 (V800R024)) bao gồm: phần cứng, phần mềm và phụ kiện đi kèm</t>
  </si>
  <si>
    <t>AAA</t>
  </si>
  <si>
    <t>Hệ thống server AAA</t>
  </si>
  <si>
    <t>DNS</t>
  </si>
  <si>
    <t>Hệ thống server DNS</t>
  </si>
  <si>
    <t>Server</t>
  </si>
  <si>
    <t>GPON</t>
  </si>
  <si>
    <t>Cho vủng phủ 2/3/4G</t>
  </si>
  <si>
    <t>Cáp quang ADSS 12Fo KV100m</t>
  </si>
  <si>
    <t>Cáp quang mới cho trạm 4G</t>
  </si>
  <si>
    <t>Viba IP/E-Band</t>
  </si>
  <si>
    <t>Tuyến</t>
  </si>
  <si>
    <t xml:space="preserve">Cột </t>
  </si>
  <si>
    <t>Măng xông 12Fo</t>
  </si>
  <si>
    <t>Gông treo Măng xông G7</t>
  </si>
  <si>
    <t>Cho 5G</t>
  </si>
  <si>
    <t>Cáp quang mới cho trạm 5G</t>
  </si>
  <si>
    <t>DWDM Nâng cấp dung lượng</t>
  </si>
  <si>
    <t>Node ROADM mới</t>
  </si>
  <si>
    <t>Bổ sung OLP</t>
  </si>
  <si>
    <t>Nâng cấp OLA lên OADM</t>
  </si>
  <si>
    <t>Bước sóng 100G 10x10 có lặp cho KNQT</t>
  </si>
  <si>
    <t>Bước sóng 100G không lặp</t>
  </si>
  <si>
    <t>Bước sóng 100G có lặp</t>
  </si>
  <si>
    <t>Bước sóng 100G KNQT có lặp cho POP KNQT</t>
  </si>
  <si>
    <t>Link</t>
  </si>
  <si>
    <t>Bước sóng</t>
  </si>
  <si>
    <t>DWDM trục mới Liên tổng trạm và nội đô MAC-MAP</t>
  </si>
  <si>
    <t>Bước sóng 400G không lặp</t>
  </si>
  <si>
    <t>Bước sóng 100G Không lặp</t>
  </si>
  <si>
    <t>Bước sóng 400G có lặp ( 2 lặp)</t>
  </si>
  <si>
    <t>DWDM trục mới 1C</t>
  </si>
  <si>
    <t>Node OLA mới</t>
  </si>
  <si>
    <t>Bước sóng 100G 10x10</t>
  </si>
  <si>
    <t>Bước sóng 400G có lặp ( 1 lặp)</t>
  </si>
  <si>
    <t>Vu hồi quang hóa</t>
  </si>
  <si>
    <t>Cáp quang treo ADSS12 KV100</t>
  </si>
  <si>
    <t>ODF 12Fo Outdoor</t>
  </si>
  <si>
    <t>Công cụ dụng cụ</t>
  </si>
  <si>
    <t>Dao cắt sợi quang chính xác Fiber cleaver</t>
  </si>
  <si>
    <t>Dao tuốt sợi quang Ripley Miller fiber optic stripper</t>
  </si>
  <si>
    <t>Dao mở cáp Cable shield cutter (Densan)</t>
  </si>
  <si>
    <t>Electrode for machine/Điện cực 70S</t>
  </si>
  <si>
    <t>Electrode for machine/Điện cực 90S</t>
  </si>
  <si>
    <t>Pin máy đo quang AQ7275</t>
  </si>
  <si>
    <t>Pin máy đo quang AQ7280</t>
  </si>
  <si>
    <t>Adapter AQ7275</t>
  </si>
  <si>
    <t>Adapter AQ7280</t>
  </si>
  <si>
    <t>Pin máy hàn quang Fuji 90S+</t>
  </si>
  <si>
    <t>Adapter máy hàn quang Fuji 70S/70S+</t>
  </si>
  <si>
    <t>Adapter máy hàn quang Fuji 90S+</t>
  </si>
  <si>
    <t>Cáp quang phụ kiện</t>
  </si>
  <si>
    <t>Cáp quang treo ADSS 12 sợi - KV100m</t>
  </si>
  <si>
    <t>Cáp quang treo ADSS 24 sợi - KV100m 18G652+6G655</t>
  </si>
  <si>
    <t>Cáp ngầm 24F0</t>
  </si>
  <si>
    <t>Măng xông quang 12 Sợi</t>
  </si>
  <si>
    <t>Măng xông quang 24 sợi</t>
  </si>
  <si>
    <t>Card KĐ thu DWDM ZTE</t>
  </si>
  <si>
    <t>Card KĐ phát DWDM ZTE</t>
  </si>
  <si>
    <t>Subrack NXG1</t>
  </si>
  <si>
    <t>Card WSS DWDM</t>
  </si>
  <si>
    <t>Smart Node Processor Board(SNPG)</t>
  </si>
  <si>
    <t>Card bảo vệ đường quang SOP</t>
  </si>
  <si>
    <t>Card xử lý truyền thông CCPG</t>
  </si>
  <si>
    <t>Card nguồn subrack NXG1 PWE</t>
  </si>
  <si>
    <t>Card hạ kênh 400GG MQ4HB</t>
  </si>
  <si>
    <t>Card lặp kênh 400G TDB4H</t>
  </si>
  <si>
    <t>Module 100G QSFP28</t>
  </si>
  <si>
    <t>Module lineside 400G</t>
  </si>
  <si>
    <t>MW RFU Huawei XMC-3 8GHz</t>
  </si>
  <si>
    <t>MW RFU Huawei XMC-3 15GHz</t>
  </si>
  <si>
    <t>Antenna Huawei 0.6m</t>
  </si>
  <si>
    <t>MW IDU Huawei RTN 905 2F</t>
  </si>
  <si>
    <t>Cặp</t>
  </si>
  <si>
    <t>Viba vu hồi ven biển và trạm thủ phủ</t>
  </si>
  <si>
    <t>Viba 6+0 6Gbps</t>
  </si>
  <si>
    <t>Viba 2+0 2Gbps</t>
  </si>
  <si>
    <t>Viba 1+0 1Gbps/Eband 10Gbps</t>
  </si>
  <si>
    <t>tuyến</t>
  </si>
  <si>
    <t>Ngầm hóa 1B,1C</t>
  </si>
  <si>
    <t>Băng báo hiệu cáp ngầm</t>
  </si>
  <si>
    <t>Ống nhựa Ø40 cho cáp ngầm</t>
  </si>
  <si>
    <t>Củng cố hạ tầng cột,cáp</t>
  </si>
  <si>
    <t>Cáp quang treo ADSS 24 sợi - KV200m 18G652+6G655</t>
  </si>
  <si>
    <t>Bộ treo cáp ADSS 12 sợi / Hanging kit for ADSS optical cable 12 Fo - KV100m</t>
  </si>
  <si>
    <t>Bộ néo 2 hướng cho cáp ADSS KV100m / Double tension for ADSS cable with 100m span</t>
  </si>
  <si>
    <t>Bộ néo 2 hướng cho cáp ADSS KV500m / Double tension for ADSS cable with 500m span</t>
  </si>
  <si>
    <t>Dây đai Inox 0.7 x 20 mm | Inox belts 0.7 x 20mm</t>
  </si>
  <si>
    <t>Đế ốp D12 | D12 Steel Shape</t>
  </si>
  <si>
    <t>Bulong M14 xuyên tâm</t>
  </si>
  <si>
    <t>Gông treo MX G7</t>
  </si>
  <si>
    <t>ODF 12 FO (SC)</t>
  </si>
  <si>
    <t>Măng xông quang 24 Sợi</t>
  </si>
  <si>
    <t>Măng xông quang 24 Sợi, tròn cho cáp ngầm</t>
  </si>
  <si>
    <t>ODF 24 FO (SC)</t>
  </si>
  <si>
    <t>Kit bảo dưỡng viba</t>
  </si>
  <si>
    <t>Path cord SC/LC</t>
  </si>
  <si>
    <t xml:space="preserve">Path cord LC/LC </t>
  </si>
  <si>
    <t>Ống nung</t>
  </si>
  <si>
    <t>Máy hàn quang</t>
  </si>
  <si>
    <t>Máy đo quang OTDR</t>
  </si>
  <si>
    <t>Kìm siết đai Inox</t>
  </si>
  <si>
    <t>Bộ tăng cáp loại 1 tấn</t>
  </si>
  <si>
    <t>Hộp đựng máy đo quang</t>
  </si>
  <si>
    <t>Bộ vệ sinh sợi quang</t>
  </si>
  <si>
    <t>Bộ vệ sinh port quang</t>
  </si>
  <si>
    <t>Sợi</t>
  </si>
  <si>
    <t>Dung lượng Metro</t>
  </si>
  <si>
    <t>Dung lượng IPBN</t>
  </si>
  <si>
    <t>Mạng truyền dẫn</t>
  </si>
  <si>
    <t>- IP: ... SRT 5G smallcell, .... SRT 100G cho 5G NEW, card 10G AGG đấu nối ring 5G NEW, ....
- 262 tuyến Viba E-Band triển khai 5G cosite</t>
  </si>
  <si>
    <t>2200km Cáp quang phụ kiện + viba đáp ứng 1730 4G, 2G trạm lưu lượng, vùng phủ</t>
  </si>
  <si>
    <t xml:space="preserve">- Đáp ứng nhu cầu tăng trưởng dung lượng mạng 2/3/4G từ 400Gbps lên 700Gbps.
- Đáp ứng nhu cầu dung lượng CĐBR toàn mạng lũy kế 70G
</t>
  </si>
  <si>
    <t>1. Triển khai mạng DWDM 1C (34 node) + ngầm hóa 700km
2. Ngầm trục 1B, 1C 300km/năm
3. Mỗi năm thay thế 300km cáp xuống cấp, 12km cột gỗ + 450km cáp vu hồi, tách ring. Ngầm trục 1B, 1C 300km/năm</t>
  </si>
  <si>
    <t>600km cáp quang+ card quang+ phụ kiện các loại dp uctt hàng năm</t>
  </si>
  <si>
    <t>-Triển khai giải pháp AI như : Agent AI (áp dụng trong năm 2027 giải pháp Conversational AI cho CSKH); Camera AI cho Kỹ thuật ….</t>
  </si>
  <si>
    <t>-Triển khai giải pháp AI như : Agent AI; Camera AI cho Kỹ thuật ….</t>
  </si>
  <si>
    <t>- Triển khai các hệ thống mới: Dịch vụ Betting, hệ thống cx Cloud cho doanh nghiệp…
- Triển khai giải pháp ATTT SoC cho kinh doanh ngoài Movitel</t>
  </si>
  <si>
    <t>OCS 4.0: Tổng chi phí đầu tư dự kiến : 3.2tr $
- Thực hiện mở rộng license phần mềm hêm 2M (nâng tổng số license là 22M) với đơn giá 0.35$/subs (đơn giá này là đơn giá của Kinh doanh VHT gửi)
- Thực hiện mở rộng phần cứng thêm 5M nâng tổng năng lực phần cứng hỗ trợ lên 25M với đơn giá 0.5$/subs
+ Triển khai các giải pháp số hóa cho các lĩnh vực : VAS, Đâu tư, Tài chính, CSKH …
+ Triển khai mới 03 hệ thống OSS: DCIM, NCMS , vDCIM …</t>
  </si>
  <si>
    <t>+ OCS4.0: Tổng chi phí đầu tư dự kiến : 19.12tr $
-	Phần mềm : 19M với đơn giá 0.48$/subs --.&gt; Nhằm đảm bảo năng lực license cho phép cắt chuyển toàn bộ 20M subs từ hệ thống vOCS 3.0 hiện tại sang vOCS 4.0
-	Phần cứng : Đầu tư cụm DR với dung lượng 20M  Do chi phí phần cứng tăng cao nên em đang để mục này là x3 lần giá ký HĐ trong năm 2026 là ~ 0.5$/subs
+ Triển khai các giải pháp số hóa cho các lĩnh vực : VAS, Đâu tư, Tài chính, CSKH …
+ Triển khai mới 03 hệ thống OSS: DCIM, NCMS , vDCIM …
+ Cloud: Triển khai cho cụm hệ thống SENSOR - NSM,  cụm máy chủ hệ thống Cloudrity, cụm máy chủ hệ thống PAM, Proxy
- Thực hiện mở rộng 30 VM cụm USSDGW/VASGW + Process/Sender dịch vụ USSD155 cho đầu số 88x
- Triển khai mở rộng 20 VM mở rộng cụm provisioning + SMSGW
- Triển khai mở rộng 10 VM cho hệ thống SuperApp đảm bảo chạy 2 chân cho các cụm webservice
Triển khai DB Standby cho cặp DB VAS 155 và DB VASCPn (Vas public)</t>
  </si>
  <si>
    <t xml:space="preserve">- Triển khai các giải pháp số hóa cho các lĩnh vực : VAS, Đâu tư, Tài chính, CSKH …
- Triển khai mới 03 hệ thống OSS: DCIM, NCMS , vDCIM …
'- Triển khai cặp  DB Active-Standby (oracle) Số hóa, DB hệ thống SMSFW/Voice Firewall
</t>
  </si>
  <si>
    <t>- Triển khai các hệ thống mới: Dịch vụ Betting, hệ thống CX Cloud cho doanh nghiệp…
- Triển khai giải pháp ATTT SoC cho kinh doanh ngoài Movitel</t>
  </si>
  <si>
    <t>SRT phát triển mới</t>
  </si>
  <si>
    <t>Module Newsite đấu trạm 1GE 10Km - 2G 900</t>
  </si>
  <si>
    <t>Module Newsite đấu trạm 1GE 10Km - 4G 800</t>
  </si>
  <si>
    <t>Module Newsite đấu trạm 1GE 10Km - 4G 1800</t>
  </si>
  <si>
    <t>Thiết bị SRT vendor Juniper</t>
  </si>
  <si>
    <t xml:space="preserve">Module SFP+ 10GE, SM, 10km </t>
  </si>
  <si>
    <t xml:space="preserve">Module SFP+ 10GE, SM, 40km </t>
  </si>
  <si>
    <t>Module SFP+ 10GE, SM, 80km</t>
  </si>
  <si>
    <t>Line card 130G (MPC3E-NG)</t>
  </si>
  <si>
    <t>MIC 4 port 10G XFP</t>
  </si>
  <si>
    <t>Module XFP 10G-10km</t>
  </si>
  <si>
    <t>Module XFP 10G-40km</t>
  </si>
  <si>
    <t>Module XFP 10G-80km</t>
  </si>
  <si>
    <t>Patch cord sợi đôi</t>
  </si>
  <si>
    <t>Thiết bị SRT vendor Huawei</t>
  </si>
  <si>
    <t>SRT swap (include CB, cable,…) 100G</t>
  </si>
  <si>
    <t>Module electrical 10/100/1000 RJ45</t>
  </si>
  <si>
    <t>Module 10GE, SM, 10km swap 5G sang 10G</t>
  </si>
  <si>
    <t>Module 1GE, SM, 10km</t>
  </si>
  <si>
    <t>Module 1GE, SM, 40km</t>
  </si>
  <si>
    <t>Module 1GE, SM, 80km</t>
  </si>
  <si>
    <t>Module 10GE, SM, 10km</t>
  </si>
  <si>
    <t>Module 10GE, SM, 40km</t>
  </si>
  <si>
    <t>Module 10GE, SM, 80km</t>
  </si>
  <si>
    <t>Chasiss MX960</t>
  </si>
  <si>
    <t>SCBE3-MX-BB</t>
  </si>
  <si>
    <t>RE-S-X6-128G</t>
  </si>
  <si>
    <t>Card 4x100GE</t>
  </si>
  <si>
    <t>Module 100GE, SM, 10km</t>
  </si>
  <si>
    <t>Module 100GE, SM, 40km</t>
  </si>
  <si>
    <t>Module 100GE, SM, 80km</t>
  </si>
  <si>
    <t>NetEngine 8000 (include rack, CB, cable,…)</t>
  </si>
  <si>
    <t>2-Port 100G</t>
  </si>
  <si>
    <t>10-Port 10GE</t>
  </si>
  <si>
    <t>Module 100G 10km</t>
  </si>
  <si>
    <t>Module 100G 40km</t>
  </si>
  <si>
    <t>Module 100G 80km</t>
  </si>
  <si>
    <t>Chasiss (Full box)</t>
  </si>
  <si>
    <t>Card 40x10GE</t>
  </si>
  <si>
    <t>Card 8x100GE (2x400GE)</t>
  </si>
  <si>
    <t>Module 400GE, SM, 10km</t>
  </si>
  <si>
    <t>Core vùng Juniper</t>
  </si>
  <si>
    <t>Card 40x10GE SFP+</t>
  </si>
  <si>
    <t>Module 10GE, SM, 10km (SFP)</t>
  </si>
  <si>
    <t>Chassis</t>
  </si>
  <si>
    <t>patchcord</t>
  </si>
  <si>
    <t>IGW</t>
  </si>
  <si>
    <t>Chasiss mới</t>
  </si>
  <si>
    <t>48*10GE line card for NE40E-X8A</t>
  </si>
  <si>
    <t>Card 4x100GE for NE40E-X8A</t>
  </si>
  <si>
    <t>Card 36x10GE SFP+</t>
  </si>
  <si>
    <t>Card 5x100GE</t>
  </si>
  <si>
    <t>P router</t>
  </si>
  <si>
    <t>Chasiss</t>
  </si>
  <si>
    <t>Card 2x400GE</t>
  </si>
  <si>
    <t>PE PS</t>
  </si>
  <si>
    <t>Chasiss new (Full box)</t>
  </si>
  <si>
    <t>4*100GE line card for NE40E-X8A (bao gồm card và MIC)</t>
  </si>
  <si>
    <t>Module 1000BASE-TX, RJ45</t>
  </si>
  <si>
    <t>Module 1000BASE-X, SM, LX 10km</t>
  </si>
  <si>
    <t>PE CĐ</t>
  </si>
  <si>
    <t>Card 36x10GE SFP+ cho NE8000-X8</t>
  </si>
  <si>
    <t>Card 5x100GE (bao gồm card và MIC) cho NE8000-X8</t>
  </si>
  <si>
    <t>8*100GE line card for NE40E-X8</t>
  </si>
  <si>
    <t>2*100GE line card for NE40E-X8A (bao gồm card và MIC)</t>
  </si>
  <si>
    <t>DCN/Intranet Network</t>
  </si>
  <si>
    <t>DCN  access switch L3</t>
  </si>
  <si>
    <t>Patch cord</t>
  </si>
  <si>
    <t>MPBN Network</t>
  </si>
  <si>
    <t>Chassis PE-MPBN new</t>
  </si>
  <si>
    <t>Card 24x10GE SFP+ for NE40E-X8A</t>
  </si>
  <si>
    <t>Tủ rack, phụ kiện triển khai cache</t>
  </si>
  <si>
    <t>Module cosite - 1GE-10km - Cosite 800</t>
  </si>
  <si>
    <t>Module cosite - 1GE-10km - Cosite 1800</t>
  </si>
  <si>
    <t>Module cosite - 1GE-10km - Cosite 700</t>
  </si>
  <si>
    <t>Module cosite - 1GE-10km - Cosite 2600 (cắm vào 150 SRT hiện hữu)</t>
  </si>
  <si>
    <t xml:space="preserve">Module new site - 10GE-10km - </t>
  </si>
  <si>
    <t>Module uplink newsite 10GE, SM, 10km (chèn ring)</t>
  </si>
  <si>
    <t>Module uplink newsite 10GE, SM, 40km (chèn ring)</t>
  </si>
  <si>
    <t>Module uplink newsite 10GE, SM, 80km (chèn ring)</t>
  </si>
  <si>
    <t>Module uplink newsite 1GE, SM, 10km (đấu nối đuôi acx2100/viba)</t>
  </si>
  <si>
    <t>Module uplink newsite 1GE, SM, 40km (đấu nối đuôi acx2100/viba)</t>
  </si>
  <si>
    <t>Module uplink newsite 1GE, SM, 80km (đấu nối đuôi acx2100/viba)</t>
  </si>
  <si>
    <t>Module điện 10/100/1000 RJ45 cho giám sát tủ nguồn, viba</t>
  </si>
  <si>
    <t>SRT</t>
  </si>
  <si>
    <t>SRT swap và phát triển mới (include CB, cable,…) 100G</t>
  </si>
  <si>
    <t>Module  - 1GE-10km -2G</t>
  </si>
  <si>
    <t>Module  - 1GE-10km - 3G</t>
  </si>
  <si>
    <t>Module  - 1GE-10km - 4G</t>
  </si>
  <si>
    <t>Module 1GE đấu trạm mới 2G/3G/4G</t>
  </si>
  <si>
    <t>Module 1GE đấu trạm mới 5G trạm hiện có</t>
  </si>
  <si>
    <t xml:space="preserve">Module 10GE, SM, 10km đấu trạm mới 5G </t>
  </si>
  <si>
    <t xml:space="preserve">Module 1GE, SM, 10km </t>
  </si>
  <si>
    <t>License 2x10Ge (flexible allocation)</t>
  </si>
  <si>
    <t>Pcs</t>
  </si>
  <si>
    <t>E8</t>
  </si>
  <si>
    <t>F2</t>
  </si>
  <si>
    <t>License NCE</t>
  </si>
  <si>
    <t>License Node AGG</t>
  </si>
  <si>
    <t>License Node SRT</t>
  </si>
  <si>
    <t>License NCE (đơn giá node)</t>
  </si>
  <si>
    <t>Dịch vụ lắp đặt trạm mới VP</t>
  </si>
  <si>
    <t>Dịch vụ lắp đặt trạm mới VP có điện</t>
  </si>
  <si>
    <t>Dịch vụ lắp đặt hạng mục Battery</t>
  </si>
  <si>
    <t>Dịch vụ lắp đặt LIB 48V-100Ah</t>
  </si>
  <si>
    <t>Dịch vụ lắp đặt Battery Lithium minishelter</t>
  </si>
  <si>
    <t>Dịch vụ lắp đặt Genset</t>
  </si>
  <si>
    <t>Dịch vụ lắp đặt Diesel  Genset 1P-220V 12kVA  (+ Fuel tank 500L/600L)</t>
  </si>
  <si>
    <t>Dịch vụ lắp đặt ATS/Timer</t>
  </si>
  <si>
    <t>Dịch vụ lắp đặt ATS outdoor</t>
  </si>
  <si>
    <t>Dịch vụ lắp đặt DC  Power System</t>
  </si>
  <si>
    <t>Dịch vụ lắp đặt IPS with solar</t>
  </si>
  <si>
    <t>Dịch vụ lắp đặt IPS minishelter (include controler, subrack,…)</t>
  </si>
  <si>
    <t>Dịch vụ lắp đặt Rectifier 3000W</t>
  </si>
  <si>
    <t>Dịch vụ lắp đặt Solar converter 3000W</t>
  </si>
  <si>
    <t>Dịch vụ lắp đặt Solar system</t>
  </si>
  <si>
    <t>Dịch vụ lắp đặt Mornitoring</t>
  </si>
  <si>
    <t>Dịch vụ lắp đặt AC-V1 Alarm</t>
  </si>
  <si>
    <t>Dịch vụ lắp đặt DAQ-V2</t>
  </si>
  <si>
    <t>Dịch vụ lắp đặt Converter quang 4FE</t>
  </si>
  <si>
    <t>Dịch vụ lắp đặt Module SFP</t>
  </si>
  <si>
    <t>Dịch vụ lắp đặt Trạm mới VP không điện</t>
  </si>
  <si>
    <t>Dịch vụ lắp đặt Battery</t>
  </si>
  <si>
    <t>Dịch vụ lắp đặt Trạm mới DL</t>
  </si>
  <si>
    <t>Dịch vụ lắp đặt Trạm mới DL có điện</t>
  </si>
  <si>
    <t>Dịch vụ lắp đặt Trạm mới DL không điện</t>
  </si>
  <si>
    <t>Dịch vụ lắp đặt Trạm main node mới</t>
  </si>
  <si>
    <t>Dịch vụ lắp đặt Solar DC System (Indoor)</t>
  </si>
  <si>
    <t>Dịch vụ lắp đặt Solar Power System (Include Cabinet, Controller)</t>
  </si>
  <si>
    <t>Dịch vụ lắp đặt Solar Converter 3000W</t>
  </si>
  <si>
    <t>Dịch vụ lắp đặt Diesel  Genset 3P-380V 30kVA  (+ Fuel tank 500L/600L)</t>
  </si>
  <si>
    <t>Dịch vụ lắp đặt ATS-3P</t>
  </si>
  <si>
    <t>Dịch vụ lắp đặt Tủ nguồn AC</t>
  </si>
  <si>
    <t>Dịch vụ lắp đặt Tủ AC - V5-3P</t>
  </si>
  <si>
    <t>Dịch vụ lắp đặt Cảnh báo Khói</t>
  </si>
  <si>
    <t>Dịch vụ lắp đặt Cảnh báo mở cửa</t>
  </si>
  <si>
    <t>Dịch vụ lắp đặt Cosite vùng phủ</t>
  </si>
  <si>
    <t>Dịch vụ lắp đặt DC system</t>
  </si>
  <si>
    <t>Dịch vụ lắp đặt Rectifier 3000W-Vendor Vertiv/Emerson</t>
  </si>
  <si>
    <t>Dịch vụ lắp đặt ATS-3P (outdoor/indoor)</t>
  </si>
  <si>
    <t>Dịch vụ lắp đặt CB 125A</t>
  </si>
  <si>
    <t>Dịch vụ lắp đặt Cosite dung lượng</t>
  </si>
  <si>
    <t>Dịch vụ lắp đặt Kiên cố, củng cố</t>
  </si>
  <si>
    <t>Dịch vụ lắp đặt Normal DC System (Indoor)</t>
  </si>
  <si>
    <t>Dịch vụ lắp đặt DC Power System (Include Cabinet, Controller)</t>
  </si>
  <si>
    <t>Dịch vụ lắp đặt Portable battery</t>
  </si>
  <si>
    <t>Dịch vụ lắp đặt Gasoline 1P-220V 10.6kVA</t>
  </si>
  <si>
    <t>Dịch vụ lắp đặt ATS-1P</t>
  </si>
  <si>
    <t>Dịch vụ lắp đặt ATS-3P indoor</t>
  </si>
  <si>
    <t>Dịch vụ lắp đặt ATS-3P outdoor</t>
  </si>
  <si>
    <t>Dịch vụ lắp đặt Tủ AC - V5-1P</t>
  </si>
  <si>
    <t>Dịch vụ lắp đặt Triển khai PMT cho trạm điện giá cao</t>
  </si>
  <si>
    <t>Dịch vụ lắp đặt Hệ thống dàn PMT</t>
  </si>
  <si>
    <t>Dịch vụ lắp đặt Nâng cấp PMT trạm không điện</t>
  </si>
  <si>
    <t>Dịch vụ lắp đặt Vật tư khác</t>
  </si>
  <si>
    <t>Dịch vụ lắp đặt Smart DCDU</t>
  </si>
  <si>
    <t>SBC</t>
  </si>
  <si>
    <t>Hệ thống giám sát chất lượng Roaming</t>
  </si>
  <si>
    <t>Phần mềm giám sát chất lượng dịch vụ Roaming</t>
  </si>
  <si>
    <t>Phần cứng hệ thống giám sát Roaming</t>
  </si>
  <si>
    <t>Dịch vụ triển khai cho hệ thống giám sát Roaming</t>
  </si>
  <si>
    <t>PS FW Hardware</t>
  </si>
  <si>
    <t>PS FW Software</t>
  </si>
  <si>
    <t>PS Cloud DNS Hardware 
(external, internal DNS)</t>
  </si>
  <si>
    <t>PS Cloud DNS Software 
(external, internal DNS)</t>
  </si>
  <si>
    <t>Swap: PS FW Hardware</t>
  </si>
  <si>
    <t>Swap: PS FW Software</t>
  </si>
  <si>
    <t>Swap: PS Cloud DNS Hardware 
(external, internal DNS)</t>
  </si>
  <si>
    <t>Swap: PS Cloud DNS Software 
(external, internal DNS)</t>
  </si>
  <si>
    <t>PS 2G/3G/4G Software SAU</t>
  </si>
  <si>
    <t>PS 2G/3G/4G Software PDP</t>
  </si>
  <si>
    <t>PS Software Mbps</t>
  </si>
  <si>
    <t>PDP</t>
  </si>
  <si>
    <t>PS 5G NSA Software SAU</t>
  </si>
  <si>
    <t>PS  5G NSA Software PDP</t>
  </si>
  <si>
    <t>PS 5G NSA Software Mbps</t>
  </si>
  <si>
    <t>PS 2G/3G/4G Hardware SAU</t>
  </si>
  <si>
    <t>PS 2G/3G/4G Hardware PDP</t>
  </si>
  <si>
    <t>PS 2G/3G/4G Hardware Mbps</t>
  </si>
  <si>
    <t>Nâng cấp softwarea cho PSCore</t>
  </si>
  <si>
    <t>PS upgrade software</t>
  </si>
  <si>
    <t>PS upgrade service</t>
  </si>
  <si>
    <t>Nâng cấp softwarea cho IMS</t>
  </si>
  <si>
    <t>IMS upgrade software</t>
  </si>
  <si>
    <t>IMS upgrade service</t>
  </si>
  <si>
    <t>Nâng cấp softwarea cho UDM</t>
  </si>
  <si>
    <t>UDM upgrade software</t>
  </si>
  <si>
    <t>UDM upgrade service</t>
  </si>
  <si>
    <t>IMS swap SW</t>
  </si>
  <si>
    <t>IMS swap HW</t>
  </si>
  <si>
    <t>IMS deployment service</t>
  </si>
  <si>
    <t>PS Hardware extra PDP</t>
  </si>
  <si>
    <t>Swap: PS 2G/3G/4G Software PDP</t>
  </si>
  <si>
    <t>Swap: PS 2G/3G/4G Software Mbps</t>
  </si>
  <si>
    <t>Swap: PS 5G Software PDP</t>
  </si>
  <si>
    <t>Swap: PS 5G Software Mbps</t>
  </si>
  <si>
    <t>Swap: PS Hardware PDP</t>
  </si>
  <si>
    <t>Swap: PS Hardware Mbps</t>
  </si>
  <si>
    <t>Swap: PS Software extra PDP</t>
  </si>
  <si>
    <t>Swap: PS Hardware extra PDP</t>
  </si>
  <si>
    <t>PS 5G NSA Hardware SAU</t>
  </si>
  <si>
    <t>PS 5G NSA Hardware PDP</t>
  </si>
  <si>
    <t>PS 5G NSA Hardware Mbps</t>
  </si>
  <si>
    <t>PS 5G SA Software and Hardware Mbps</t>
  </si>
  <si>
    <t>PS 5G SA Software and Hardware SAU</t>
  </si>
  <si>
    <t>PS 5G SA Software and Hardware PDP</t>
  </si>
  <si>
    <t>Deploy trial 5G SA Package</t>
  </si>
  <si>
    <t>BTS 2G 1800_Cosite</t>
  </si>
  <si>
    <t>BTS 2G 900_Cosite</t>
  </si>
  <si>
    <t>H=3M (Cột cóc)</t>
  </si>
  <si>
    <t>H=12M</t>
  </si>
  <si>
    <t>H=18M</t>
  </si>
  <si>
    <t>H=24M</t>
  </si>
  <si>
    <t>H=30M</t>
  </si>
  <si>
    <t>H=36M</t>
  </si>
  <si>
    <t>H=44M</t>
  </si>
  <si>
    <t>H=49.5M</t>
  </si>
  <si>
    <t>H=55M</t>
  </si>
  <si>
    <t>H=60.5M</t>
  </si>
  <si>
    <t>H=72M</t>
  </si>
  <si>
    <t>H=77M</t>
  </si>
  <si>
    <t>Cột tự đứng 30M</t>
  </si>
  <si>
    <t>Cột tự đứng 35M</t>
  </si>
  <si>
    <t>Cột tự đứng 44M</t>
  </si>
  <si>
    <t>Hapulico 22m</t>
  </si>
  <si>
    <t>Hapulico 28m</t>
  </si>
  <si>
    <t>Nhà C05</t>
  </si>
  <si>
    <t>Hàng rào</t>
  </si>
  <si>
    <t>Nhà</t>
  </si>
  <si>
    <t>trạm</t>
  </si>
  <si>
    <t>Vật tư thiết bị  HTML vùng phủ</t>
  </si>
  <si>
    <t>Vật tư thiết bị  HTML dung lượng</t>
  </si>
  <si>
    <t>Vật tư thiết bị củng cố kiên cố</t>
  </si>
  <si>
    <t>Cột bao</t>
  </si>
  <si>
    <t>Thay thế cột co hỏng hóc</t>
  </si>
  <si>
    <t>Xây dựng móng trạm vùng phủ</t>
  </si>
  <si>
    <t>Nhà máy nổ 2.7x1.7</t>
  </si>
  <si>
    <t>Minishelter</t>
  </si>
  <si>
    <t>vị trí</t>
  </si>
  <si>
    <t>Xây dựng móng trạm dung lượng</t>
  </si>
  <si>
    <t>Lắp dựng trạm vùng phủ</t>
  </si>
  <si>
    <t>Lắp dựng trạm dung lượng</t>
  </si>
  <si>
    <t>Lắp thiết bị BTS mới trạm vùng phủ</t>
  </si>
  <si>
    <t>Lắp thiết bị BTS mới trạm vùng dung lượng</t>
  </si>
  <si>
    <t>5m &lt; H ≤ 24m</t>
  </si>
  <si>
    <t>27.5m &lt; H ≤ 33m</t>
  </si>
  <si>
    <t>33m &lt; H ≤ 38.5m</t>
  </si>
  <si>
    <t>38.5m &lt; H ≤ 44m</t>
  </si>
  <si>
    <t>44m &lt; H ≤ 49.5m</t>
  </si>
  <si>
    <t>49.5m &lt; H ≤ 55m</t>
  </si>
  <si>
    <t>55m &lt; H ≤ 60m</t>
  </si>
  <si>
    <t>60m &lt; H ≤ 66m</t>
  </si>
  <si>
    <t>66m &lt; H ≤ 72m</t>
  </si>
  <si>
    <t>72m &lt; H ≤78m</t>
  </si>
  <si>
    <t>Xây dựng hàng rào thép chống trộm cho trạm</t>
  </si>
  <si>
    <t>Xây dựng + lắp đặt hàng rào thép</t>
  </si>
  <si>
    <t>Lắp đặt hàng rào thép (móng có sẵn)</t>
  </si>
  <si>
    <t>Xây dựng nhà máy nổ</t>
  </si>
  <si>
    <t>Sector 4G twinbeam trạm  dung lượng</t>
  </si>
  <si>
    <t>5m &lt; H ≤ 9m</t>
  </si>
  <si>
    <t>9m &lt; H ≤ 18m</t>
  </si>
  <si>
    <t>21m &lt; H ≤27.5m</t>
  </si>
  <si>
    <t>RRU 2G cosite trạm  dung lượng</t>
  </si>
  <si>
    <t>RRU 4G cosite trạm  dung lượng</t>
  </si>
  <si>
    <t>RRU 5G cosite trạm  dung lượng</t>
  </si>
  <si>
    <t>Bộ STS AC cho thiết bị 1 chân nguồn</t>
  </si>
  <si>
    <t>MSC REG SW</t>
  </si>
  <si>
    <t>MSC REG HW</t>
  </si>
  <si>
    <t>PS Software extra SAU</t>
  </si>
  <si>
    <t>PS Hardware extra SAU</t>
  </si>
  <si>
    <t>PRIMARY SITE</t>
  </si>
  <si>
    <t>DR SITE</t>
  </si>
  <si>
    <t>Măng xông 24Fo</t>
  </si>
  <si>
    <t>Tấm ốp + Đai inox</t>
  </si>
  <si>
    <t>Site router chassis</t>
  </si>
  <si>
    <t>AGG</t>
  </si>
  <si>
    <t>Cáp quang</t>
  </si>
  <si>
    <t>Cáp quang ngầm chôn trực tiếp 96Fo</t>
  </si>
  <si>
    <t>Cáp quang ADSS 48Fo KV100m</t>
  </si>
  <si>
    <t>Măng xông 96Fo</t>
  </si>
  <si>
    <t>ODF 96FO</t>
  </si>
  <si>
    <t>ODF 48FO</t>
  </si>
  <si>
    <t>Module SFP 1G-10km</t>
  </si>
  <si>
    <t>Thiết bị SRT cho trạm dung lượng vô tuyến</t>
  </si>
  <si>
    <t>Thiết bị SRT cho dung lượng metro</t>
  </si>
  <si>
    <t>Máy hàn</t>
  </si>
  <si>
    <t xml:space="preserve">Cáp quang treo ADSS 24 sợi - KV100m </t>
  </si>
  <si>
    <t>Module uplink newsite 1GE, SM, 10km</t>
  </si>
  <si>
    <t>Module uplink newsite 1GE, SM, 40km</t>
  </si>
  <si>
    <t>Module uplink newsite 1GE, SM, 80km</t>
  </si>
  <si>
    <t>Gông quấn cáp</t>
  </si>
  <si>
    <t xml:space="preserve">Tấm ốp </t>
  </si>
  <si>
    <t>Triển khai thay thế 200Km cáp quang treo 24Fo cho tuyến cáp hay sảy ra sự cố.</t>
  </si>
  <si>
    <t>Card 2x100G CX600</t>
  </si>
  <si>
    <t>Bộ thiết bị Swap AGG:
Cấu hình:
- Chasis tối thiểu 8 slot
- Số port 100G kích hoạt: 04
- Số module 100G 10km: 04
- Số module 10G 10km: 16 
- Số module 10G 40km: 12
- Số module 10G 80km: 12 
- Port 100G, 10G phân bổ trên tối thiểu 02 card cùng loại
- Gói dịch vụ thiết kế LLD, tài liệu hướng dẫn; tích hợp thiết bị vào mạng lưới</t>
  </si>
  <si>
    <t>License 3x100G cho card 5x100G hiện tại</t>
  </si>
  <si>
    <t>AGG juniper</t>
  </si>
  <si>
    <t>Card 4x100G NE8K tổng trạm cũ</t>
  </si>
  <si>
    <t>Card 40x10G/1G PEPS MX2020</t>
  </si>
  <si>
    <t>Module quang 10G 10km</t>
  </si>
  <si>
    <t>Dây nhảy quang</t>
  </si>
  <si>
    <t>Card 4x100G PEPS MX2020</t>
  </si>
  <si>
    <t>Module 100G 40km cho PE Juniper</t>
  </si>
  <si>
    <t>Module 100G 10km cho PE Juniper</t>
  </si>
  <si>
    <t>Bộ nâng cấp chassis PE MPBN MX2020 bao gồm gói hỗ trợ thiết kế, cắt chuyển dịch vụ</t>
  </si>
  <si>
    <t>Card 40x10G/1G PE MPBN MX2020</t>
  </si>
  <si>
    <t>Module điện 1G</t>
  </si>
  <si>
    <t>Module quang 1G 10km</t>
  </si>
  <si>
    <t>Thiết bị tổng trạm mới</t>
  </si>
  <si>
    <t>Bộ thiết bị PEPS tổng trạm mới:
Cấu hình:
- Chasis tối thiểu 16 slot
- Số port 100G kích hoạt: 08
- Số module 100G 40km: 02
- Số module 100G 10km: 06
- Số port 10G được kích hoạt: 40
- Số module 10G 10km kèm dây nhảy quang: 40
- Port 10G và 100G phân bổ trên tối thiểu 02 card cùng loại
- Gói dịch vụ thiết kế LLD, tài liệu hướng dẫn; tích hợp thiết bị vào mạng lưới</t>
  </si>
  <si>
    <t>Card 4x100GE PEPS</t>
  </si>
  <si>
    <t>Module 100G 10km PEPS</t>
  </si>
  <si>
    <t>Bộ thiết bị IGW tổng trạm mới:
Cấu hình:
- Chasis tối thiểu 16 slot
- Số port 100G kích hoạt: 04
- Số module 100G 10km: 04
- Số port 10G được kích hoạt: 40
- Số module 10G 10km kèm dây nhảy quang: 40
- Port 10G và 100G phân bổ trên tối thiểu 02 card cùng loại
- Gói dịch vụ thiết kế LLD, tài liệu hướng dẫn; tích hợp thiết bị vào mạng lưới</t>
  </si>
  <si>
    <t>Bộ thiết bị PE MPBN tổng trạm mới:
Cấu hình:
- Chasis tối thiểu 16 slot
- Số port 10G được kích hoạt: 40
- Số module 10G 10km kèm dây nhảy quang: 36
- Số module 10G 40km kèm dây nhảy quang: 04
- Port 10G phân bổ trên tối thiểu 02 card cùng loại
- Gói dịch vụ thiết kế LLD, tài liệu hướng dẫn; tích hợp thiết bị vào mạng lưới</t>
  </si>
  <si>
    <t>Thiết bị SW CORE DCN 48x10G/1GE</t>
  </si>
  <si>
    <t>Module quang 10G 40km switch DCN</t>
  </si>
  <si>
    <t>Module quang 10G 10km switch DCN</t>
  </si>
  <si>
    <t>Thiết bị ACC DCN 48x10G/1GE</t>
  </si>
  <si>
    <t>Module quang 10G 10km switch ACC DCN</t>
  </si>
  <si>
    <t>Bộ thiết bị CV tổng trạm mới:
Cấu hình:
- Chasis tối thiểu 16 slot
- Số port 100G kích hoạt: 08
- Số module 100G 10km: 04
- Số module 100G 80km: 04
- Port 100G phân bổ trên tối thiểu 02 card cùng loại
- Gói dịch vụ thiết kế LLD, tài liệu hướng dẫn; tích hợp thiết bị vào mạng lưới</t>
  </si>
  <si>
    <t>Bộ thiết bị FW DCN cho tổng trạm mới (bao gồm module quang 10G và vật tư phụ kiện đi kèm)</t>
  </si>
  <si>
    <t>Bộ thiết bị gồm 01 chassis, 01 linecard 4x100G, 01 linecard 20x10G</t>
  </si>
  <si>
    <t>Tổng trạm BUJ</t>
  </si>
  <si>
    <t>DHCX 150kBTU/h</t>
  </si>
  <si>
    <t>Bảo dưỡng chuyên sâu hệ thống UPS, sửa chữa các hỏng hỏng, calib hệ thống</t>
  </si>
  <si>
    <t>Chứng chỉ TCCF cho tổng trạm mới tại</t>
  </si>
  <si>
    <t>1</t>
  </si>
  <si>
    <t>Chi phí lấy chứng chỉ TCCF cho tổng trạm mới</t>
  </si>
  <si>
    <t>Đảm bảo lắp đặt thiết bị và dự phòng làm mát cho phòng máy extend.</t>
  </si>
  <si>
    <t>Diesel  Genset 3P-380V 30kVA  (+ Fuel tank)</t>
  </si>
  <si>
    <t>1.1.7</t>
  </si>
  <si>
    <t>Kéo điện trạm BTS</t>
  </si>
  <si>
    <t>Solar converter 4000W</t>
  </si>
  <si>
    <t>Hệ thống ≥12000W (gồm tấm pin + khung giá + lắp đặt)</t>
  </si>
  <si>
    <t>Hệ thống ≥15000W (gồm tấm pin + khung giá + lắp đặt)</t>
  </si>
  <si>
    <t>Hệ thống ≥18000W (gồm tấm pin + khung giá + lắp đặt)</t>
  </si>
  <si>
    <t>Hệ thống ≥20000W (gồm tấm pin + khung giá + lắp đặt)</t>
  </si>
  <si>
    <t>2.1.7</t>
  </si>
  <si>
    <t>Đảm bảo lắp thêm cosite và ắc quy cho 4 trạm main node lắp thêm tủ nguồn DC để tách core-access tại BME</t>
  </si>
  <si>
    <t>Nâng cấp điện lưới 3 pha cho trạm cao tải</t>
  </si>
  <si>
    <t>Năm 2027: 59 trạm tăng từ 2 AAU trở lên cho loại triple band 700-800-900 và dual band 2600-3500, năm 2028: 63 trạm tăng từ 2 AAU trở lên cho loại triple band 700-800-900 và dual band 2600-3500</t>
  </si>
  <si>
    <t>Thay thế MPĐ Lister Peter sử dụng từ 2014 bị hỏng, đã bị suy giảm công suất và chi phí sửa chữa lớn</t>
  </si>
  <si>
    <t>Kéo điện cho 15 trạm PMT dự kiến kéo được điện lưới</t>
  </si>
  <si>
    <t>Mua tủ tích hợp PMT cho trạm nâng cấp solar</t>
  </si>
  <si>
    <t>Nâng cấp PMT cho trạm bị thiếu công suất</t>
  </si>
  <si>
    <t xml:space="preserve">Thay thế chuyển sang sử dụng thông gió lọc bụi thay thế quạt DC nhà container cũ </t>
  </si>
  <si>
    <t>Tồn kho bằng 0 bộ. Hỏng 42 bộ năm 2026</t>
  </si>
  <si>
    <t>Tồn kho còn 30 bộ. Hỏng 52 bộ năm 2026</t>
  </si>
  <si>
    <t>Tồn kho còn 9 bộ. Tỷ lệ hỏng 5%. Tổng 150 trạm đang sử dụng ATS outdoor, mua dự phòng theo tỷ lệ</t>
  </si>
  <si>
    <t>Tồn kho bằng 0 cái. Hỏng 3 cái năm 2026</t>
  </si>
  <si>
    <t>Rectifier 3000W - Vendor Delta</t>
  </si>
  <si>
    <t>Controller ZTE</t>
  </si>
  <si>
    <t>Hàng mua mới ZTE chưa có phát sinh, mua dự phòng cho 02 năm 2027-2028</t>
  </si>
  <si>
    <t>Solar charger rời</t>
  </si>
  <si>
    <t>Tồn kho còn 0 cái. Đang mua 100 cái, hỏng 1 năm là 50 cái nên 2027 không mua, 2028 sẽ mua 100 cái</t>
  </si>
  <si>
    <t>Dịch vụ lắp đặt IPS  minishelter with solar</t>
  </si>
  <si>
    <t>Dịch vụ lắp đặt Hệ thống ≥6000W (gồm tấm pin + khung giá+lắp đặt)</t>
  </si>
  <si>
    <t>Dịch vụ lắp đặt Hệ thống ≥9000W (gồm tấm pin + khung giá + lắp đặt)</t>
  </si>
  <si>
    <t>Dịch vụ lắp đặt hệ thống ≥12000W (gồm tấm pin + khung giá + lắp đặt)</t>
  </si>
  <si>
    <t>Dịch vụ lắp đặt hệ thống ≥15000W (gồm tấm pin + khung giá + lắp đặt)</t>
  </si>
  <si>
    <t>Dịch vụ lắp đặt hệ thống ≥18000W (gồm tấm pin + khung giá + lắp đặt)</t>
  </si>
  <si>
    <t>Dịch vụ lắp đặt hệ thống ≥21000W (gồm tấm pin + khung giá + lắp đặt)</t>
  </si>
  <si>
    <t>Dịch vụ lắp đặt hệ thống ≥24000W (gồm tấm pin + khung giá + lắp đặt)</t>
  </si>
  <si>
    <t>Dịch vụ lắp đặt thiết bị làm mát</t>
  </si>
  <si>
    <t>Dịch vụ lắp đặt Thông gió lọc bụi</t>
  </si>
  <si>
    <t>Dịch vụ lắp đặt Thông gió trực tiếp cho AGG</t>
  </si>
  <si>
    <t>Dịch vụ lắp đặt Rectifier 3000W - Vendor ZTE</t>
  </si>
  <si>
    <t>Dịch vụ lắp đặt Rectifier- Vendor Delta</t>
  </si>
  <si>
    <t>Dịch vụ lắp đặt Bộ sạc PMT  S48-3000 tích hợp</t>
  </si>
  <si>
    <t>Dịch vụ lắp đặt PU-ZTE</t>
  </si>
  <si>
    <t>Dịch vụ lắp đặt Bộ sạc solar charger rời</t>
  </si>
  <si>
    <t>Dịch vụ lắp đặt Rectifier - Vendor Delta</t>
  </si>
  <si>
    <t>Dịch vụ lắp đặt Thông gió lọc bụi FAC</t>
  </si>
  <si>
    <t>Dịch vụ lắp đặt Solar charger rời</t>
  </si>
  <si>
    <t>Anten 4G 8 port 4 port 700-900 + 4P 1800-2600 MHz</t>
  </si>
  <si>
    <t>Huawei_SRAN Tripband eNodeB 700+800+900MHz (3 RRU 4x120w)(L111@15MHz+L111@10MHz ) 12Trx. Exclude BBU + BB card</t>
  </si>
  <si>
    <t xml:space="preserve"> Huawei_SRAN Tripband eNodeB 700+800+900MHz (3 RRU 4x120w)(L111@15MHz+L111@10MHz , 12TRx, BB card UBBPg2a) + 3 AISG</t>
  </si>
  <si>
    <t xml:space="preserve">ZTE_SRAN Tripband eNodeB 700+800+900MHz (3 RRU 4x120w)(L111@15MHz+L111@10MHz , 12TRx, excluse BBU + BB card </t>
  </si>
  <si>
    <t>ZTE_SRAN Tripband eNodeB 700+800+900MHz (3 RRU 4x120w)(L111@15MHz+L111@10MHz , 12TRx, BB VBPe3p)</t>
  </si>
  <si>
    <t>Huawei_SRAN dual band 1800-2100Mhz (3RRU 4T4R - 120W, L111@20MHz+L111@10MHz, 12TRx, BBU + BB UBBPh3a)</t>
  </si>
  <si>
    <t>Huawei_SRAN dual band 1800-2100Mhz (3RRU 4T4R - 120W, L111@20MHz+L111@10MHz, 12TRx, Excluse Baseband and BB card)</t>
  </si>
  <si>
    <t>eNodeB 8T8R 2600MHz (3 RRU 9 cell @20+20+20MHz) Excluse BBU and BB card</t>
  </si>
  <si>
    <t>Huawei_eNodeB 8T8R 2600MHz (3 RRU 9 cell @20+20+20MHz) Excluse BBU and BB card</t>
  </si>
  <si>
    <t>ZTE_SRAN dual band 1800-2100Mhz (3RRU 4T4R - 120W, L111@20MHz+L222@10MHz, U333, 12TRx + BB VBPe3p, Excluse BBU box)</t>
  </si>
  <si>
    <t>ZTE_SRAN dual band 1800-2100Mhz (3RRU 4T4R - 120W, L111@20MHz+L222@10MHz, U333, 12TRx) Excluse BBU box and BB card</t>
  </si>
  <si>
    <t>Huawei_eNodeB 32T32R Dualband 2600-3500MHz (3AAU 3 sector, 3 cell LTE TDD @20+20+20MHz per 1 sector  band 2600MHz and 1 cell NR @100MHz per 1 sector band C), Excluse BBU box.</t>
  </si>
  <si>
    <t>ZTE_eNodeB 32T32R Dualband 2600-3500MHz (3AAU 3 sector, 3 cell LTE TDD @20+20+20MHz per 1 sector  band 2600MHz and 1 cell NR @100MHz per 1 sector band C), Excluse BBU box.</t>
  </si>
  <si>
    <t>pcs</t>
  </si>
  <si>
    <t>Nâng cấp softwrae 2G</t>
  </si>
  <si>
    <t>Nâng cấp softwrae 4G</t>
  </si>
  <si>
    <t>Tính năng mới</t>
  </si>
  <si>
    <t>Service deploy BSC,  RNC (Huawei)</t>
  </si>
  <si>
    <t>Dịch vụ triển khai OMC</t>
  </si>
  <si>
    <t>BSC6910 (GSM: 2048) (SW) License</t>
  </si>
  <si>
    <t>NDS + NGI ZTE</t>
  </si>
  <si>
    <t>Package</t>
  </si>
  <si>
    <t>Huawei_RRU Tripband 700-800-900MHz 120W 4T4R</t>
  </si>
  <si>
    <t>Huawei_RRU dualband 1800-2100MHz 120W 4T4R</t>
  </si>
  <si>
    <t>ZTE_RRU Tripband 700-800-900MHz 120W 4T4R</t>
  </si>
  <si>
    <t>ZTE_RRU dualband 1800-2100MHz 120W 4T4R</t>
  </si>
  <si>
    <t>Module quang 1GE-10km</t>
  </si>
  <si>
    <t>Card NAT MS-MPC-128G</t>
  </si>
  <si>
    <t>6.7.3</t>
  </si>
  <si>
    <t>Thông gió lọc bụi FAC</t>
  </si>
  <si>
    <t>Ắc quy đề MPĐ</t>
  </si>
  <si>
    <t xml:space="preserve">Cầu dao đảo chiều 2P2N60A cực đúc - Vinakip </t>
  </si>
  <si>
    <t>Rơle 220VAC IDEC RU4S-A220</t>
  </si>
  <si>
    <t>Móng nhà Cont</t>
  </si>
  <si>
    <t>Bệ minishelter (3 tủ-1 IPS-2 battery minishelter)</t>
  </si>
  <si>
    <t>Bệ nhà máy nổ 12kVA</t>
  </si>
  <si>
    <t>Hàng rào xây gạch 8,0x7,7mx0,1m</t>
  </si>
  <si>
    <t>Móng</t>
  </si>
  <si>
    <t>Nhà Cont CO4</t>
  </si>
  <si>
    <t>6&lt;=H&lt;=24m</t>
  </si>
  <si>
    <t>24&lt;H&lt;=30m</t>
  </si>
  <si>
    <t>30&lt;H&lt;= 42m</t>
  </si>
  <si>
    <t>42&lt;H&lt;= 60m</t>
  </si>
  <si>
    <t>60 &lt;H&lt;=72m</t>
  </si>
  <si>
    <t>Cho Vùng phủ</t>
  </si>
  <si>
    <t>Viba</t>
  </si>
  <si>
    <t>Lắp đặt viba</t>
  </si>
  <si>
    <t>Triển khai cáp cho trạm dung lượng</t>
  </si>
  <si>
    <t>Triển khai cáp cho Tổng trạm mới</t>
  </si>
  <si>
    <t>Core tỉnh</t>
  </si>
  <si>
    <t>Core vùng</t>
  </si>
  <si>
    <t>Trực tiếp kinh doanh (ví)</t>
  </si>
  <si>
    <t>Nâng cấp DCIM, báo giá TT CĐS</t>
  </si>
  <si>
    <t>Gói các vật tư phục vụ UCTT tổng trạm</t>
  </si>
  <si>
    <t>Chi phí bảo dưỡng máy phát điện</t>
  </si>
  <si>
    <t>Chi phí bảo dưỡng hệ thống điện AC</t>
  </si>
  <si>
    <t>Chi phí bảo dưỡng hệ thống UPS</t>
  </si>
  <si>
    <t>200km cáp quang</t>
  </si>
  <si>
    <t>Thiết bị dự phòng SRT, module SRT, cáp quang, máy hàn cáp quang</t>
  </si>
  <si>
    <t>2027: Triển khai cáp quang kết nối 02 tổng trạm gồm 39Km cáp chôn, 39km cáp quang treo kiên cố và phụ kiện cáp quang kèm theo</t>
  </si>
  <si>
    <t>- Data Center (1017.8K USD): Mua IP cho triển khai tổng trạm mới (PEPS, IGW, CV Metro, DCN FW, DCN Switch) v theo nhu cầu triển khai tại tổng trạm mới</t>
  </si>
  <si>
    <t>2027:
'- Dung lượng Internet: 
   + IP (51.9K USD): Card 100G, module quang nâng cấp dung lượng ring AGG, CT; card 100G, 10G mở rộng giao diện PE, GW theo tỷ lệ dung lượng internet là 4%
'- Dung lượng di động: 
   + IP (1247.4K USD): Card 100G, module quang nâng cấp dung lượng ring AGG, CT; card 100G, 10G mở rộng giao diện PE, GW theo tỷ lệ dung lượng internet là 96%
2028: 
 Dung lượng Internet: 
   + IP (27.1K USD): Card 100G, module quang nâng cấp dung lượng ring AGG, CT; card 100G, 10G mở rộng giao diện PE, GW theo tỷ lệ dung lượng internet là 4%
'- Dung lượng di động: 
   + IP (652K USD): Card 100G, module quang nâng cấp dung lượng ring AGG, CT; card 100G, 10G mở rộng giao diện PE, GW theo tỷ lệ dung lượng internet là 96%</t>
  </si>
  <si>
    <t>- IP: Đảm bảo thiết bị site router cho 25 trạm 5G (2027), 22 trạm (2028)</t>
  </si>
  <si>
    <t>Đảm bảo truyền dẫn cho 65 trạm vô tuyến mới (site router, cáp quang, cột treo cáp, phụ kiện cáp quang) 2027, cho 90 trạm 2028</t>
  </si>
  <si>
    <t>License nâng cấp Viba 400Mbps</t>
  </si>
  <si>
    <t>Module new site - 10GE-10km</t>
  </si>
  <si>
    <t>Module new site - 1GE-10km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</si>
</sst>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0">
    <numFmt numFmtId="41" formatCode="_(* #,##0_);_(* \(#,##0\);_(* &quot;-&quot;_);_(@_)"/>
    <numFmt numFmtId="43" formatCode="_(* #,##0.00_);_(* \(#,##0.00\);_(* &quot;-&quot;??_);_(@_)"/>
    <numFmt numFmtId="164" formatCode="_-* #,##0.00\ _₫_-;\-* #,##0.00\ _₫_-;_-* &quot;-&quot;??\ _₫_-;_-@_-"/>
    <numFmt numFmtId="165" formatCode="_-* #,##0\ _€_-;\-* #,##0\ _€_-;_-* &quot;-&quot;??\ _€_-;_-@_-"/>
    <numFmt numFmtId="166" formatCode="_(* #,##0_);_(* \(#,##0\);_(* &quot;-&quot;??_);_(@_)"/>
    <numFmt numFmtId="167" formatCode="_(* #,##0.0_);_(* \(#,##0.0\);_(* &quot;-&quot;??_);_(@_)"/>
    <numFmt numFmtId="168" formatCode="0.0%"/>
    <numFmt numFmtId="169" formatCode="_-* #,##0.00\ _€_-;\-* #,##0.00\ _€_-;_-* &quot;-&quot;??\ _€_-;_-@_-"/>
    <numFmt numFmtId="170" formatCode="_(* #,##0.000_);_(* \(#,##0.000\);_(* &quot;-&quot;??_);_(@_)"/>
    <numFmt numFmtId="171" formatCode="_-* #,##0.0\ _₫_-;\-* #,##0.0\ _₫_-;_-* &quot;-&quot;??\ _₫_-;_-@_-"/>
    <numFmt numFmtId="172" formatCode="[$-409]dd\-mmm\-yy;@"/>
    <numFmt numFmtId="173" formatCode="_([$€-2]* #,##0.00_);_([$€-2]* \(#,##0.00\);_([$€-2]* &quot;-&quot;??_)"/>
    <numFmt numFmtId="174" formatCode="_-* #,##0.00_-;\-* #,##0.00_-;_-* &quot;-&quot;??_-;_-@_-"/>
    <numFmt numFmtId="175" formatCode="_(* #.##0.00_);_(* \(#.##0.00\);_(* &quot;-&quot;??_);_(@_)"/>
    <numFmt numFmtId="176" formatCode="_(* #,##0.0000_);_(* \(#,##0.0000\);_(* &quot;-&quot;??_);_(@_)"/>
    <numFmt numFmtId="177" formatCode="_-* #,##0_-;\-* #,##0_-;_-* &quot;-&quot;_-;_-@_-"/>
    <numFmt numFmtId="178" formatCode="_([$€-2]* #.##0.00_);_([$€-2]* \(#.##0.00\);_([$€-2]* &quot;-&quot;??_)"/>
    <numFmt numFmtId="179" formatCode="_-* #,##0_-;\-* #,##0_-;_-* &quot;-&quot;_-;_-@"/>
    <numFmt numFmtId="180" formatCode="#,##0.0"/>
    <numFmt numFmtId="181" formatCode="0.0"/>
  </numFmts>
  <fonts count="49">
    <font>
      <sz val="11"/>
      <color theme="1"/>
      <name val="Calibri"/>
      <family val="2"/>
      <scheme val="minor"/>
    </font>
    <font>
      <sz val="11"/>
      <color theme="1"/>
      <name val="Calibri"/>
      <family val="2"/>
      <charset val="163"/>
      <scheme val="minor"/>
    </font>
    <font>
      <sz val="11"/>
      <color theme="1"/>
      <name val="Calibri"/>
      <family val="2"/>
      <charset val="163"/>
      <scheme val="minor"/>
    </font>
    <font>
      <sz val="11"/>
      <color theme="1"/>
      <name val="Calibri"/>
      <family val="2"/>
      <charset val="163"/>
      <scheme val="minor"/>
    </font>
    <font>
      <sz val="11"/>
      <color theme="1"/>
      <name val="Calibri"/>
      <family val="2"/>
      <scheme val="minor"/>
    </font>
    <font>
      <sz val="10"/>
      <name val="Times New Roman"/>
      <family val="1"/>
    </font>
    <font>
      <b/>
      <sz val="10"/>
      <name val="Times New Roman"/>
      <family val="1"/>
    </font>
    <font>
      <b/>
      <sz val="14"/>
      <name val="Times New Roman"/>
      <family val="1"/>
    </font>
    <font>
      <i/>
      <sz val="10"/>
      <name val="Times New Roman"/>
      <family val="1"/>
    </font>
    <font>
      <sz val="10"/>
      <name val="Arial"/>
      <family val="2"/>
    </font>
    <font>
      <b/>
      <i/>
      <sz val="10"/>
      <name val="Times New Roman"/>
      <family val="1"/>
    </font>
    <font>
      <b/>
      <sz val="10"/>
      <color rgb="FFFF0000"/>
      <name val="Times New Roman"/>
      <family val="1"/>
    </font>
    <font>
      <sz val="11"/>
      <color theme="1"/>
      <name val="Calibri"/>
      <family val="2"/>
      <charset val="163"/>
      <scheme val="minor"/>
    </font>
    <font>
      <sz val="11"/>
      <name val="Times New Roman"/>
      <family val="1"/>
    </font>
    <font>
      <b/>
      <sz val="9"/>
      <color indexed="81"/>
      <name val="Tahoma"/>
      <family val="2"/>
    </font>
    <font>
      <sz val="9"/>
      <color indexed="81"/>
      <name val="Tahoma"/>
      <family val="2"/>
    </font>
    <font>
      <sz val="10"/>
      <color rgb="FFFF0000"/>
      <name val="Times New Roman"/>
      <family val="1"/>
    </font>
    <font>
      <i/>
      <sz val="10"/>
      <color rgb="FFFF0000"/>
      <name val="Times New Roman"/>
      <family val="1"/>
    </font>
    <font>
      <sz val="10"/>
      <color theme="1"/>
      <name val="Times New Roman"/>
      <family val="1"/>
    </font>
    <font>
      <b/>
      <sz val="10"/>
      <color theme="1"/>
      <name val="Times New Roman"/>
      <family val="1"/>
    </font>
    <font>
      <sz val="8.25"/>
      <name val="Microsoft Sans Serif"/>
      <family val="2"/>
    </font>
    <font>
      <sz val="10"/>
      <color theme="1"/>
      <name val="Arial"/>
      <family val="2"/>
    </font>
    <font>
      <sz val="8.25"/>
      <name val="Microsoft Sans Serif"/>
      <family val="2"/>
      <charset val="163"/>
    </font>
    <font>
      <sz val="10"/>
      <name val=".VnArial"/>
      <family val="2"/>
    </font>
    <font>
      <sz val="12"/>
      <color theme="1"/>
      <name val="Times New Roman"/>
      <family val="2"/>
    </font>
    <font>
      <sz val="10"/>
      <name val="Arial"/>
      <family val="2"/>
      <charset val="163"/>
    </font>
    <font>
      <b/>
      <sz val="10"/>
      <color theme="0"/>
      <name val="Times New Roman"/>
      <family val="1"/>
    </font>
    <font>
      <sz val="8"/>
      <color rgb="FFFF0000"/>
      <name val="Times New Roman"/>
      <family val="1"/>
    </font>
    <font>
      <sz val="10"/>
      <color rgb="FF0000FF"/>
      <name val="Times New Roman"/>
      <family val="1"/>
    </font>
    <font>
      <b/>
      <sz val="10"/>
      <color rgb="FF0000FF"/>
      <name val="Times New Roman"/>
      <family val="1"/>
    </font>
    <font>
      <sz val="10"/>
      <color theme="0"/>
      <name val="Times New Roman"/>
      <family val="1"/>
    </font>
    <font>
      <b/>
      <sz val="10"/>
      <color rgb="FFEE0033"/>
      <name val="Times New Roman"/>
      <family val="1"/>
    </font>
    <font>
      <b/>
      <i/>
      <sz val="10"/>
      <color rgb="FFFF0000"/>
      <name val="Times New Roman"/>
      <family val="1"/>
    </font>
    <font>
      <b/>
      <i/>
      <sz val="10"/>
      <color rgb="FFEE0033"/>
      <name val="Times New Roman"/>
      <family val="1"/>
    </font>
    <font>
      <i/>
      <sz val="14"/>
      <name val="Times New Roman"/>
      <family val="1"/>
    </font>
    <font>
      <sz val="11"/>
      <color theme="1"/>
      <name val="Times New Roman"/>
      <family val="1"/>
    </font>
    <font>
      <sz val="12"/>
      <color theme="1"/>
      <name val="Calibri"/>
      <family val="2"/>
      <scheme val="minor"/>
    </font>
    <font>
      <sz val="10"/>
      <name val="Arial"/>
      <family val="2"/>
    </font>
    <font>
      <sz val="11"/>
      <color indexed="8"/>
      <name val="Calibri"/>
      <family val="2"/>
      <charset val="163"/>
    </font>
    <font>
      <b/>
      <sz val="11"/>
      <color theme="1"/>
      <name val="Times New Roman"/>
      <family val="1"/>
    </font>
    <font>
      <sz val="11"/>
      <color rgb="FFFF0000"/>
      <name val="Times New Roman"/>
      <family val="1"/>
    </font>
    <font>
      <b/>
      <sz val="11"/>
      <name val="Times New Roman"/>
      <family val="1"/>
    </font>
    <font>
      <i/>
      <sz val="11"/>
      <name val="Times New Roman"/>
      <family val="1"/>
    </font>
    <font>
      <sz val="11"/>
      <color rgb="FFEE0033"/>
      <name val="Times New Roman"/>
      <family val="1"/>
    </font>
    <font>
      <sz val="11"/>
      <color rgb="FF0000FF"/>
      <name val="Times New Roman"/>
      <family val="1"/>
    </font>
    <font>
      <b/>
      <sz val="11"/>
      <color rgb="FF0000FF"/>
      <name val="Times New Roman"/>
      <family val="1"/>
    </font>
    <font>
      <b/>
      <sz val="11"/>
      <color rgb="FFFF0000"/>
      <name val="Times New Roman"/>
      <family val="1"/>
    </font>
    <font>
      <b/>
      <i/>
      <sz val="11"/>
      <name val="Times New Roman"/>
      <family val="1"/>
    </font>
    <font>
      <sz val="11"/>
      <color rgb="FF000000"/>
      <name val="Times New Roman"/>
      <family val="1"/>
    </font>
  </fonts>
  <fills count="30">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5" tint="0.59999389629810485"/>
        <bgColor indexed="64"/>
      </patternFill>
    </fill>
    <fill>
      <patternFill patternType="solid">
        <fgColor theme="3" tint="0.59999389629810485"/>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7" tint="0.39997558519241921"/>
        <bgColor indexed="64"/>
      </patternFill>
    </fill>
    <fill>
      <patternFill patternType="solid">
        <fgColor theme="5" tint="0.79998168889431442"/>
        <bgColor indexed="64"/>
      </patternFill>
    </fill>
    <fill>
      <patternFill patternType="solid">
        <fgColor rgb="FFFF0000"/>
        <bgColor indexed="64"/>
      </patternFill>
    </fill>
    <fill>
      <patternFill patternType="solid">
        <fgColor theme="4" tint="0.79998168889431442"/>
        <bgColor indexed="64"/>
      </patternFill>
    </fill>
    <fill>
      <patternFill patternType="solid">
        <fgColor theme="4" tint="0.59999389629810485"/>
        <bgColor indexed="64"/>
      </patternFill>
    </fill>
    <fill>
      <patternFill patternType="solid">
        <fgColor theme="5" tint="0.39997558519241921"/>
        <bgColor indexed="64"/>
      </patternFill>
    </fill>
    <fill>
      <patternFill patternType="solid">
        <fgColor rgb="FFFFFFFF"/>
        <bgColor indexed="64"/>
      </patternFill>
    </fill>
    <fill>
      <patternFill patternType="solid">
        <fgColor theme="3" tint="0.79998168889431442"/>
        <bgColor indexed="64"/>
      </patternFill>
    </fill>
    <fill>
      <patternFill patternType="solid">
        <fgColor theme="4" tint="0.39997558519241921"/>
        <bgColor indexed="64"/>
      </patternFill>
    </fill>
    <fill>
      <patternFill patternType="solid">
        <fgColor theme="9" tint="0.59999389629810485"/>
        <bgColor indexed="64"/>
      </patternFill>
    </fill>
    <fill>
      <patternFill patternType="solid">
        <fgColor theme="8" tint="0.79998168889431442"/>
        <bgColor indexed="64"/>
      </patternFill>
    </fill>
    <fill>
      <patternFill patternType="solid">
        <fgColor rgb="FFEE0033"/>
        <bgColor indexed="64"/>
      </patternFill>
    </fill>
    <fill>
      <patternFill patternType="solid">
        <fgColor rgb="FF00B0F0"/>
        <bgColor indexed="64"/>
      </patternFill>
    </fill>
    <fill>
      <patternFill patternType="solid">
        <fgColor rgb="FF00B050"/>
        <bgColor indexed="64"/>
      </patternFill>
    </fill>
    <fill>
      <patternFill patternType="solid">
        <fgColor rgb="FFFFC000"/>
        <bgColor indexed="64"/>
      </patternFill>
    </fill>
    <fill>
      <patternFill patternType="solid">
        <fgColor theme="4"/>
        <bgColor theme="4"/>
      </patternFill>
    </fill>
    <fill>
      <patternFill patternType="solid">
        <fgColor rgb="FFFFFFFF"/>
        <bgColor rgb="FFFFFFFF"/>
      </patternFill>
    </fill>
    <fill>
      <patternFill patternType="solid">
        <fgColor theme="0"/>
        <bgColor theme="0"/>
      </patternFill>
    </fill>
    <fill>
      <patternFill patternType="solid">
        <fgColor theme="0" tint="-0.14999847407452621"/>
        <bgColor indexed="64"/>
      </patternFill>
    </fill>
    <fill>
      <patternFill patternType="solid">
        <fgColor rgb="FF92D050"/>
        <bgColor indexed="64"/>
      </patternFill>
    </fill>
    <fill>
      <patternFill patternType="solid">
        <fgColor rgb="FF92D050"/>
        <bgColor rgb="FFFFFFFF"/>
      </patternFill>
    </fill>
    <fill>
      <patternFill patternType="solid">
        <fgColor theme="8" tint="0.39997558519241921"/>
        <bgColor indexed="64"/>
      </patternFill>
    </fill>
  </fills>
  <borders count="16">
    <border>
      <left/>
      <right/>
      <top/>
      <bottom/>
      <diagonal/>
    </border>
    <border>
      <left/>
      <right/>
      <top/>
      <bottom style="thin">
        <color auto="1"/>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bottom/>
      <diagonal/>
    </border>
    <border>
      <left style="thin">
        <color rgb="FF000000"/>
      </left>
      <right style="thin">
        <color rgb="FF000000"/>
      </right>
      <top style="thin">
        <color rgb="FF000000"/>
      </top>
      <bottom style="thin">
        <color rgb="FF000000"/>
      </bottom>
      <diagonal/>
    </border>
    <border>
      <left style="medium">
        <color indexed="64"/>
      </left>
      <right style="thin">
        <color auto="1"/>
      </right>
      <top style="thin">
        <color auto="1"/>
      </top>
      <bottom style="thin">
        <color auto="1"/>
      </bottom>
      <diagonal/>
    </border>
  </borders>
  <cellStyleXfs count="289">
    <xf numFmtId="0" fontId="0" fillId="0" borderId="0"/>
    <xf numFmtId="43" fontId="4" fillId="0" borderId="0" applyFont="0" applyFill="0" applyBorder="0" applyAlignment="0" applyProtection="0"/>
    <xf numFmtId="9" fontId="4" fillId="0" borderId="0" applyFont="0" applyFill="0" applyBorder="0" applyAlignment="0" applyProtection="0"/>
    <xf numFmtId="43" fontId="4" fillId="0" borderId="0" applyFont="0" applyFill="0" applyBorder="0" applyAlignment="0" applyProtection="0"/>
    <xf numFmtId="0" fontId="9" fillId="0" borderId="0">
      <alignment vertical="top"/>
    </xf>
    <xf numFmtId="43" fontId="9" fillId="0" borderId="0" applyFont="0" applyFill="0" applyBorder="0" applyAlignment="0" applyProtection="0"/>
    <xf numFmtId="169" fontId="4" fillId="0" borderId="0" applyFont="0" applyFill="0" applyBorder="0" applyAlignment="0" applyProtection="0"/>
    <xf numFmtId="0" fontId="9" fillId="0" borderId="0">
      <alignment vertical="top"/>
    </xf>
    <xf numFmtId="0" fontId="12" fillId="0" borderId="0"/>
    <xf numFmtId="43" fontId="9" fillId="0" borderId="0" applyFont="0" applyFill="0" applyBorder="0" applyAlignment="0" applyProtection="0"/>
    <xf numFmtId="43" fontId="9" fillId="0" borderId="0" applyFont="0" applyFill="0" applyBorder="0" applyAlignment="0" applyProtection="0"/>
    <xf numFmtId="0" fontId="4" fillId="0" borderId="0"/>
    <xf numFmtId="43" fontId="9" fillId="0" borderId="0" applyFont="0" applyFill="0" applyBorder="0" applyAlignment="0" applyProtection="0"/>
    <xf numFmtId="43" fontId="9" fillId="0" borderId="0" applyFont="0" applyFill="0" applyBorder="0" applyAlignment="0" applyProtection="0"/>
    <xf numFmtId="43" fontId="4"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4" fillId="0" borderId="0"/>
    <xf numFmtId="0" fontId="4" fillId="0" borderId="0"/>
    <xf numFmtId="0" fontId="12" fillId="0" borderId="0"/>
    <xf numFmtId="0" fontId="9" fillId="0" borderId="0"/>
    <xf numFmtId="172" fontId="4" fillId="0" borderId="0"/>
    <xf numFmtId="164" fontId="9" fillId="0" borderId="0" applyFont="0" applyFill="0" applyBorder="0" applyAlignment="0" applyProtection="0"/>
    <xf numFmtId="9" fontId="9" fillId="0" borderId="0" applyFont="0" applyFill="0" applyBorder="0" applyAlignment="0" applyProtection="0"/>
    <xf numFmtId="164" fontId="9" fillId="0" borderId="0" applyFont="0" applyFill="0" applyBorder="0" applyAlignment="0" applyProtection="0"/>
    <xf numFmtId="0" fontId="12" fillId="0" borderId="0"/>
    <xf numFmtId="0" fontId="12" fillId="0" borderId="0"/>
    <xf numFmtId="173" fontId="4" fillId="0" borderId="0"/>
    <xf numFmtId="0" fontId="12" fillId="0" borderId="0"/>
    <xf numFmtId="0" fontId="4" fillId="0" borderId="0"/>
    <xf numFmtId="0" fontId="20" fillId="0" borderId="0">
      <protection locked="0"/>
    </xf>
    <xf numFmtId="0" fontId="4" fillId="0" borderId="0"/>
    <xf numFmtId="0" fontId="4" fillId="0" borderId="0"/>
    <xf numFmtId="0" fontId="4" fillId="0" borderId="0"/>
    <xf numFmtId="0" fontId="4" fillId="0" borderId="0"/>
    <xf numFmtId="0" fontId="4" fillId="0" borderId="0"/>
    <xf numFmtId="174" fontId="4" fillId="0" borderId="0" applyFont="0" applyFill="0" applyBorder="0" applyAlignment="0" applyProtection="0"/>
    <xf numFmtId="0" fontId="9" fillId="0" borderId="0">
      <alignment vertical="top"/>
    </xf>
    <xf numFmtId="43" fontId="9" fillId="0" borderId="0" applyFont="0" applyFill="0" applyBorder="0" applyAlignment="0" applyProtection="0"/>
    <xf numFmtId="0" fontId="4" fillId="0" borderId="0"/>
    <xf numFmtId="0" fontId="4" fillId="0" borderId="0"/>
    <xf numFmtId="164" fontId="4" fillId="0" borderId="0" applyFont="0" applyFill="0" applyBorder="0" applyAlignment="0" applyProtection="0"/>
    <xf numFmtId="43" fontId="4" fillId="0" borderId="0" applyFont="0" applyFill="0" applyBorder="0" applyAlignment="0" applyProtection="0"/>
    <xf numFmtId="0" fontId="20" fillId="0" borderId="0">
      <protection locked="0"/>
    </xf>
    <xf numFmtId="0" fontId="20" fillId="0" borderId="0">
      <protection locked="0"/>
    </xf>
    <xf numFmtId="0" fontId="4" fillId="0" borderId="0"/>
    <xf numFmtId="0" fontId="21" fillId="0" borderId="0"/>
    <xf numFmtId="173" fontId="9" fillId="0" borderId="0">
      <alignment vertical="top"/>
    </xf>
    <xf numFmtId="43" fontId="4"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173" fontId="22" fillId="0" borderId="0">
      <protection locked="0"/>
    </xf>
    <xf numFmtId="0" fontId="9" fillId="0" borderId="0">
      <alignment vertical="top"/>
    </xf>
    <xf numFmtId="43" fontId="23" fillId="0" borderId="0" applyFont="0" applyFill="0" applyBorder="0" applyAlignment="0" applyProtection="0"/>
    <xf numFmtId="0" fontId="9" fillId="0" borderId="0">
      <alignment vertical="top"/>
    </xf>
    <xf numFmtId="0" fontId="23" fillId="0" borderId="0">
      <alignment vertical="top"/>
    </xf>
    <xf numFmtId="9" fontId="23" fillId="0" borderId="0" applyFont="0" applyFill="0" applyBorder="0" applyAlignment="0" applyProtection="0"/>
    <xf numFmtId="0" fontId="23" fillId="0" borderId="0">
      <alignment vertical="top"/>
    </xf>
    <xf numFmtId="43" fontId="4" fillId="0" borderId="0" applyFont="0" applyFill="0" applyBorder="0" applyAlignment="0" applyProtection="0"/>
    <xf numFmtId="174" fontId="4" fillId="0" borderId="0" applyFont="0" applyFill="0" applyBorder="0" applyAlignment="0" applyProtection="0"/>
    <xf numFmtId="0" fontId="12" fillId="0" borderId="0"/>
    <xf numFmtId="164" fontId="12" fillId="0" borderId="0" applyFont="0" applyFill="0" applyBorder="0" applyAlignment="0" applyProtection="0"/>
    <xf numFmtId="0" fontId="24" fillId="0" borderId="0"/>
    <xf numFmtId="0" fontId="9" fillId="0" borderId="0"/>
    <xf numFmtId="0" fontId="12" fillId="0" borderId="0"/>
    <xf numFmtId="164" fontId="12" fillId="0" borderId="0" applyFont="0" applyFill="0" applyBorder="0" applyAlignment="0" applyProtection="0"/>
    <xf numFmtId="0" fontId="25" fillId="0" borderId="0"/>
    <xf numFmtId="164" fontId="12" fillId="0" borderId="0" applyFont="0" applyFill="0" applyBorder="0" applyAlignment="0" applyProtection="0"/>
    <xf numFmtId="164" fontId="12" fillId="0" borderId="0" applyFont="0" applyFill="0" applyBorder="0" applyAlignment="0" applyProtection="0"/>
    <xf numFmtId="0" fontId="24" fillId="0" borderId="0"/>
    <xf numFmtId="0" fontId="20" fillId="0" borderId="0">
      <protection locked="0"/>
    </xf>
    <xf numFmtId="0" fontId="12" fillId="0" borderId="0"/>
    <xf numFmtId="0" fontId="4" fillId="0" borderId="0"/>
    <xf numFmtId="0" fontId="12" fillId="0" borderId="0"/>
    <xf numFmtId="164" fontId="12" fillId="0" borderId="0" applyFont="0" applyFill="0" applyBorder="0" applyAlignment="0" applyProtection="0"/>
    <xf numFmtId="0" fontId="12" fillId="0" borderId="0"/>
    <xf numFmtId="164" fontId="12"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0" fontId="12"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64" fontId="3" fillId="0" borderId="0" applyFont="0" applyFill="0" applyBorder="0" applyAlignment="0" applyProtection="0"/>
    <xf numFmtId="0" fontId="3" fillId="0" borderId="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0" fontId="3" fillId="0" borderId="0"/>
    <xf numFmtId="0" fontId="3" fillId="0" borderId="0"/>
    <xf numFmtId="164" fontId="3" fillId="0" borderId="0" applyFont="0" applyFill="0" applyBorder="0" applyAlignment="0" applyProtection="0"/>
    <xf numFmtId="0" fontId="3" fillId="0" borderId="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0" fontId="3"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64" fontId="2" fillId="0" borderId="0" applyFont="0" applyFill="0" applyBorder="0" applyAlignment="0" applyProtection="0"/>
    <xf numFmtId="0" fontId="2" fillId="0" borderId="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0" fontId="2" fillId="0" borderId="0"/>
    <xf numFmtId="0" fontId="2" fillId="0" borderId="0"/>
    <xf numFmtId="164" fontId="2" fillId="0" borderId="0" applyFont="0" applyFill="0" applyBorder="0" applyAlignment="0" applyProtection="0"/>
    <xf numFmtId="0" fontId="2" fillId="0" borderId="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64" fontId="2" fillId="0" borderId="0" applyFont="0" applyFill="0" applyBorder="0" applyAlignment="0" applyProtection="0"/>
    <xf numFmtId="0" fontId="2" fillId="0" borderId="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0" fontId="2" fillId="0" borderId="0"/>
    <xf numFmtId="0" fontId="2" fillId="0" borderId="0"/>
    <xf numFmtId="164" fontId="2" fillId="0" borderId="0" applyFont="0" applyFill="0" applyBorder="0" applyAlignment="0" applyProtection="0"/>
    <xf numFmtId="0" fontId="2" fillId="0" borderId="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0" fontId="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64" fontId="1" fillId="0" borderId="0" applyFont="0" applyFill="0" applyBorder="0" applyAlignment="0" applyProtection="0"/>
    <xf numFmtId="0" fontId="1" fillId="0" borderId="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0" fontId="1" fillId="0" borderId="0"/>
    <xf numFmtId="0" fontId="1" fillId="0" borderId="0"/>
    <xf numFmtId="164" fontId="1" fillId="0" borderId="0" applyFont="0" applyFill="0" applyBorder="0" applyAlignment="0" applyProtection="0"/>
    <xf numFmtId="0" fontId="1" fillId="0" borderId="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64" fontId="1" fillId="0" borderId="0" applyFont="0" applyFill="0" applyBorder="0" applyAlignment="0" applyProtection="0"/>
    <xf numFmtId="0" fontId="1" fillId="0" borderId="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0" fontId="1" fillId="0" borderId="0"/>
    <xf numFmtId="0" fontId="1" fillId="0" borderId="0"/>
    <xf numFmtId="164" fontId="1" fillId="0" borderId="0" applyFont="0" applyFill="0" applyBorder="0" applyAlignment="0" applyProtection="0"/>
    <xf numFmtId="0" fontId="1" fillId="0" borderId="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64" fontId="1" fillId="0" borderId="0" applyFont="0" applyFill="0" applyBorder="0" applyAlignment="0" applyProtection="0"/>
    <xf numFmtId="0" fontId="1" fillId="0" borderId="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0" fontId="1" fillId="0" borderId="0"/>
    <xf numFmtId="0" fontId="1" fillId="0" borderId="0"/>
    <xf numFmtId="164" fontId="1" fillId="0" borderId="0" applyFont="0" applyFill="0" applyBorder="0" applyAlignment="0" applyProtection="0"/>
    <xf numFmtId="0" fontId="1" fillId="0" borderId="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64" fontId="1" fillId="0" borderId="0" applyFont="0" applyFill="0" applyBorder="0" applyAlignment="0" applyProtection="0"/>
    <xf numFmtId="0" fontId="1" fillId="0" borderId="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0" fontId="1" fillId="0" borderId="0"/>
    <xf numFmtId="0" fontId="1" fillId="0" borderId="0"/>
    <xf numFmtId="164" fontId="1" fillId="0" borderId="0" applyFont="0" applyFill="0" applyBorder="0" applyAlignment="0" applyProtection="0"/>
    <xf numFmtId="0" fontId="1" fillId="0" borderId="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0" fontId="1" fillId="0" borderId="0"/>
    <xf numFmtId="0" fontId="20" fillId="0" borderId="0">
      <protection locked="0"/>
    </xf>
    <xf numFmtId="0" fontId="9" fillId="0" borderId="0"/>
    <xf numFmtId="175" fontId="9" fillId="0" borderId="0" applyFont="0" applyFill="0" applyBorder="0" applyAlignment="0" applyProtection="0"/>
    <xf numFmtId="173" fontId="4" fillId="0" borderId="0"/>
    <xf numFmtId="173" fontId="9" fillId="0" borderId="0"/>
    <xf numFmtId="43" fontId="4" fillId="0" borderId="0" applyFont="0" applyFill="0" applyBorder="0" applyAlignment="0" applyProtection="0"/>
    <xf numFmtId="0" fontId="1" fillId="0" borderId="0"/>
    <xf numFmtId="0" fontId="9" fillId="0" borderId="0"/>
    <xf numFmtId="177" fontId="4" fillId="0" borderId="0" applyFont="0" applyFill="0" applyBorder="0" applyAlignment="0" applyProtection="0"/>
    <xf numFmtId="0" fontId="36" fillId="0" borderId="0"/>
    <xf numFmtId="173" fontId="4" fillId="0" borderId="0"/>
    <xf numFmtId="173" fontId="4" fillId="0" borderId="0"/>
    <xf numFmtId="0" fontId="4" fillId="0" borderId="0"/>
    <xf numFmtId="173" fontId="4" fillId="0" borderId="0"/>
    <xf numFmtId="43" fontId="4" fillId="0" borderId="0" applyFont="0" applyFill="0" applyBorder="0" applyAlignment="0" applyProtection="0"/>
    <xf numFmtId="0" fontId="4" fillId="0" borderId="0"/>
    <xf numFmtId="173" fontId="4" fillId="0" borderId="0"/>
    <xf numFmtId="0" fontId="9" fillId="0" borderId="0"/>
    <xf numFmtId="0" fontId="9" fillId="0" borderId="0"/>
    <xf numFmtId="178" fontId="4" fillId="0" borderId="0"/>
    <xf numFmtId="0" fontId="9" fillId="0" borderId="0"/>
    <xf numFmtId="0" fontId="9" fillId="0" borderId="0"/>
    <xf numFmtId="0" fontId="36" fillId="0" borderId="0"/>
    <xf numFmtId="0" fontId="4" fillId="0" borderId="0"/>
    <xf numFmtId="0" fontId="37" fillId="0" borderId="0"/>
    <xf numFmtId="43" fontId="38"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1" fontId="4" fillId="0" borderId="0" applyFont="0" applyFill="0" applyBorder="0" applyAlignment="0" applyProtection="0"/>
  </cellStyleXfs>
  <cellXfs count="763">
    <xf numFmtId="0" fontId="0" fillId="0" borderId="0" xfId="0"/>
    <xf numFmtId="0" fontId="5" fillId="2" borderId="3" xfId="0" applyFont="1" applyFill="1" applyBorder="1" applyAlignment="1">
      <alignment horizontal="center" vertical="center"/>
    </xf>
    <xf numFmtId="0" fontId="5" fillId="2" borderId="3" xfId="0" applyFont="1" applyFill="1" applyBorder="1" applyAlignment="1">
      <alignment vertical="center" wrapText="1"/>
    </xf>
    <xf numFmtId="166" fontId="6" fillId="2" borderId="3" xfId="1" applyNumberFormat="1" applyFont="1" applyFill="1" applyBorder="1" applyAlignment="1">
      <alignment vertical="center"/>
    </xf>
    <xf numFmtId="0" fontId="6" fillId="3" borderId="3" xfId="0" applyFont="1" applyFill="1" applyBorder="1" applyAlignment="1">
      <alignment horizontal="center" vertical="center"/>
    </xf>
    <xf numFmtId="0" fontId="6" fillId="3" borderId="3" xfId="0" applyFont="1" applyFill="1" applyBorder="1" applyAlignment="1">
      <alignment horizontal="center" vertical="center" wrapText="1"/>
    </xf>
    <xf numFmtId="0" fontId="5" fillId="0" borderId="0" xfId="0" applyFont="1" applyAlignment="1">
      <alignment vertical="center"/>
    </xf>
    <xf numFmtId="0" fontId="6" fillId="0" borderId="0" xfId="0" applyFont="1" applyAlignment="1">
      <alignment vertical="center"/>
    </xf>
    <xf numFmtId="0" fontId="5" fillId="0" borderId="0" xfId="0" applyFont="1" applyAlignment="1">
      <alignment horizontal="center" vertical="center"/>
    </xf>
    <xf numFmtId="0" fontId="18" fillId="0" borderId="0" xfId="0" applyFont="1" applyAlignment="1">
      <alignment vertical="center"/>
    </xf>
    <xf numFmtId="166" fontId="5" fillId="2" borderId="3" xfId="1" applyNumberFormat="1" applyFont="1" applyFill="1" applyBorder="1" applyAlignment="1">
      <alignment vertical="center"/>
    </xf>
    <xf numFmtId="0" fontId="6" fillId="2" borderId="3" xfId="0" applyFont="1" applyFill="1" applyBorder="1" applyAlignment="1">
      <alignment horizontal="left" vertical="center" wrapText="1"/>
    </xf>
    <xf numFmtId="0" fontId="5" fillId="0" borderId="0" xfId="0" applyFont="1"/>
    <xf numFmtId="166" fontId="5" fillId="2" borderId="3" xfId="1" applyNumberFormat="1" applyFont="1" applyFill="1" applyBorder="1" applyAlignment="1">
      <alignment horizontal="right" vertical="center"/>
    </xf>
    <xf numFmtId="0" fontId="6" fillId="0" borderId="3" xfId="0" applyFont="1" applyBorder="1" applyAlignment="1">
      <alignment horizontal="center" vertical="center" wrapText="1" readingOrder="1"/>
    </xf>
    <xf numFmtId="9" fontId="6" fillId="0" borderId="3" xfId="2" applyFont="1" applyFill="1" applyBorder="1" applyAlignment="1">
      <alignment horizontal="center" vertical="center" wrapText="1" readingOrder="1"/>
    </xf>
    <xf numFmtId="0" fontId="6" fillId="0" borderId="0" xfId="0" applyFont="1" applyAlignment="1">
      <alignment horizontal="center" vertical="center"/>
    </xf>
    <xf numFmtId="166" fontId="5" fillId="0" borderId="0" xfId="1" applyNumberFormat="1" applyFont="1" applyAlignment="1">
      <alignment vertical="center"/>
    </xf>
    <xf numFmtId="0" fontId="19" fillId="0" borderId="3" xfId="0" applyFont="1" applyBorder="1" applyAlignment="1">
      <alignment horizontal="center" vertical="center"/>
    </xf>
    <xf numFmtId="43" fontId="5" fillId="0" borderId="0" xfId="0" applyNumberFormat="1" applyFont="1" applyAlignment="1">
      <alignment vertical="center"/>
    </xf>
    <xf numFmtId="166" fontId="6" fillId="3" borderId="3" xfId="1" applyNumberFormat="1" applyFont="1" applyFill="1" applyBorder="1" applyAlignment="1">
      <alignment horizontal="center" vertical="center" wrapText="1"/>
    </xf>
    <xf numFmtId="0" fontId="6" fillId="7" borderId="3" xfId="0" applyFont="1" applyFill="1" applyBorder="1" applyAlignment="1">
      <alignment horizontal="center" vertical="center"/>
    </xf>
    <xf numFmtId="0" fontId="6" fillId="7" borderId="3" xfId="0" applyFont="1" applyFill="1" applyBorder="1" applyAlignment="1">
      <alignment horizontal="center" vertical="center" wrapText="1"/>
    </xf>
    <xf numFmtId="0" fontId="5" fillId="0" borderId="3" xfId="0" applyFont="1" applyBorder="1" applyAlignment="1">
      <alignment horizontal="center" vertical="center"/>
    </xf>
    <xf numFmtId="0" fontId="6" fillId="7" borderId="3" xfId="0" applyFont="1" applyFill="1" applyBorder="1" applyAlignment="1">
      <alignment horizontal="left" vertical="center" wrapText="1"/>
    </xf>
    <xf numFmtId="9" fontId="6" fillId="7" borderId="3" xfId="2" applyFont="1" applyFill="1" applyBorder="1" applyAlignment="1">
      <alignment horizontal="center" vertical="center" wrapText="1"/>
    </xf>
    <xf numFmtId="0" fontId="5" fillId="0" borderId="3" xfId="0" applyFont="1" applyBorder="1" applyAlignment="1">
      <alignment vertical="center" wrapText="1"/>
    </xf>
    <xf numFmtId="9" fontId="5" fillId="0" borderId="3" xfId="2" applyFont="1" applyBorder="1" applyAlignment="1">
      <alignment horizontal="center" vertical="center" wrapText="1"/>
    </xf>
    <xf numFmtId="0" fontId="5" fillId="14" borderId="3" xfId="0" applyFont="1" applyFill="1" applyBorder="1" applyAlignment="1">
      <alignment horizontal="center" vertical="center"/>
    </xf>
    <xf numFmtId="0" fontId="5" fillId="2" borderId="3" xfId="0" applyFont="1" applyFill="1" applyBorder="1" applyAlignment="1">
      <alignment horizontal="center" vertical="center" wrapText="1" readingOrder="1"/>
    </xf>
    <xf numFmtId="0" fontId="19" fillId="3" borderId="3" xfId="0" applyFont="1" applyFill="1" applyBorder="1" applyAlignment="1">
      <alignment horizontal="center" vertical="center"/>
    </xf>
    <xf numFmtId="166" fontId="6" fillId="2" borderId="3" xfId="1" applyNumberFormat="1" applyFont="1" applyFill="1" applyBorder="1" applyAlignment="1">
      <alignment horizontal="center" vertical="center" wrapText="1"/>
    </xf>
    <xf numFmtId="0" fontId="18" fillId="0" borderId="3" xfId="0" applyFont="1" applyBorder="1" applyAlignment="1">
      <alignment horizontal="center" vertical="center"/>
    </xf>
    <xf numFmtId="166" fontId="5" fillId="0" borderId="0" xfId="1" applyNumberFormat="1" applyFont="1"/>
    <xf numFmtId="167" fontId="5" fillId="0" borderId="0" xfId="1" applyNumberFormat="1" applyFont="1" applyAlignment="1">
      <alignment vertical="center"/>
    </xf>
    <xf numFmtId="168" fontId="5" fillId="14" borderId="3" xfId="2" applyNumberFormat="1" applyFont="1" applyFill="1" applyBorder="1" applyAlignment="1">
      <alignment horizontal="center" vertical="center" wrapText="1"/>
    </xf>
    <xf numFmtId="0" fontId="7" fillId="0" borderId="0" xfId="0" applyFont="1" applyAlignment="1">
      <alignment vertical="center"/>
    </xf>
    <xf numFmtId="168" fontId="5" fillId="0" borderId="0" xfId="0" applyNumberFormat="1" applyFont="1"/>
    <xf numFmtId="168" fontId="6" fillId="3" borderId="3" xfId="0" applyNumberFormat="1" applyFont="1" applyFill="1" applyBorder="1" applyAlignment="1">
      <alignment horizontal="center" vertical="center" wrapText="1"/>
    </xf>
    <xf numFmtId="166" fontId="5" fillId="2" borderId="3" xfId="1" applyNumberFormat="1" applyFont="1" applyFill="1" applyBorder="1" applyAlignment="1">
      <alignment horizontal="center" vertical="center" readingOrder="1"/>
    </xf>
    <xf numFmtId="166" fontId="5" fillId="2" borderId="3" xfId="1" applyNumberFormat="1" applyFont="1" applyFill="1" applyBorder="1" applyAlignment="1">
      <alignment horizontal="center" vertical="center" wrapText="1" readingOrder="1"/>
    </xf>
    <xf numFmtId="10" fontId="5" fillId="0" borderId="0" xfId="0" applyNumberFormat="1" applyFont="1"/>
    <xf numFmtId="9" fontId="13" fillId="0" borderId="3" xfId="2" applyFont="1" applyBorder="1" applyAlignment="1">
      <alignment horizontal="center" vertical="center" wrapText="1"/>
    </xf>
    <xf numFmtId="166" fontId="5" fillId="2" borderId="3" xfId="1" applyNumberFormat="1" applyFont="1" applyFill="1" applyBorder="1" applyAlignment="1">
      <alignment horizontal="center" vertical="center" wrapText="1"/>
    </xf>
    <xf numFmtId="166" fontId="6" fillId="7" borderId="3" xfId="1" applyNumberFormat="1" applyFont="1" applyFill="1" applyBorder="1" applyAlignment="1">
      <alignment horizontal="center" vertical="center" wrapText="1"/>
    </xf>
    <xf numFmtId="166" fontId="6" fillId="0" borderId="3" xfId="0" applyNumberFormat="1" applyFont="1" applyBorder="1" applyAlignment="1">
      <alignment horizontal="center" vertical="center"/>
    </xf>
    <xf numFmtId="168" fontId="6" fillId="17" borderId="3" xfId="2" applyNumberFormat="1" applyFont="1" applyFill="1" applyBorder="1" applyAlignment="1">
      <alignment horizontal="center" vertical="center" wrapText="1"/>
    </xf>
    <xf numFmtId="0" fontId="6" fillId="18" borderId="3" xfId="0" applyFont="1" applyFill="1" applyBorder="1" applyAlignment="1">
      <alignment horizontal="center" vertical="center"/>
    </xf>
    <xf numFmtId="0" fontId="6" fillId="18" borderId="3" xfId="0" applyFont="1" applyFill="1" applyBorder="1" applyAlignment="1">
      <alignment horizontal="left" vertical="center"/>
    </xf>
    <xf numFmtId="168" fontId="6" fillId="18" borderId="3" xfId="2" applyNumberFormat="1" applyFont="1" applyFill="1" applyBorder="1" applyAlignment="1">
      <alignment horizontal="center" vertical="center" wrapText="1"/>
    </xf>
    <xf numFmtId="9" fontId="6" fillId="17" borderId="3" xfId="2" applyFont="1" applyFill="1" applyBorder="1" applyAlignment="1">
      <alignment horizontal="center" vertical="center" wrapText="1"/>
    </xf>
    <xf numFmtId="9" fontId="5" fillId="2" borderId="3" xfId="2" applyFont="1" applyFill="1" applyBorder="1" applyAlignment="1">
      <alignment horizontal="center" vertical="center" wrapText="1"/>
    </xf>
    <xf numFmtId="0" fontId="6" fillId="16" borderId="3" xfId="0" applyFont="1" applyFill="1" applyBorder="1" applyAlignment="1">
      <alignment horizontal="center" vertical="center"/>
    </xf>
    <xf numFmtId="0" fontId="5" fillId="2" borderId="0" xfId="0" applyFont="1" applyFill="1" applyAlignment="1">
      <alignment vertical="center"/>
    </xf>
    <xf numFmtId="0" fontId="6" fillId="2" borderId="3" xfId="0" applyFont="1" applyFill="1" applyBorder="1" applyAlignment="1">
      <alignment horizontal="center" vertical="center"/>
    </xf>
    <xf numFmtId="0" fontId="5" fillId="2" borderId="3" xfId="0" applyFont="1" applyFill="1" applyBorder="1" applyAlignment="1">
      <alignment horizontal="left" vertical="center" wrapText="1"/>
    </xf>
    <xf numFmtId="0" fontId="6" fillId="2" borderId="0" xfId="0" applyFont="1" applyFill="1" applyAlignment="1">
      <alignment horizontal="center" vertical="center"/>
    </xf>
    <xf numFmtId="43" fontId="5" fillId="0" borderId="0" xfId="1" applyFont="1" applyAlignment="1">
      <alignment vertical="center"/>
    </xf>
    <xf numFmtId="0" fontId="6" fillId="4" borderId="3" xfId="0" applyFont="1" applyFill="1" applyBorder="1" applyAlignment="1">
      <alignment horizontal="left" vertical="center" wrapText="1"/>
    </xf>
    <xf numFmtId="9" fontId="6" fillId="4" borderId="3" xfId="2" applyFont="1" applyFill="1" applyBorder="1" applyAlignment="1">
      <alignment horizontal="center" vertical="center" wrapText="1"/>
    </xf>
    <xf numFmtId="0" fontId="6" fillId="17" borderId="3" xfId="0" applyFont="1" applyFill="1" applyBorder="1" applyAlignment="1">
      <alignment horizontal="center" vertical="center"/>
    </xf>
    <xf numFmtId="0" fontId="6" fillId="17" borderId="3" xfId="0" applyFont="1" applyFill="1" applyBorder="1" applyAlignment="1">
      <alignment vertical="center"/>
    </xf>
    <xf numFmtId="0" fontId="6" fillId="4" borderId="3" xfId="0" applyFont="1" applyFill="1" applyBorder="1" applyAlignment="1">
      <alignment horizontal="justify" vertical="center" wrapText="1"/>
    </xf>
    <xf numFmtId="0" fontId="16" fillId="0" borderId="3" xfId="0" applyFont="1" applyBorder="1" applyAlignment="1">
      <alignment horizontal="center" vertical="center" wrapText="1" readingOrder="1"/>
    </xf>
    <xf numFmtId="0" fontId="6" fillId="9" borderId="3" xfId="0" applyFont="1" applyFill="1" applyBorder="1" applyAlignment="1">
      <alignment horizontal="center" vertical="center" wrapText="1"/>
    </xf>
    <xf numFmtId="1" fontId="27" fillId="0" borderId="0" xfId="0" applyNumberFormat="1" applyFont="1" applyAlignment="1">
      <alignment horizontal="right" vertical="center"/>
    </xf>
    <xf numFmtId="0" fontId="11" fillId="0" borderId="6" xfId="0" applyFont="1" applyBorder="1" applyAlignment="1">
      <alignment horizontal="center" vertical="center" wrapText="1" readingOrder="1"/>
    </xf>
    <xf numFmtId="0" fontId="5" fillId="0" borderId="3" xfId="0" applyFont="1" applyBorder="1" applyAlignment="1">
      <alignment horizontal="center" vertical="center" wrapText="1" readingOrder="1"/>
    </xf>
    <xf numFmtId="166" fontId="5" fillId="0" borderId="3" xfId="1" applyNumberFormat="1" applyFont="1" applyFill="1" applyBorder="1" applyAlignment="1">
      <alignment horizontal="right" vertical="center"/>
    </xf>
    <xf numFmtId="166" fontId="5" fillId="0" borderId="0" xfId="0" applyNumberFormat="1" applyFont="1" applyAlignment="1">
      <alignment vertical="center"/>
    </xf>
    <xf numFmtId="0" fontId="5" fillId="2" borderId="3" xfId="0" applyFont="1" applyFill="1" applyBorder="1" applyAlignment="1">
      <alignment horizontal="center" vertical="center" readingOrder="1"/>
    </xf>
    <xf numFmtId="166" fontId="6" fillId="7" borderId="3" xfId="1" applyNumberFormat="1" applyFont="1" applyFill="1" applyBorder="1" applyAlignment="1">
      <alignment vertical="center"/>
    </xf>
    <xf numFmtId="0" fontId="6" fillId="2" borderId="0" xfId="0" applyFont="1" applyFill="1" applyAlignment="1">
      <alignment vertical="center"/>
    </xf>
    <xf numFmtId="0" fontId="5" fillId="2" borderId="0" xfId="0" applyFont="1" applyFill="1" applyAlignment="1">
      <alignment horizontal="center" vertical="center"/>
    </xf>
    <xf numFmtId="0" fontId="5" fillId="2" borderId="3" xfId="0" applyFont="1" applyFill="1" applyBorder="1" applyAlignment="1" applyProtection="1">
      <alignment horizontal="center" vertical="center"/>
      <protection locked="0"/>
    </xf>
    <xf numFmtId="0" fontId="5" fillId="9" borderId="0" xfId="0" applyFont="1" applyFill="1" applyAlignment="1">
      <alignment horizontal="center" vertical="center"/>
    </xf>
    <xf numFmtId="166" fontId="5" fillId="2" borderId="0" xfId="1" applyNumberFormat="1" applyFont="1" applyFill="1" applyAlignment="1">
      <alignment horizontal="right" vertical="center"/>
    </xf>
    <xf numFmtId="0" fontId="8" fillId="2" borderId="0" xfId="0" applyFont="1" applyFill="1" applyAlignment="1">
      <alignment horizontal="center" vertical="center"/>
    </xf>
    <xf numFmtId="0" fontId="8" fillId="2" borderId="0" xfId="0" applyFont="1" applyFill="1" applyAlignment="1">
      <alignment vertical="center"/>
    </xf>
    <xf numFmtId="0" fontId="6" fillId="4" borderId="3" xfId="0" applyFont="1" applyFill="1" applyBorder="1" applyAlignment="1">
      <alignment horizontal="center" vertical="center" wrapText="1"/>
    </xf>
    <xf numFmtId="166" fontId="6" fillId="4" borderId="3" xfId="1" applyNumberFormat="1" applyFont="1" applyFill="1" applyBorder="1" applyAlignment="1">
      <alignment horizontal="center" vertical="center" wrapText="1"/>
    </xf>
    <xf numFmtId="0" fontId="5" fillId="2" borderId="3" xfId="0" applyFont="1" applyFill="1" applyBorder="1" applyAlignment="1" applyProtection="1">
      <alignment horizontal="center" vertical="center" wrapText="1"/>
      <protection locked="0"/>
    </xf>
    <xf numFmtId="166" fontId="6" fillId="2" borderId="3" xfId="3" applyNumberFormat="1" applyFont="1" applyFill="1" applyBorder="1" applyAlignment="1">
      <alignment horizontal="right" vertical="center"/>
    </xf>
    <xf numFmtId="166" fontId="5" fillId="2" borderId="0" xfId="0" applyNumberFormat="1" applyFont="1" applyFill="1" applyAlignment="1">
      <alignment vertical="center"/>
    </xf>
    <xf numFmtId="43" fontId="6" fillId="2" borderId="0" xfId="0" applyNumberFormat="1" applyFont="1" applyFill="1" applyAlignment="1">
      <alignment vertical="center"/>
    </xf>
    <xf numFmtId="166" fontId="5" fillId="2" borderId="0" xfId="0" applyNumberFormat="1" applyFont="1" applyFill="1" applyAlignment="1">
      <alignment horizontal="center" vertical="center"/>
    </xf>
    <xf numFmtId="170" fontId="5" fillId="2" borderId="0" xfId="1" applyNumberFormat="1" applyFont="1" applyFill="1" applyAlignment="1">
      <alignment vertical="center"/>
    </xf>
    <xf numFmtId="0" fontId="5" fillId="2" borderId="3" xfId="0" applyFont="1" applyFill="1" applyBorder="1" applyAlignment="1">
      <alignment horizontal="left" vertical="center"/>
    </xf>
    <xf numFmtId="0" fontId="5" fillId="2" borderId="3" xfId="0" applyFont="1" applyFill="1" applyBorder="1" applyAlignment="1" applyProtection="1">
      <alignment horizontal="left" vertical="center"/>
      <protection locked="0"/>
    </xf>
    <xf numFmtId="0" fontId="5" fillId="0" borderId="0" xfId="0" applyFont="1" applyAlignment="1" applyProtection="1">
      <alignment horizontal="center" vertical="center"/>
      <protection locked="0"/>
    </xf>
    <xf numFmtId="0" fontId="5" fillId="0" borderId="0" xfId="0" applyFont="1" applyAlignment="1" applyProtection="1">
      <alignment vertical="center" wrapText="1"/>
      <protection locked="0"/>
    </xf>
    <xf numFmtId="0" fontId="5" fillId="0" borderId="0" xfId="0" applyFont="1" applyAlignment="1">
      <alignment horizontal="center" vertical="center" wrapText="1"/>
    </xf>
    <xf numFmtId="166" fontId="5" fillId="0" borderId="0" xfId="1" applyNumberFormat="1" applyFont="1" applyFill="1" applyAlignment="1">
      <alignment horizontal="right" vertical="center"/>
    </xf>
    <xf numFmtId="14" fontId="5" fillId="0" borderId="0" xfId="0" applyNumberFormat="1" applyFont="1" applyAlignment="1">
      <alignment horizontal="center" vertical="center"/>
    </xf>
    <xf numFmtId="166" fontId="5" fillId="15" borderId="0" xfId="1" applyNumberFormat="1" applyFont="1" applyFill="1" applyAlignment="1">
      <alignment horizontal="right" vertical="center"/>
    </xf>
    <xf numFmtId="0" fontId="5" fillId="0" borderId="0" xfId="0" applyFont="1" applyAlignment="1">
      <alignment vertical="center" wrapText="1"/>
    </xf>
    <xf numFmtId="0" fontId="5" fillId="14" borderId="3" xfId="0" applyFont="1" applyFill="1" applyBorder="1" applyAlignment="1">
      <alignment vertical="center" wrapText="1"/>
    </xf>
    <xf numFmtId="43" fontId="6" fillId="16" borderId="3" xfId="1" applyFont="1" applyFill="1" applyBorder="1" applyAlignment="1">
      <alignment vertical="center"/>
    </xf>
    <xf numFmtId="9" fontId="6" fillId="4" borderId="3" xfId="2" applyFont="1" applyFill="1" applyBorder="1" applyAlignment="1">
      <alignment horizontal="center" vertical="center"/>
    </xf>
    <xf numFmtId="0" fontId="5" fillId="2" borderId="3" xfId="0" applyFont="1" applyFill="1" applyBorder="1" applyAlignment="1">
      <alignment horizontal="left" vertical="center" wrapText="1" indent="1"/>
    </xf>
    <xf numFmtId="166" fontId="5" fillId="0" borderId="0" xfId="1" applyNumberFormat="1" applyFont="1" applyAlignment="1">
      <alignment horizontal="right" vertical="center"/>
    </xf>
    <xf numFmtId="0" fontId="5" fillId="0" borderId="3" xfId="0" applyFont="1" applyBorder="1" applyAlignment="1">
      <alignment horizontal="left" vertical="center" wrapText="1" indent="1"/>
    </xf>
    <xf numFmtId="0" fontId="26" fillId="19" borderId="3" xfId="0" applyFont="1" applyFill="1" applyBorder="1" applyAlignment="1">
      <alignment horizontal="center" vertical="center" wrapText="1" readingOrder="1"/>
    </xf>
    <xf numFmtId="166" fontId="26" fillId="19" borderId="3" xfId="1" applyNumberFormat="1" applyFont="1" applyFill="1" applyBorder="1" applyAlignment="1">
      <alignment horizontal="center" vertical="center" wrapText="1" readingOrder="1"/>
    </xf>
    <xf numFmtId="0" fontId="6" fillId="3" borderId="3" xfId="0" applyFont="1" applyFill="1" applyBorder="1" applyAlignment="1">
      <alignment horizontal="center" vertical="center" wrapText="1" readingOrder="1"/>
    </xf>
    <xf numFmtId="166" fontId="6" fillId="3" borderId="3" xfId="1" applyNumberFormat="1" applyFont="1" applyFill="1" applyBorder="1" applyAlignment="1">
      <alignment horizontal="center" vertical="center" wrapText="1" readingOrder="1"/>
    </xf>
    <xf numFmtId="166" fontId="6" fillId="4" borderId="3" xfId="1" applyNumberFormat="1" applyFont="1" applyFill="1" applyBorder="1" applyAlignment="1">
      <alignment vertical="center"/>
    </xf>
    <xf numFmtId="166" fontId="6" fillId="16" borderId="3" xfId="1" applyNumberFormat="1" applyFont="1" applyFill="1" applyBorder="1" applyAlignment="1">
      <alignment vertical="center"/>
    </xf>
    <xf numFmtId="166" fontId="5" fillId="14" borderId="3" xfId="1" applyNumberFormat="1" applyFont="1" applyFill="1" applyBorder="1" applyAlignment="1">
      <alignment horizontal="center" vertical="center" wrapText="1"/>
    </xf>
    <xf numFmtId="166" fontId="6" fillId="17" borderId="3" xfId="1" applyNumberFormat="1" applyFont="1" applyFill="1" applyBorder="1" applyAlignment="1">
      <alignment horizontal="center" vertical="center" wrapText="1"/>
    </xf>
    <xf numFmtId="166" fontId="6" fillId="18" borderId="3" xfId="1" applyNumberFormat="1" applyFont="1" applyFill="1" applyBorder="1" applyAlignment="1">
      <alignment horizontal="center" vertical="center" wrapText="1"/>
    </xf>
    <xf numFmtId="0" fontId="17" fillId="0" borderId="0" xfId="0" applyFont="1" applyAlignment="1">
      <alignment vertical="center"/>
    </xf>
    <xf numFmtId="43" fontId="6" fillId="3" borderId="3" xfId="1" applyFont="1" applyFill="1" applyBorder="1" applyAlignment="1">
      <alignment horizontal="center" vertical="center" wrapText="1"/>
    </xf>
    <xf numFmtId="0" fontId="6" fillId="4" borderId="3" xfId="0" applyFont="1" applyFill="1" applyBorder="1" applyAlignment="1">
      <alignment horizontal="center" vertical="center"/>
    </xf>
    <xf numFmtId="166" fontId="5" fillId="0" borderId="3" xfId="1" applyNumberFormat="1" applyFont="1" applyFill="1" applyBorder="1" applyAlignment="1">
      <alignment horizontal="left" vertical="center" wrapText="1" readingOrder="1"/>
    </xf>
    <xf numFmtId="43" fontId="5" fillId="0" borderId="0" xfId="1" applyFont="1" applyBorder="1" applyAlignment="1">
      <alignment vertical="center"/>
    </xf>
    <xf numFmtId="9" fontId="6" fillId="2" borderId="3" xfId="2" applyFont="1" applyFill="1" applyBorder="1" applyAlignment="1">
      <alignment horizontal="center" vertical="center" wrapText="1"/>
    </xf>
    <xf numFmtId="43" fontId="5" fillId="2" borderId="0" xfId="0" applyNumberFormat="1" applyFont="1" applyFill="1" applyAlignment="1">
      <alignment vertical="center"/>
    </xf>
    <xf numFmtId="9" fontId="6" fillId="2" borderId="3" xfId="2" quotePrefix="1" applyFont="1" applyFill="1" applyBorder="1" applyAlignment="1">
      <alignment horizontal="center" vertical="center" wrapText="1"/>
    </xf>
    <xf numFmtId="1" fontId="5" fillId="2" borderId="3" xfId="2" applyNumberFormat="1" applyFont="1" applyFill="1" applyBorder="1" applyAlignment="1">
      <alignment horizontal="center" vertical="center" wrapText="1"/>
    </xf>
    <xf numFmtId="9" fontId="6" fillId="16" borderId="3" xfId="2" applyFont="1" applyFill="1" applyBorder="1" applyAlignment="1">
      <alignment horizontal="center" vertical="center"/>
    </xf>
    <xf numFmtId="166" fontId="6" fillId="17" borderId="3" xfId="1" applyNumberFormat="1" applyFont="1" applyFill="1" applyBorder="1" applyAlignment="1">
      <alignment vertical="center"/>
    </xf>
    <xf numFmtId="166" fontId="5" fillId="0" borderId="3" xfId="1" quotePrefix="1" applyNumberFormat="1" applyFont="1" applyFill="1" applyBorder="1" applyAlignment="1">
      <alignment horizontal="center" vertical="center" readingOrder="1"/>
    </xf>
    <xf numFmtId="166" fontId="6" fillId="3" borderId="3" xfId="1" applyNumberFormat="1" applyFont="1" applyFill="1" applyBorder="1" applyAlignment="1">
      <alignment horizontal="left" vertical="center" wrapText="1" readingOrder="1"/>
    </xf>
    <xf numFmtId="168" fontId="5" fillId="0" borderId="3" xfId="2" applyNumberFormat="1" applyFont="1" applyFill="1" applyBorder="1" applyAlignment="1">
      <alignment horizontal="center" vertical="center" wrapText="1" readingOrder="1"/>
    </xf>
    <xf numFmtId="0" fontId="5" fillId="0" borderId="3" xfId="0" applyFont="1" applyBorder="1" applyAlignment="1">
      <alignment horizontal="left" vertical="center" wrapText="1" indent="1" readingOrder="1"/>
    </xf>
    <xf numFmtId="0" fontId="6" fillId="0" borderId="3" xfId="0" applyFont="1" applyBorder="1" applyAlignment="1">
      <alignment vertical="center" wrapText="1" readingOrder="1"/>
    </xf>
    <xf numFmtId="166" fontId="5" fillId="0" borderId="3" xfId="1" applyNumberFormat="1" applyFont="1" applyFill="1" applyBorder="1" applyAlignment="1">
      <alignment vertical="center"/>
    </xf>
    <xf numFmtId="166" fontId="5" fillId="0" borderId="3" xfId="1" applyNumberFormat="1" applyFont="1" applyFill="1" applyBorder="1" applyAlignment="1">
      <alignment horizontal="center" vertical="center" wrapText="1" readingOrder="1"/>
    </xf>
    <xf numFmtId="0" fontId="5" fillId="0" borderId="3" xfId="0" applyFont="1" applyBorder="1" applyAlignment="1">
      <alignment horizontal="center" vertical="center" readingOrder="1"/>
    </xf>
    <xf numFmtId="0" fontId="5" fillId="14" borderId="3" xfId="0" applyFont="1" applyFill="1" applyBorder="1" applyAlignment="1">
      <alignment horizontal="left" vertical="center" wrapText="1" indent="1"/>
    </xf>
    <xf numFmtId="0" fontId="5" fillId="3" borderId="3" xfId="0" applyFont="1" applyFill="1" applyBorder="1" applyAlignment="1">
      <alignment horizontal="center" vertical="center"/>
    </xf>
    <xf numFmtId="0" fontId="5" fillId="0" borderId="3" xfId="0" applyFont="1" applyBorder="1" applyAlignment="1">
      <alignment horizontal="left" vertical="center" wrapText="1" readingOrder="1"/>
    </xf>
    <xf numFmtId="0" fontId="30" fillId="2" borderId="0" xfId="0" applyFont="1" applyFill="1" applyAlignment="1">
      <alignment horizontal="center" vertical="center" wrapText="1"/>
    </xf>
    <xf numFmtId="166" fontId="30" fillId="2" borderId="0" xfId="1" applyNumberFormat="1" applyFont="1" applyFill="1" applyAlignment="1">
      <alignment horizontal="right" vertical="center"/>
    </xf>
    <xf numFmtId="166" fontId="30" fillId="2" borderId="0" xfId="1" applyNumberFormat="1" applyFont="1" applyFill="1" applyAlignment="1">
      <alignment horizontal="right" vertical="center" wrapText="1"/>
    </xf>
    <xf numFmtId="14" fontId="30" fillId="2" borderId="0" xfId="0" applyNumberFormat="1" applyFont="1" applyFill="1" applyAlignment="1">
      <alignment horizontal="center" vertical="center"/>
    </xf>
    <xf numFmtId="0" fontId="26" fillId="2" borderId="1" xfId="0" applyFont="1" applyFill="1" applyBorder="1" applyAlignment="1">
      <alignment horizontal="center" vertical="center" wrapText="1"/>
    </xf>
    <xf numFmtId="166" fontId="26" fillId="2" borderId="0" xfId="1" applyNumberFormat="1" applyFont="1" applyFill="1" applyAlignment="1">
      <alignment horizontal="right" vertical="center" wrapText="1"/>
    </xf>
    <xf numFmtId="0" fontId="26" fillId="2" borderId="0" xfId="0" applyFont="1" applyFill="1" applyAlignment="1">
      <alignment horizontal="center" vertical="center"/>
    </xf>
    <xf numFmtId="166" fontId="5" fillId="0" borderId="0" xfId="1" applyNumberFormat="1" applyFont="1" applyBorder="1" applyAlignment="1">
      <alignment vertical="center"/>
    </xf>
    <xf numFmtId="0" fontId="6" fillId="3" borderId="3" xfId="0" applyFont="1" applyFill="1" applyBorder="1" applyAlignment="1">
      <alignment horizontal="left" vertical="center"/>
    </xf>
    <xf numFmtId="0" fontId="5" fillId="3" borderId="3" xfId="0" quotePrefix="1" applyFont="1" applyFill="1" applyBorder="1" applyAlignment="1">
      <alignment horizontal="justify" vertical="center" wrapText="1"/>
    </xf>
    <xf numFmtId="168" fontId="6" fillId="3" borderId="3" xfId="2" applyNumberFormat="1" applyFont="1" applyFill="1" applyBorder="1" applyAlignment="1">
      <alignment horizontal="center" vertical="center" wrapText="1"/>
    </xf>
    <xf numFmtId="0" fontId="5" fillId="2" borderId="3" xfId="0" applyFont="1" applyFill="1" applyBorder="1" applyAlignment="1">
      <alignment horizontal="left" vertical="center" wrapText="1" indent="1" readingOrder="1"/>
    </xf>
    <xf numFmtId="0" fontId="32" fillId="2" borderId="3" xfId="0" applyFont="1" applyFill="1" applyBorder="1" applyAlignment="1">
      <alignment horizontal="center" vertical="center" wrapText="1"/>
    </xf>
    <xf numFmtId="166" fontId="6" fillId="2" borderId="3" xfId="1" applyNumberFormat="1" applyFont="1" applyFill="1" applyBorder="1" applyAlignment="1">
      <alignment horizontal="left" vertical="center" wrapText="1" readingOrder="1"/>
    </xf>
    <xf numFmtId="0" fontId="6" fillId="2" borderId="3" xfId="0" applyFont="1" applyFill="1" applyBorder="1" applyAlignment="1">
      <alignment horizontal="center" vertical="center" wrapText="1" readingOrder="1"/>
    </xf>
    <xf numFmtId="0" fontId="10" fillId="2" borderId="3" xfId="0" applyFont="1" applyFill="1" applyBorder="1" applyAlignment="1">
      <alignment horizontal="center" vertical="center" wrapText="1" readingOrder="1"/>
    </xf>
    <xf numFmtId="0" fontId="8" fillId="2" borderId="3" xfId="0" applyFont="1" applyFill="1" applyBorder="1" applyAlignment="1">
      <alignment horizontal="center" vertical="center" wrapText="1" readingOrder="1"/>
    </xf>
    <xf numFmtId="9" fontId="10" fillId="2" borderId="3" xfId="2" applyFont="1" applyFill="1" applyBorder="1" applyAlignment="1">
      <alignment horizontal="center" vertical="center" wrapText="1" readingOrder="1"/>
    </xf>
    <xf numFmtId="0" fontId="6" fillId="2" borderId="3" xfId="0" applyFont="1" applyFill="1" applyBorder="1" applyAlignment="1">
      <alignment horizontal="left" vertical="center" wrapText="1" readingOrder="1"/>
    </xf>
    <xf numFmtId="166" fontId="5" fillId="2" borderId="3" xfId="1" applyNumberFormat="1" applyFont="1" applyFill="1" applyBorder="1" applyAlignment="1">
      <alignment horizontal="left" vertical="center" wrapText="1" readingOrder="1"/>
    </xf>
    <xf numFmtId="166" fontId="5" fillId="2" borderId="3" xfId="1" quotePrefix="1" applyNumberFormat="1" applyFont="1" applyFill="1" applyBorder="1" applyAlignment="1">
      <alignment horizontal="center" vertical="center" readingOrder="1"/>
    </xf>
    <xf numFmtId="0" fontId="5" fillId="2" borderId="3" xfId="0" applyFont="1" applyFill="1" applyBorder="1" applyAlignment="1">
      <alignment horizontal="left" vertical="center" wrapText="1" readingOrder="1"/>
    </xf>
    <xf numFmtId="0" fontId="5" fillId="3" borderId="3" xfId="0" applyFont="1" applyFill="1" applyBorder="1" applyAlignment="1">
      <alignment horizontal="center" vertical="center" wrapText="1" readingOrder="1"/>
    </xf>
    <xf numFmtId="166" fontId="5" fillId="3" borderId="3" xfId="1" applyNumberFormat="1" applyFont="1" applyFill="1" applyBorder="1" applyAlignment="1">
      <alignment horizontal="center" vertical="center" wrapText="1" readingOrder="1"/>
    </xf>
    <xf numFmtId="166" fontId="6" fillId="3" borderId="3" xfId="1" quotePrefix="1" applyNumberFormat="1" applyFont="1" applyFill="1" applyBorder="1" applyAlignment="1">
      <alignment horizontal="center" vertical="center" readingOrder="1"/>
    </xf>
    <xf numFmtId="9" fontId="6" fillId="3" borderId="3" xfId="2" applyFont="1" applyFill="1" applyBorder="1" applyAlignment="1">
      <alignment horizontal="center" vertical="center" wrapText="1" readingOrder="1"/>
    </xf>
    <xf numFmtId="9" fontId="6" fillId="2" borderId="3" xfId="2" applyFont="1" applyFill="1" applyBorder="1" applyAlignment="1">
      <alignment horizontal="center" vertical="center" wrapText="1" readingOrder="1"/>
    </xf>
    <xf numFmtId="168" fontId="10" fillId="2" borderId="3" xfId="2" applyNumberFormat="1" applyFont="1" applyFill="1" applyBorder="1" applyAlignment="1">
      <alignment horizontal="center" vertical="center" wrapText="1" readingOrder="1"/>
    </xf>
    <xf numFmtId="0" fontId="18" fillId="0" borderId="3" xfId="0" applyFont="1" applyBorder="1" applyAlignment="1">
      <alignment vertical="center"/>
    </xf>
    <xf numFmtId="9" fontId="5" fillId="2" borderId="0" xfId="2" applyFont="1" applyFill="1" applyAlignment="1">
      <alignment horizontal="center" vertical="center"/>
    </xf>
    <xf numFmtId="0" fontId="28" fillId="2" borderId="3" xfId="0" applyFont="1" applyFill="1" applyBorder="1" applyAlignment="1">
      <alignment horizontal="center" vertical="center"/>
    </xf>
    <xf numFmtId="0" fontId="6" fillId="14" borderId="3" xfId="0" applyFont="1" applyFill="1" applyBorder="1" applyAlignment="1">
      <alignment horizontal="center" vertical="center"/>
    </xf>
    <xf numFmtId="0" fontId="18" fillId="0" borderId="0" xfId="0" applyFont="1" applyAlignment="1">
      <alignment horizontal="left" vertical="center"/>
    </xf>
    <xf numFmtId="0" fontId="19" fillId="0" borderId="3" xfId="0" applyFont="1" applyBorder="1" applyAlignment="1">
      <alignment horizontal="left" vertical="center"/>
    </xf>
    <xf numFmtId="0" fontId="18" fillId="0" borderId="3" xfId="0" applyFont="1" applyBorder="1" applyAlignment="1">
      <alignment horizontal="left" vertical="center"/>
    </xf>
    <xf numFmtId="0" fontId="18" fillId="0" borderId="3" xfId="0" applyFont="1" applyBorder="1" applyAlignment="1">
      <alignment horizontal="left" vertical="center" indent="1"/>
    </xf>
    <xf numFmtId="0" fontId="5" fillId="2" borderId="0" xfId="0" applyFont="1" applyFill="1" applyAlignment="1">
      <alignment horizontal="center" vertical="center" wrapText="1" readingOrder="1"/>
    </xf>
    <xf numFmtId="0" fontId="5" fillId="2" borderId="0" xfId="0" applyFont="1" applyFill="1" applyAlignment="1">
      <alignment horizontal="left" vertical="center" wrapText="1" readingOrder="1"/>
    </xf>
    <xf numFmtId="0" fontId="16" fillId="2" borderId="0" xfId="0" applyFont="1" applyFill="1" applyAlignment="1">
      <alignment horizontal="center" vertical="center" wrapText="1" readingOrder="1"/>
    </xf>
    <xf numFmtId="166" fontId="6" fillId="2" borderId="0" xfId="1" quotePrefix="1" applyNumberFormat="1" applyFont="1" applyFill="1" applyBorder="1" applyAlignment="1">
      <alignment horizontal="center" vertical="center" readingOrder="1"/>
    </xf>
    <xf numFmtId="166" fontId="29" fillId="2" borderId="0" xfId="1" quotePrefix="1" applyNumberFormat="1" applyFont="1" applyFill="1" applyBorder="1" applyAlignment="1">
      <alignment horizontal="center" vertical="center" readingOrder="1"/>
    </xf>
    <xf numFmtId="166" fontId="6" fillId="2" borderId="0" xfId="1" applyNumberFormat="1" applyFont="1" applyFill="1" applyBorder="1" applyAlignment="1">
      <alignment horizontal="left" vertical="center" wrapText="1" readingOrder="1"/>
    </xf>
    <xf numFmtId="9" fontId="6" fillId="2" borderId="0" xfId="2" applyFont="1" applyFill="1" applyBorder="1" applyAlignment="1">
      <alignment horizontal="center" vertical="center" wrapText="1" readingOrder="1"/>
    </xf>
    <xf numFmtId="166" fontId="5" fillId="0" borderId="3" xfId="1" applyNumberFormat="1" applyFont="1" applyFill="1" applyBorder="1" applyAlignment="1">
      <alignment horizontal="center" vertical="center" readingOrder="1"/>
    </xf>
    <xf numFmtId="9" fontId="5" fillId="2" borderId="3" xfId="2" applyFont="1" applyFill="1" applyBorder="1" applyAlignment="1">
      <alignment horizontal="center" vertical="center" wrapText="1" readingOrder="1"/>
    </xf>
    <xf numFmtId="168" fontId="5" fillId="2" borderId="3" xfId="2" applyNumberFormat="1" applyFont="1" applyFill="1" applyBorder="1" applyAlignment="1">
      <alignment horizontal="center" vertical="center" wrapText="1" readingOrder="1"/>
    </xf>
    <xf numFmtId="0" fontId="6" fillId="3" borderId="3" xfId="0" applyFont="1" applyFill="1" applyBorder="1" applyAlignment="1">
      <alignment horizontal="left" vertical="center" wrapText="1" readingOrder="1"/>
    </xf>
    <xf numFmtId="9" fontId="6" fillId="2" borderId="3" xfId="2" applyFont="1" applyFill="1" applyBorder="1" applyAlignment="1">
      <alignment horizontal="left" vertical="center" wrapText="1" readingOrder="1"/>
    </xf>
    <xf numFmtId="9" fontId="10" fillId="2" borderId="3" xfId="2" applyFont="1" applyFill="1" applyBorder="1" applyAlignment="1">
      <alignment horizontal="left" vertical="center" wrapText="1" readingOrder="1"/>
    </xf>
    <xf numFmtId="168" fontId="6" fillId="3" borderId="3" xfId="2" applyNumberFormat="1" applyFont="1" applyFill="1" applyBorder="1" applyAlignment="1">
      <alignment horizontal="center" vertical="center" wrapText="1" readingOrder="1"/>
    </xf>
    <xf numFmtId="0" fontId="5" fillId="14" borderId="3" xfId="0" applyFont="1" applyFill="1" applyBorder="1" applyAlignment="1">
      <alignment vertical="center"/>
    </xf>
    <xf numFmtId="0" fontId="5" fillId="14" borderId="3" xfId="0" quotePrefix="1" applyFont="1" applyFill="1" applyBorder="1" applyAlignment="1">
      <alignment horizontal="left" vertical="center" wrapText="1" indent="1"/>
    </xf>
    <xf numFmtId="0" fontId="6" fillId="17" borderId="3" xfId="0" applyFont="1" applyFill="1" applyBorder="1" applyAlignment="1">
      <alignment horizontal="left" vertical="center" indent="1"/>
    </xf>
    <xf numFmtId="0" fontId="6" fillId="14" borderId="3" xfId="0" applyFont="1" applyFill="1" applyBorder="1" applyAlignment="1">
      <alignment horizontal="left" vertical="center" wrapText="1" indent="1"/>
    </xf>
    <xf numFmtId="0" fontId="5" fillId="2" borderId="3" xfId="0" quotePrefix="1" applyFont="1" applyFill="1" applyBorder="1" applyAlignment="1">
      <alignment horizontal="left" vertical="center" wrapText="1" indent="1"/>
    </xf>
    <xf numFmtId="0" fontId="5" fillId="18" borderId="3" xfId="0" quotePrefix="1" applyFont="1" applyFill="1" applyBorder="1" applyAlignment="1">
      <alignment horizontal="left" vertical="center" wrapText="1" indent="1"/>
    </xf>
    <xf numFmtId="0" fontId="6" fillId="17" borderId="3" xfId="0" applyFont="1" applyFill="1" applyBorder="1" applyAlignment="1">
      <alignment horizontal="left" vertical="center" wrapText="1" indent="1"/>
    </xf>
    <xf numFmtId="0" fontId="6" fillId="4" borderId="3" xfId="0" applyFont="1" applyFill="1" applyBorder="1" applyAlignment="1">
      <alignment horizontal="left" vertical="center" wrapText="1" indent="1"/>
    </xf>
    <xf numFmtId="0" fontId="6" fillId="2" borderId="3" xfId="0" applyFont="1" applyFill="1" applyBorder="1" applyAlignment="1">
      <alignment horizontal="left" vertical="center" wrapText="1" indent="1"/>
    </xf>
    <xf numFmtId="0" fontId="5" fillId="17" borderId="3" xfId="0" quotePrefix="1" applyFont="1" applyFill="1" applyBorder="1" applyAlignment="1">
      <alignment horizontal="left" vertical="center" wrapText="1" indent="1"/>
    </xf>
    <xf numFmtId="166" fontId="6" fillId="2" borderId="3" xfId="0" applyNumberFormat="1" applyFont="1" applyFill="1" applyBorder="1" applyAlignment="1">
      <alignment horizontal="left" vertical="center" wrapText="1" indent="1"/>
    </xf>
    <xf numFmtId="0" fontId="6" fillId="2" borderId="3" xfId="0" quotePrefix="1" applyFont="1" applyFill="1" applyBorder="1" applyAlignment="1">
      <alignment horizontal="left" vertical="center" wrapText="1" indent="1"/>
    </xf>
    <xf numFmtId="0" fontId="5" fillId="16" borderId="3" xfId="0" applyFont="1" applyFill="1" applyBorder="1" applyAlignment="1">
      <alignment horizontal="left" vertical="center" indent="1"/>
    </xf>
    <xf numFmtId="0" fontId="5" fillId="0" borderId="3" xfId="0" quotePrefix="1" applyFont="1" applyBorder="1" applyAlignment="1">
      <alignment horizontal="left" vertical="center" wrapText="1" indent="1"/>
    </xf>
    <xf numFmtId="0" fontId="5" fillId="4" borderId="3" xfId="0" applyFont="1" applyFill="1" applyBorder="1" applyAlignment="1">
      <alignment horizontal="left" vertical="center" indent="1"/>
    </xf>
    <xf numFmtId="166" fontId="5" fillId="2" borderId="3" xfId="1" applyNumberFormat="1" applyFont="1" applyFill="1" applyBorder="1" applyAlignment="1">
      <alignment horizontal="left" vertical="center" indent="1"/>
    </xf>
    <xf numFmtId="166" fontId="6" fillId="17" borderId="3" xfId="1" applyNumberFormat="1" applyFont="1" applyFill="1" applyBorder="1" applyAlignment="1">
      <alignment horizontal="left" vertical="center" indent="1"/>
    </xf>
    <xf numFmtId="166" fontId="5" fillId="2" borderId="3" xfId="1" applyNumberFormat="1" applyFont="1" applyFill="1" applyBorder="1" applyAlignment="1">
      <alignment horizontal="left" vertical="center" wrapText="1" indent="1"/>
    </xf>
    <xf numFmtId="166" fontId="6" fillId="14" borderId="3" xfId="1" applyNumberFormat="1" applyFont="1" applyFill="1" applyBorder="1" applyAlignment="1">
      <alignment horizontal="center" vertical="center" wrapText="1"/>
    </xf>
    <xf numFmtId="43" fontId="5" fillId="2" borderId="0" xfId="0" applyNumberFormat="1" applyFont="1" applyFill="1" applyAlignment="1">
      <alignment horizontal="center" vertical="center"/>
    </xf>
    <xf numFmtId="1" fontId="5" fillId="0" borderId="0" xfId="2" applyNumberFormat="1" applyFont="1" applyAlignment="1">
      <alignment horizontal="center" vertical="center"/>
    </xf>
    <xf numFmtId="1" fontId="5" fillId="0" borderId="0" xfId="0" applyNumberFormat="1" applyFont="1" applyAlignment="1">
      <alignment horizontal="center" vertical="center"/>
    </xf>
    <xf numFmtId="0" fontId="28" fillId="3" borderId="0" xfId="0" applyFont="1" applyFill="1" applyAlignment="1">
      <alignment horizontal="center" vertical="center"/>
    </xf>
    <xf numFmtId="166" fontId="31" fillId="0" borderId="0" xfId="0" applyNumberFormat="1" applyFont="1" applyAlignment="1">
      <alignment vertical="center"/>
    </xf>
    <xf numFmtId="0" fontId="33" fillId="0" borderId="3" xfId="0" applyFont="1" applyBorder="1" applyAlignment="1">
      <alignment horizontal="center" vertical="center" wrapText="1"/>
    </xf>
    <xf numFmtId="0" fontId="30" fillId="2" borderId="0" xfId="0" applyFont="1" applyFill="1" applyAlignment="1">
      <alignment vertical="center"/>
    </xf>
    <xf numFmtId="0" fontId="30" fillId="9" borderId="0" xfId="0" applyFont="1" applyFill="1" applyAlignment="1">
      <alignment horizontal="center" vertical="center"/>
    </xf>
    <xf numFmtId="0" fontId="30" fillId="9" borderId="0" xfId="0" applyFont="1" applyFill="1" applyAlignment="1">
      <alignment vertical="center"/>
    </xf>
    <xf numFmtId="0" fontId="30" fillId="0" borderId="0" xfId="0" applyFont="1" applyAlignment="1">
      <alignment vertical="center"/>
    </xf>
    <xf numFmtId="0" fontId="26" fillId="2" borderId="0" xfId="0" applyFont="1" applyFill="1" applyAlignment="1">
      <alignment vertical="center"/>
    </xf>
    <xf numFmtId="0" fontId="26" fillId="9" borderId="0" xfId="0" applyFont="1" applyFill="1" applyAlignment="1">
      <alignment vertical="center"/>
    </xf>
    <xf numFmtId="0" fontId="26" fillId="0" borderId="0" xfId="0" applyFont="1" applyAlignment="1">
      <alignment vertical="center"/>
    </xf>
    <xf numFmtId="0" fontId="6" fillId="0" borderId="3" xfId="0" applyFont="1" applyBorder="1" applyAlignment="1">
      <alignment horizontal="justify" vertical="center" wrapText="1"/>
    </xf>
    <xf numFmtId="166" fontId="6" fillId="2" borderId="3" xfId="1" applyNumberFormat="1" applyFont="1" applyFill="1" applyBorder="1" applyAlignment="1">
      <alignment horizontal="left" vertical="center" indent="1"/>
    </xf>
    <xf numFmtId="0" fontId="6" fillId="3" borderId="3" xfId="0" applyFont="1" applyFill="1" applyBorder="1" applyAlignment="1">
      <alignment horizontal="center" vertical="center" wrapText="1"/>
    </xf>
    <xf numFmtId="0" fontId="6" fillId="3" borderId="3" xfId="0" applyFont="1" applyFill="1" applyBorder="1" applyAlignment="1">
      <alignment horizontal="center" vertical="center" wrapText="1"/>
    </xf>
    <xf numFmtId="0" fontId="5" fillId="0" borderId="0" xfId="0" applyFont="1" applyAlignment="1">
      <alignment horizontal="left" vertical="center" wrapText="1"/>
    </xf>
    <xf numFmtId="0" fontId="6" fillId="16" borderId="3" xfId="0" applyFont="1" applyFill="1" applyBorder="1" applyAlignment="1">
      <alignment horizontal="left" vertical="center" wrapText="1"/>
    </xf>
    <xf numFmtId="0" fontId="5" fillId="0" borderId="3" xfId="0" applyFont="1" applyBorder="1" applyAlignment="1">
      <alignment horizontal="left" vertical="center" wrapText="1"/>
    </xf>
    <xf numFmtId="0" fontId="6" fillId="17" borderId="3" xfId="0" applyFont="1" applyFill="1" applyBorder="1" applyAlignment="1">
      <alignment vertical="center" wrapText="1"/>
    </xf>
    <xf numFmtId="1" fontId="6" fillId="2" borderId="3" xfId="0" applyNumberFormat="1" applyFont="1" applyFill="1" applyBorder="1" applyAlignment="1">
      <alignment horizontal="left" vertical="center" indent="1"/>
    </xf>
    <xf numFmtId="9" fontId="6" fillId="2" borderId="3" xfId="2" applyFont="1" applyFill="1" applyBorder="1" applyAlignment="1">
      <alignment horizontal="center" vertical="center"/>
    </xf>
    <xf numFmtId="43" fontId="6" fillId="2" borderId="0" xfId="0" applyNumberFormat="1" applyFont="1" applyFill="1" applyAlignment="1">
      <alignment horizontal="center" vertical="center"/>
    </xf>
    <xf numFmtId="43" fontId="5" fillId="0" borderId="0" xfId="0" applyNumberFormat="1" applyFont="1" applyAlignment="1">
      <alignment horizontal="center" vertical="center"/>
    </xf>
    <xf numFmtId="43" fontId="6" fillId="9" borderId="3" xfId="1" applyFont="1" applyFill="1" applyBorder="1" applyAlignment="1">
      <alignment horizontal="center" vertical="center" wrapText="1"/>
    </xf>
    <xf numFmtId="0" fontId="8" fillId="13" borderId="3" xfId="0" applyFont="1" applyFill="1" applyBorder="1" applyAlignment="1">
      <alignment horizontal="center" vertical="center"/>
    </xf>
    <xf numFmtId="0" fontId="5" fillId="13" borderId="3" xfId="0" applyFont="1" applyFill="1" applyBorder="1" applyAlignment="1">
      <alignment horizontal="center" vertical="center"/>
    </xf>
    <xf numFmtId="3" fontId="5" fillId="13" borderId="3" xfId="0" applyNumberFormat="1" applyFont="1" applyFill="1" applyBorder="1" applyAlignment="1">
      <alignment horizontal="center" vertical="center"/>
    </xf>
    <xf numFmtId="0" fontId="6" fillId="13" borderId="3" xfId="0" applyFont="1" applyFill="1" applyBorder="1" applyAlignment="1">
      <alignment horizontal="center" vertical="center"/>
    </xf>
    <xf numFmtId="43" fontId="5" fillId="13" borderId="3" xfId="0" applyNumberFormat="1" applyFont="1" applyFill="1" applyBorder="1" applyAlignment="1">
      <alignment horizontal="center" vertical="center"/>
    </xf>
    <xf numFmtId="166" fontId="5" fillId="13" borderId="3" xfId="0" applyNumberFormat="1" applyFont="1" applyFill="1" applyBorder="1" applyAlignment="1">
      <alignment horizontal="center" vertical="center"/>
    </xf>
    <xf numFmtId="9" fontId="5" fillId="13" borderId="3" xfId="0" applyNumberFormat="1" applyFont="1" applyFill="1" applyBorder="1" applyAlignment="1">
      <alignment horizontal="center" vertical="center"/>
    </xf>
    <xf numFmtId="166" fontId="5" fillId="3" borderId="3" xfId="1" applyNumberFormat="1" applyFont="1" applyFill="1" applyBorder="1" applyAlignment="1">
      <alignment vertical="center"/>
    </xf>
    <xf numFmtId="0" fontId="6" fillId="16" borderId="3" xfId="1" applyNumberFormat="1" applyFont="1" applyFill="1" applyBorder="1" applyAlignment="1">
      <alignment vertical="center"/>
    </xf>
    <xf numFmtId="170" fontId="5" fillId="2" borderId="3" xfId="1" applyNumberFormat="1" applyFont="1" applyFill="1" applyBorder="1" applyAlignment="1">
      <alignment vertical="center"/>
    </xf>
    <xf numFmtId="170" fontId="6" fillId="2" borderId="3" xfId="1" applyNumberFormat="1" applyFont="1" applyFill="1" applyBorder="1" applyAlignment="1">
      <alignment vertical="center"/>
    </xf>
    <xf numFmtId="166" fontId="5" fillId="0" borderId="3" xfId="1" applyNumberFormat="1" applyFont="1" applyFill="1" applyBorder="1" applyAlignment="1">
      <alignment horizontal="center" vertical="center" wrapText="1"/>
    </xf>
    <xf numFmtId="0" fontId="5" fillId="0" borderId="3" xfId="0" applyFont="1" applyFill="1" applyBorder="1" applyAlignment="1">
      <alignment horizontal="left" vertical="center" wrapText="1"/>
    </xf>
    <xf numFmtId="0" fontId="5" fillId="0" borderId="0" xfId="0" applyFont="1" applyFill="1" applyAlignment="1">
      <alignment vertical="center"/>
    </xf>
    <xf numFmtId="0" fontId="5" fillId="0" borderId="3" xfId="0" applyFont="1" applyFill="1" applyBorder="1" applyAlignment="1">
      <alignment horizontal="center" vertical="center"/>
    </xf>
    <xf numFmtId="0" fontId="16" fillId="2" borderId="3" xfId="0" applyFont="1" applyFill="1" applyBorder="1" applyAlignment="1">
      <alignment horizontal="left" vertical="center" wrapText="1"/>
    </xf>
    <xf numFmtId="0" fontId="16" fillId="2" borderId="3" xfId="0" applyFont="1" applyFill="1" applyBorder="1" applyAlignment="1">
      <alignment horizontal="left" vertical="center" wrapText="1" indent="1"/>
    </xf>
    <xf numFmtId="43" fontId="5" fillId="2" borderId="3" xfId="1" quotePrefix="1" applyNumberFormat="1" applyFont="1" applyFill="1" applyBorder="1" applyAlignment="1">
      <alignment horizontal="center" vertical="center" readingOrder="1"/>
    </xf>
    <xf numFmtId="170" fontId="5" fillId="0" borderId="3" xfId="1" applyNumberFormat="1" applyFont="1" applyFill="1" applyBorder="1" applyAlignment="1">
      <alignment vertical="center"/>
    </xf>
    <xf numFmtId="0" fontId="5" fillId="0" borderId="3" xfId="0" quotePrefix="1" applyFont="1" applyFill="1" applyBorder="1" applyAlignment="1">
      <alignment horizontal="left" vertical="center" wrapText="1" indent="1"/>
    </xf>
    <xf numFmtId="9" fontId="5" fillId="0" borderId="3" xfId="2" applyFont="1" applyFill="1" applyBorder="1" applyAlignment="1">
      <alignment horizontal="center" vertical="center" wrapText="1"/>
    </xf>
    <xf numFmtId="0" fontId="5" fillId="0" borderId="0" xfId="0" applyFont="1" applyFill="1" applyAlignment="1">
      <alignment horizontal="center" vertical="center"/>
    </xf>
    <xf numFmtId="0" fontId="5" fillId="0" borderId="3" xfId="0" applyFont="1" applyFill="1" applyBorder="1" applyAlignment="1">
      <alignment horizontal="left" vertical="center" wrapText="1" indent="1"/>
    </xf>
    <xf numFmtId="170" fontId="5" fillId="21" borderId="3" xfId="1" applyNumberFormat="1" applyFont="1" applyFill="1" applyBorder="1" applyAlignment="1">
      <alignment vertical="center"/>
    </xf>
    <xf numFmtId="0" fontId="5" fillId="21" borderId="3" xfId="0" quotePrefix="1" applyFont="1" applyFill="1" applyBorder="1" applyAlignment="1">
      <alignment horizontal="left" vertical="center" wrapText="1" indent="1"/>
    </xf>
    <xf numFmtId="166" fontId="5" fillId="21" borderId="3" xfId="1" applyNumberFormat="1" applyFont="1" applyFill="1" applyBorder="1" applyAlignment="1">
      <alignment vertical="center"/>
    </xf>
    <xf numFmtId="9" fontId="5" fillId="21" borderId="3" xfId="2" applyFont="1" applyFill="1" applyBorder="1" applyAlignment="1">
      <alignment horizontal="center" vertical="center" wrapText="1"/>
    </xf>
    <xf numFmtId="0" fontId="5" fillId="21" borderId="0" xfId="0" applyFont="1" applyFill="1" applyAlignment="1">
      <alignment horizontal="center" vertical="center"/>
    </xf>
    <xf numFmtId="0" fontId="5" fillId="21" borderId="0" xfId="0" applyFont="1" applyFill="1" applyAlignment="1">
      <alignment vertical="center"/>
    </xf>
    <xf numFmtId="0" fontId="5" fillId="21" borderId="3" xfId="0" applyFont="1" applyFill="1" applyBorder="1" applyAlignment="1">
      <alignment horizontal="center" vertical="center"/>
    </xf>
    <xf numFmtId="0" fontId="5" fillId="21" borderId="3" xfId="0" applyFont="1" applyFill="1" applyBorder="1" applyAlignment="1">
      <alignment horizontal="left" vertical="center" wrapText="1"/>
    </xf>
    <xf numFmtId="0" fontId="5" fillId="21" borderId="3" xfId="0" applyFont="1" applyFill="1" applyBorder="1" applyAlignment="1">
      <alignment horizontal="left" vertical="center" wrapText="1" indent="1"/>
    </xf>
    <xf numFmtId="0" fontId="5" fillId="0" borderId="3" xfId="0" applyFont="1" applyFill="1" applyBorder="1" applyAlignment="1">
      <alignment horizontal="left" vertical="center" wrapText="1" indent="1" readingOrder="1"/>
    </xf>
    <xf numFmtId="168" fontId="5" fillId="0" borderId="3" xfId="2" applyNumberFormat="1" applyFont="1" applyFill="1" applyBorder="1" applyAlignment="1">
      <alignment horizontal="center" vertical="center" wrapText="1"/>
    </xf>
    <xf numFmtId="167" fontId="5" fillId="0" borderId="0" xfId="1" applyNumberFormat="1" applyFont="1" applyFill="1" applyAlignment="1">
      <alignment vertical="center"/>
    </xf>
    <xf numFmtId="43" fontId="5" fillId="0" borderId="0" xfId="1" applyFont="1" applyFill="1" applyAlignment="1">
      <alignment vertical="center"/>
    </xf>
    <xf numFmtId="0" fontId="5" fillId="0" borderId="0" xfId="0" applyFont="1" applyFill="1"/>
    <xf numFmtId="0" fontId="5" fillId="21" borderId="3" xfId="0" applyFont="1" applyFill="1" applyBorder="1" applyAlignment="1">
      <alignment horizontal="center" vertical="center" wrapText="1" readingOrder="1"/>
    </xf>
    <xf numFmtId="0" fontId="5" fillId="21" borderId="3" xfId="0" applyFont="1" applyFill="1" applyBorder="1" applyAlignment="1">
      <alignment horizontal="left" vertical="center" wrapText="1" indent="1" readingOrder="1"/>
    </xf>
    <xf numFmtId="166" fontId="5" fillId="21" borderId="3" xfId="1" applyNumberFormat="1" applyFont="1" applyFill="1" applyBorder="1" applyAlignment="1">
      <alignment horizontal="center" vertical="center" wrapText="1"/>
    </xf>
    <xf numFmtId="168" fontId="5" fillId="21" borderId="3" xfId="2" applyNumberFormat="1" applyFont="1" applyFill="1" applyBorder="1" applyAlignment="1">
      <alignment horizontal="center" vertical="center" wrapText="1"/>
    </xf>
    <xf numFmtId="167" fontId="5" fillId="21" borderId="0" xfId="1" applyNumberFormat="1" applyFont="1" applyFill="1" applyAlignment="1">
      <alignment vertical="center"/>
    </xf>
    <xf numFmtId="43" fontId="5" fillId="21" borderId="0" xfId="1" applyFont="1" applyFill="1" applyAlignment="1">
      <alignment vertical="center"/>
    </xf>
    <xf numFmtId="0" fontId="5" fillId="21" borderId="0" xfId="0" applyFont="1" applyFill="1"/>
    <xf numFmtId="10" fontId="5" fillId="21" borderId="0" xfId="0" applyNumberFormat="1" applyFont="1" applyFill="1"/>
    <xf numFmtId="43" fontId="5" fillId="21" borderId="0" xfId="0" applyNumberFormat="1" applyFont="1" applyFill="1"/>
    <xf numFmtId="10" fontId="5" fillId="21" borderId="0" xfId="2" applyNumberFormat="1" applyFont="1" applyFill="1"/>
    <xf numFmtId="0" fontId="5" fillId="21" borderId="3" xfId="0" applyFont="1" applyFill="1" applyBorder="1" applyAlignment="1">
      <alignment horizontal="left" vertical="center"/>
    </xf>
    <xf numFmtId="168" fontId="6" fillId="21" borderId="3" xfId="2" applyNumberFormat="1" applyFont="1" applyFill="1" applyBorder="1" applyAlignment="1">
      <alignment horizontal="center" vertical="center" wrapText="1"/>
    </xf>
    <xf numFmtId="0" fontId="5" fillId="21" borderId="3" xfId="0" applyFont="1" applyFill="1" applyBorder="1" applyAlignment="1">
      <alignment horizontal="left" vertical="center" wrapText="1" readingOrder="1"/>
    </xf>
    <xf numFmtId="0" fontId="6" fillId="21" borderId="3" xfId="0" applyFont="1" applyFill="1" applyBorder="1" applyAlignment="1">
      <alignment horizontal="center" vertical="center" wrapText="1" readingOrder="1"/>
    </xf>
    <xf numFmtId="0" fontId="6" fillId="21" borderId="3" xfId="0" applyFont="1" applyFill="1" applyBorder="1" applyAlignment="1">
      <alignment horizontal="left" vertical="center" wrapText="1" readingOrder="1"/>
    </xf>
    <xf numFmtId="166" fontId="6" fillId="21" borderId="3" xfId="1" applyNumberFormat="1" applyFont="1" applyFill="1" applyBorder="1" applyAlignment="1">
      <alignment horizontal="center" vertical="center" wrapText="1"/>
    </xf>
    <xf numFmtId="43" fontId="5" fillId="0" borderId="0" xfId="0" applyNumberFormat="1" applyFont="1" applyFill="1"/>
    <xf numFmtId="0" fontId="5" fillId="21" borderId="3" xfId="0" applyFont="1" applyFill="1" applyBorder="1" applyAlignment="1">
      <alignment vertical="center" wrapText="1"/>
    </xf>
    <xf numFmtId="0" fontId="6" fillId="0" borderId="3" xfId="0" applyFont="1" applyFill="1" applyBorder="1" applyAlignment="1">
      <alignment horizontal="center" vertical="center"/>
    </xf>
    <xf numFmtId="0" fontId="6" fillId="0" borderId="3" xfId="0" applyFont="1" applyFill="1" applyBorder="1" applyAlignment="1">
      <alignment horizontal="justify" vertical="center" wrapText="1"/>
    </xf>
    <xf numFmtId="9" fontId="6" fillId="0" borderId="3" xfId="2" applyFont="1" applyFill="1" applyBorder="1" applyAlignment="1">
      <alignment horizontal="center" vertical="center" wrapText="1"/>
    </xf>
    <xf numFmtId="166" fontId="5" fillId="0" borderId="3" xfId="1" applyNumberFormat="1" applyFont="1" applyFill="1" applyBorder="1" applyAlignment="1">
      <alignment horizontal="left" vertical="center" indent="1"/>
    </xf>
    <xf numFmtId="176" fontId="5" fillId="21" borderId="3" xfId="1" applyNumberFormat="1" applyFont="1" applyFill="1" applyBorder="1" applyAlignment="1">
      <alignment vertical="center"/>
    </xf>
    <xf numFmtId="9" fontId="5" fillId="21" borderId="3" xfId="2" quotePrefix="1" applyFont="1" applyFill="1" applyBorder="1" applyAlignment="1">
      <alignment horizontal="center" vertical="center" wrapText="1"/>
    </xf>
    <xf numFmtId="166" fontId="5" fillId="21" borderId="3" xfId="1" quotePrefix="1" applyNumberFormat="1" applyFont="1" applyFill="1" applyBorder="1" applyAlignment="1">
      <alignment horizontal="left" vertical="center" wrapText="1" indent="1"/>
    </xf>
    <xf numFmtId="43" fontId="5" fillId="0" borderId="3" xfId="1" applyNumberFormat="1" applyFont="1" applyFill="1" applyBorder="1" applyAlignment="1">
      <alignment vertical="center"/>
    </xf>
    <xf numFmtId="0" fontId="5" fillId="3" borderId="3" xfId="0" applyFont="1" applyFill="1" applyBorder="1" applyAlignment="1">
      <alignment horizontal="left" vertical="center" wrapText="1"/>
    </xf>
    <xf numFmtId="43" fontId="5" fillId="3" borderId="3" xfId="1" applyNumberFormat="1" applyFont="1" applyFill="1" applyBorder="1" applyAlignment="1">
      <alignment vertical="center"/>
    </xf>
    <xf numFmtId="0" fontId="5" fillId="3" borderId="3" xfId="0" quotePrefix="1" applyFont="1" applyFill="1" applyBorder="1" applyAlignment="1">
      <alignment horizontal="left" vertical="center" wrapText="1" indent="1"/>
    </xf>
    <xf numFmtId="9" fontId="5" fillId="3" borderId="3" xfId="2" quotePrefix="1" applyFont="1" applyFill="1" applyBorder="1" applyAlignment="1">
      <alignment horizontal="center" vertical="center" wrapText="1"/>
    </xf>
    <xf numFmtId="166" fontId="5" fillId="3" borderId="3" xfId="1" applyNumberFormat="1" applyFont="1" applyFill="1" applyBorder="1" applyAlignment="1">
      <alignment horizontal="left" vertical="center" indent="1"/>
    </xf>
    <xf numFmtId="9" fontId="5" fillId="3" borderId="3" xfId="2" applyFont="1" applyFill="1" applyBorder="1" applyAlignment="1">
      <alignment horizontal="center" vertical="center" wrapText="1"/>
    </xf>
    <xf numFmtId="0" fontId="5" fillId="3" borderId="0" xfId="0" applyFont="1" applyFill="1" applyAlignment="1">
      <alignment horizontal="center" vertical="center"/>
    </xf>
    <xf numFmtId="0" fontId="5" fillId="3" borderId="0" xfId="0" applyFont="1" applyFill="1" applyAlignment="1">
      <alignment vertical="center"/>
    </xf>
    <xf numFmtId="49" fontId="39" fillId="2" borderId="3" xfId="1" applyNumberFormat="1" applyFont="1" applyFill="1" applyBorder="1" applyAlignment="1">
      <alignment horizontal="center" vertical="center"/>
    </xf>
    <xf numFmtId="166" fontId="39" fillId="2" borderId="3" xfId="1" applyNumberFormat="1" applyFont="1" applyFill="1" applyBorder="1" applyAlignment="1">
      <alignment vertical="center"/>
    </xf>
    <xf numFmtId="166" fontId="39" fillId="2" borderId="3" xfId="1" applyNumberFormat="1" applyFont="1" applyFill="1" applyBorder="1" applyAlignment="1">
      <alignment horizontal="center" vertical="center"/>
    </xf>
    <xf numFmtId="49" fontId="35" fillId="2" borderId="3" xfId="1" applyNumberFormat="1" applyFont="1" applyFill="1" applyBorder="1" applyAlignment="1">
      <alignment horizontal="center" vertical="center"/>
    </xf>
    <xf numFmtId="166" fontId="35" fillId="2" borderId="3" xfId="1" applyNumberFormat="1" applyFont="1" applyFill="1" applyBorder="1" applyAlignment="1">
      <alignment vertical="center"/>
    </xf>
    <xf numFmtId="166" fontId="35" fillId="2" borderId="3" xfId="1" applyNumberFormat="1" applyFont="1" applyFill="1" applyBorder="1" applyAlignment="1">
      <alignment horizontal="center" vertical="center"/>
    </xf>
    <xf numFmtId="166" fontId="35" fillId="3" borderId="3" xfId="1" applyNumberFormat="1" applyFont="1" applyFill="1" applyBorder="1" applyAlignment="1">
      <alignment vertical="center" wrapText="1"/>
    </xf>
    <xf numFmtId="0" fontId="35" fillId="0" borderId="3" xfId="0" applyFont="1" applyBorder="1" applyAlignment="1">
      <alignment horizontal="left" vertical="center" wrapText="1"/>
    </xf>
    <xf numFmtId="1" fontId="35" fillId="0" borderId="15" xfId="0" applyNumberFormat="1" applyFont="1" applyBorder="1" applyAlignment="1">
      <alignment horizontal="center" vertical="center"/>
    </xf>
    <xf numFmtId="0" fontId="35" fillId="0" borderId="3" xfId="0" applyFont="1" applyBorder="1" applyAlignment="1">
      <alignment horizontal="center" vertical="center" wrapText="1"/>
    </xf>
    <xf numFmtId="1" fontId="35" fillId="0" borderId="8" xfId="0" quotePrefix="1" applyNumberFormat="1" applyFont="1" applyBorder="1" applyAlignment="1">
      <alignment horizontal="center" vertical="center"/>
    </xf>
    <xf numFmtId="1" fontId="35" fillId="0" borderId="8" xfId="0" applyNumberFormat="1" applyFont="1" applyBorder="1" applyAlignment="1">
      <alignment horizontal="center" vertical="center"/>
    </xf>
    <xf numFmtId="0" fontId="35" fillId="0" borderId="3" xfId="276" applyFont="1" applyBorder="1" applyAlignment="1">
      <alignment horizontal="center" vertical="center" wrapText="1"/>
    </xf>
    <xf numFmtId="166" fontId="35" fillId="0" borderId="3" xfId="1" applyNumberFormat="1" applyFont="1" applyFill="1" applyBorder="1" applyAlignment="1">
      <alignment vertical="center" wrapText="1"/>
    </xf>
    <xf numFmtId="1" fontId="39" fillId="0" borderId="8" xfId="0" quotePrefix="1" applyNumberFormat="1" applyFont="1" applyBorder="1" applyAlignment="1">
      <alignment horizontal="center" vertical="center"/>
    </xf>
    <xf numFmtId="166" fontId="35" fillId="0" borderId="3" xfId="1" applyNumberFormat="1" applyFont="1" applyFill="1" applyBorder="1" applyAlignment="1">
      <alignment vertical="center"/>
    </xf>
    <xf numFmtId="0" fontId="39" fillId="0" borderId="3" xfId="0" applyFont="1" applyBorder="1" applyAlignment="1">
      <alignment horizontal="left" vertical="center" wrapText="1"/>
    </xf>
    <xf numFmtId="49" fontId="39" fillId="0" borderId="3" xfId="1" applyNumberFormat="1" applyFont="1" applyFill="1" applyBorder="1" applyAlignment="1">
      <alignment horizontal="center" vertical="center"/>
    </xf>
    <xf numFmtId="166" fontId="39" fillId="0" borderId="3" xfId="1" applyNumberFormat="1" applyFont="1" applyFill="1" applyBorder="1" applyAlignment="1">
      <alignment vertical="center"/>
    </xf>
    <xf numFmtId="166" fontId="39" fillId="0" borderId="3" xfId="1" applyNumberFormat="1" applyFont="1" applyFill="1" applyBorder="1" applyAlignment="1">
      <alignment horizontal="center" vertical="center"/>
    </xf>
    <xf numFmtId="49" fontId="35" fillId="0" borderId="3" xfId="1" applyNumberFormat="1" applyFont="1" applyFill="1" applyBorder="1" applyAlignment="1">
      <alignment horizontal="center" vertical="center"/>
    </xf>
    <xf numFmtId="166" fontId="35" fillId="0" borderId="3" xfId="1" applyNumberFormat="1" applyFont="1" applyFill="1" applyBorder="1" applyAlignment="1">
      <alignment horizontal="center" vertical="center"/>
    </xf>
    <xf numFmtId="49" fontId="39" fillId="26" borderId="3" xfId="1" applyNumberFormat="1" applyFont="1" applyFill="1" applyBorder="1" applyAlignment="1">
      <alignment horizontal="center" vertical="center"/>
    </xf>
    <xf numFmtId="166" fontId="39" fillId="26" borderId="3" xfId="1" applyNumberFormat="1" applyFont="1" applyFill="1" applyBorder="1" applyAlignment="1">
      <alignment vertical="center"/>
    </xf>
    <xf numFmtId="166" fontId="39" fillId="26" borderId="3" xfId="1" applyNumberFormat="1" applyFont="1" applyFill="1" applyBorder="1" applyAlignment="1">
      <alignment horizontal="center" vertical="center"/>
    </xf>
    <xf numFmtId="166" fontId="35" fillId="26" borderId="3" xfId="1" applyNumberFormat="1" applyFont="1" applyFill="1" applyBorder="1" applyAlignment="1">
      <alignment horizontal="center" vertical="center"/>
    </xf>
    <xf numFmtId="173" fontId="35" fillId="0" borderId="3" xfId="275" applyFont="1" applyBorder="1" applyAlignment="1">
      <alignment horizontal="left"/>
    </xf>
    <xf numFmtId="166" fontId="35" fillId="3" borderId="3" xfId="1" applyNumberFormat="1" applyFont="1" applyFill="1" applyBorder="1" applyAlignment="1">
      <alignment vertical="center"/>
    </xf>
    <xf numFmtId="166" fontId="40" fillId="0" borderId="3" xfId="1" applyNumberFormat="1" applyFont="1" applyFill="1" applyBorder="1" applyAlignment="1">
      <alignment horizontal="center" vertical="center"/>
    </xf>
    <xf numFmtId="0" fontId="35" fillId="0" borderId="3" xfId="0" applyFont="1" applyBorder="1" applyAlignment="1">
      <alignment horizontal="left" vertical="center"/>
    </xf>
    <xf numFmtId="43" fontId="5" fillId="0" borderId="3" xfId="1" quotePrefix="1" applyNumberFormat="1" applyFont="1" applyFill="1" applyBorder="1" applyAlignment="1">
      <alignment horizontal="center" vertical="center" readingOrder="1"/>
    </xf>
    <xf numFmtId="180" fontId="35" fillId="2" borderId="3" xfId="10" applyNumberFormat="1" applyFont="1" applyFill="1" applyBorder="1" applyAlignment="1">
      <alignment vertical="center" wrapText="1"/>
    </xf>
    <xf numFmtId="180" fontId="35" fillId="2" borderId="3" xfId="1" applyNumberFormat="1" applyFont="1" applyFill="1" applyBorder="1" applyAlignment="1">
      <alignment vertical="center" wrapText="1"/>
    </xf>
    <xf numFmtId="166" fontId="35" fillId="2" borderId="3" xfId="1" applyNumberFormat="1" applyFont="1" applyFill="1" applyBorder="1" applyAlignment="1">
      <alignment horizontal="left" vertical="center" wrapText="1"/>
    </xf>
    <xf numFmtId="0" fontId="5" fillId="2" borderId="0" xfId="0" quotePrefix="1" applyFont="1" applyFill="1" applyAlignment="1">
      <alignment vertical="center" wrapText="1"/>
    </xf>
    <xf numFmtId="0" fontId="5" fillId="2" borderId="3" xfId="0" quotePrefix="1" applyFont="1" applyFill="1" applyBorder="1" applyAlignment="1">
      <alignment vertical="center" wrapText="1"/>
    </xf>
    <xf numFmtId="0" fontId="5" fillId="27" borderId="0" xfId="0" applyFont="1" applyFill="1" applyAlignment="1">
      <alignment vertical="center"/>
    </xf>
    <xf numFmtId="0" fontId="35" fillId="27" borderId="3" xfId="0" applyFont="1" applyFill="1" applyBorder="1" applyAlignment="1">
      <alignment horizontal="left"/>
    </xf>
    <xf numFmtId="166" fontId="39" fillId="0" borderId="3" xfId="1" applyNumberFormat="1" applyFont="1" applyFill="1" applyBorder="1" applyAlignment="1">
      <alignment horizontal="left" vertical="center"/>
    </xf>
    <xf numFmtId="0" fontId="35" fillId="27" borderId="14" xfId="0" quotePrefix="1" applyFont="1" applyFill="1" applyBorder="1" applyAlignment="1">
      <alignment horizontal="left" vertical="center"/>
    </xf>
    <xf numFmtId="0" fontId="35" fillId="28" borderId="14" xfId="0" applyFont="1" applyFill="1" applyBorder="1" applyAlignment="1">
      <alignment horizontal="left" vertical="center" wrapText="1"/>
    </xf>
    <xf numFmtId="0" fontId="35" fillId="28" borderId="14" xfId="0" quotePrefix="1" applyFont="1" applyFill="1" applyBorder="1" applyAlignment="1">
      <alignment horizontal="left" vertical="center"/>
    </xf>
    <xf numFmtId="0" fontId="35" fillId="27" borderId="14" xfId="0" applyFont="1" applyFill="1" applyBorder="1" applyAlignment="1">
      <alignment horizontal="left" vertical="center"/>
    </xf>
    <xf numFmtId="0" fontId="35" fillId="28" borderId="14" xfId="0" applyFont="1" applyFill="1" applyBorder="1" applyAlignment="1">
      <alignment horizontal="left" vertical="center"/>
    </xf>
    <xf numFmtId="0" fontId="35" fillId="27" borderId="3" xfId="0" applyFont="1" applyFill="1" applyBorder="1" applyAlignment="1">
      <alignment horizontal="left" vertical="center" wrapText="1"/>
    </xf>
    <xf numFmtId="0" fontId="35" fillId="27" borderId="3" xfId="0" applyFont="1" applyFill="1" applyBorder="1" applyAlignment="1">
      <alignment horizontal="left" vertical="center"/>
    </xf>
    <xf numFmtId="173" fontId="40" fillId="27" borderId="3" xfId="262" quotePrefix="1" applyFont="1" applyFill="1" applyBorder="1" applyAlignment="1">
      <alignment vertical="center"/>
    </xf>
    <xf numFmtId="166" fontId="13" fillId="0" borderId="3" xfId="1" applyNumberFormat="1" applyFont="1" applyBorder="1" applyAlignment="1">
      <alignment vertical="center"/>
    </xf>
    <xf numFmtId="0" fontId="35" fillId="0" borderId="3" xfId="0" applyFont="1" applyBorder="1" applyAlignment="1">
      <alignment vertical="center" wrapText="1"/>
    </xf>
    <xf numFmtId="0" fontId="35" fillId="0" borderId="3" xfId="0" quotePrefix="1" applyFont="1" applyBorder="1" applyAlignment="1">
      <alignment horizontal="left" vertical="center" wrapText="1"/>
    </xf>
    <xf numFmtId="0" fontId="13" fillId="0" borderId="3" xfId="0" applyFont="1" applyBorder="1" applyAlignment="1">
      <alignment vertical="center" wrapText="1"/>
    </xf>
    <xf numFmtId="0" fontId="41" fillId="2" borderId="3" xfId="0" applyFont="1" applyFill="1" applyBorder="1" applyAlignment="1" applyProtection="1">
      <alignment vertical="center" wrapText="1"/>
      <protection locked="0"/>
    </xf>
    <xf numFmtId="0" fontId="13" fillId="9" borderId="0" xfId="0" applyFont="1" applyFill="1" applyAlignment="1">
      <alignment horizontal="center" vertical="center" wrapText="1"/>
    </xf>
    <xf numFmtId="0" fontId="13" fillId="9" borderId="0" xfId="0" applyFont="1" applyFill="1" applyAlignment="1">
      <alignment horizontal="center" vertical="center"/>
    </xf>
    <xf numFmtId="0" fontId="41" fillId="2" borderId="0" xfId="0" applyFont="1" applyFill="1" applyAlignment="1">
      <alignment horizontal="center" vertical="center" wrapText="1"/>
    </xf>
    <xf numFmtId="0" fontId="41" fillId="0" borderId="0" xfId="0" applyFont="1" applyAlignment="1">
      <alignment horizontal="center" vertical="center" wrapText="1"/>
    </xf>
    <xf numFmtId="0" fontId="41" fillId="3" borderId="3" xfId="1" applyNumberFormat="1" applyFont="1" applyFill="1" applyBorder="1" applyAlignment="1">
      <alignment horizontal="center" vertical="center" wrapText="1"/>
    </xf>
    <xf numFmtId="166" fontId="41" fillId="3" borderId="3" xfId="1" applyNumberFormat="1" applyFont="1" applyFill="1" applyBorder="1" applyAlignment="1">
      <alignment horizontal="center" vertical="center" wrapText="1"/>
    </xf>
    <xf numFmtId="0" fontId="13" fillId="3" borderId="3" xfId="0" applyFont="1" applyFill="1" applyBorder="1" applyAlignment="1">
      <alignment horizontal="center" vertical="center"/>
    </xf>
    <xf numFmtId="0" fontId="13" fillId="3" borderId="3" xfId="0" applyFont="1" applyFill="1" applyBorder="1" applyAlignment="1">
      <alignment horizontal="center" vertical="center" wrapText="1"/>
    </xf>
    <xf numFmtId="166" fontId="13" fillId="3" borderId="3" xfId="1" applyNumberFormat="1" applyFont="1" applyFill="1" applyBorder="1" applyAlignment="1" applyProtection="1">
      <alignment horizontal="center" vertical="center" wrapText="1"/>
    </xf>
    <xf numFmtId="166" fontId="13" fillId="3" borderId="3" xfId="1" applyNumberFormat="1" applyFont="1" applyFill="1" applyBorder="1" applyAlignment="1">
      <alignment horizontal="center" vertical="center"/>
    </xf>
    <xf numFmtId="166" fontId="42" fillId="3" borderId="3" xfId="1" applyNumberFormat="1" applyFont="1" applyFill="1" applyBorder="1" applyAlignment="1" applyProtection="1">
      <alignment horizontal="center" vertical="center" wrapText="1"/>
    </xf>
    <xf numFmtId="0" fontId="13" fillId="2" borderId="0" xfId="0" applyFont="1" applyFill="1" applyAlignment="1">
      <alignment horizontal="center" vertical="center"/>
    </xf>
    <xf numFmtId="0" fontId="13" fillId="0" borderId="0" xfId="0" applyFont="1" applyAlignment="1">
      <alignment horizontal="center" vertical="center"/>
    </xf>
    <xf numFmtId="0" fontId="41" fillId="4" borderId="3" xfId="0" applyFont="1" applyFill="1" applyBorder="1" applyAlignment="1">
      <alignment horizontal="center" vertical="center" wrapText="1"/>
    </xf>
    <xf numFmtId="0" fontId="41" fillId="4" borderId="3" xfId="0" applyFont="1" applyFill="1" applyBorder="1" applyAlignment="1">
      <alignment horizontal="left" vertical="center"/>
    </xf>
    <xf numFmtId="166" fontId="41" fillId="4" borderId="3" xfId="1" applyNumberFormat="1" applyFont="1" applyFill="1" applyBorder="1" applyAlignment="1">
      <alignment horizontal="center" vertical="center" wrapText="1"/>
    </xf>
    <xf numFmtId="166" fontId="41" fillId="4" borderId="3" xfId="1" applyNumberFormat="1" applyFont="1" applyFill="1" applyBorder="1" applyAlignment="1">
      <alignment vertical="center"/>
    </xf>
    <xf numFmtId="166" fontId="41" fillId="4" borderId="3" xfId="1" applyNumberFormat="1" applyFont="1" applyFill="1" applyBorder="1" applyAlignment="1">
      <alignment horizontal="center" vertical="center"/>
    </xf>
    <xf numFmtId="0" fontId="13" fillId="9" borderId="0" xfId="0" applyFont="1" applyFill="1" applyAlignment="1">
      <alignment horizontal="left" vertical="center"/>
    </xf>
    <xf numFmtId="0" fontId="13" fillId="9" borderId="0" xfId="0" applyFont="1" applyFill="1" applyAlignment="1">
      <alignment vertical="center"/>
    </xf>
    <xf numFmtId="0" fontId="13" fillId="27" borderId="0" xfId="0" applyFont="1" applyFill="1" applyAlignment="1">
      <alignment vertical="center"/>
    </xf>
    <xf numFmtId="0" fontId="13" fillId="2" borderId="0" xfId="0" applyFont="1" applyFill="1" applyAlignment="1">
      <alignment vertical="center"/>
    </xf>
    <xf numFmtId="0" fontId="13" fillId="0" borderId="0" xfId="0" applyFont="1" applyAlignment="1">
      <alignment vertical="center"/>
    </xf>
    <xf numFmtId="0" fontId="41" fillId="8" borderId="3" xfId="0" applyFont="1" applyFill="1" applyBorder="1" applyAlignment="1">
      <alignment horizontal="center" vertical="center"/>
    </xf>
    <xf numFmtId="0" fontId="41" fillId="8" borderId="3" xfId="0" applyFont="1" applyFill="1" applyBorder="1" applyAlignment="1">
      <alignment horizontal="left" vertical="center" wrapText="1"/>
    </xf>
    <xf numFmtId="0" fontId="41" fillId="8" borderId="3" xfId="0" applyFont="1" applyFill="1" applyBorder="1" applyAlignment="1">
      <alignment horizontal="center" vertical="center" wrapText="1"/>
    </xf>
    <xf numFmtId="166" fontId="41" fillId="8" borderId="3" xfId="1" applyNumberFormat="1" applyFont="1" applyFill="1" applyBorder="1" applyAlignment="1">
      <alignment horizontal="center" vertical="center" wrapText="1"/>
    </xf>
    <xf numFmtId="166" fontId="41" fillId="8" borderId="3" xfId="1" applyNumberFormat="1" applyFont="1" applyFill="1" applyBorder="1" applyAlignment="1">
      <alignment vertical="center"/>
    </xf>
    <xf numFmtId="0" fontId="41" fillId="7" borderId="3" xfId="0" applyFont="1" applyFill="1" applyBorder="1" applyAlignment="1">
      <alignment horizontal="center" vertical="center"/>
    </xf>
    <xf numFmtId="0" fontId="41" fillId="7" borderId="3" xfId="0" applyFont="1" applyFill="1" applyBorder="1" applyAlignment="1">
      <alignment vertical="center" wrapText="1"/>
    </xf>
    <xf numFmtId="0" fontId="41" fillId="7" borderId="3" xfId="0" applyFont="1" applyFill="1" applyBorder="1" applyAlignment="1">
      <alignment horizontal="center" vertical="center" wrapText="1"/>
    </xf>
    <xf numFmtId="166" fontId="41" fillId="7" borderId="3" xfId="1" applyNumberFormat="1" applyFont="1" applyFill="1" applyBorder="1" applyAlignment="1">
      <alignment vertical="center"/>
    </xf>
    <xf numFmtId="0" fontId="41" fillId="2" borderId="0" xfId="0" applyFont="1" applyFill="1" applyAlignment="1">
      <alignment horizontal="center" vertical="center"/>
    </xf>
    <xf numFmtId="0" fontId="41" fillId="0" borderId="0" xfId="0" applyFont="1" applyAlignment="1">
      <alignment horizontal="center" vertical="center"/>
    </xf>
    <xf numFmtId="0" fontId="41" fillId="2" borderId="0" xfId="0" applyFont="1" applyFill="1" applyAlignment="1">
      <alignment vertical="center"/>
    </xf>
    <xf numFmtId="0" fontId="41" fillId="27" borderId="0" xfId="0" applyFont="1" applyFill="1" applyAlignment="1">
      <alignment vertical="center"/>
    </xf>
    <xf numFmtId="0" fontId="41" fillId="0" borderId="0" xfId="0" applyFont="1" applyAlignment="1">
      <alignment vertical="center"/>
    </xf>
    <xf numFmtId="0" fontId="41" fillId="2" borderId="3" xfId="0" applyFont="1" applyFill="1" applyBorder="1" applyAlignment="1" applyProtection="1">
      <alignment horizontal="center" vertical="center"/>
      <protection locked="0"/>
    </xf>
    <xf numFmtId="0" fontId="41" fillId="2" borderId="3" xfId="0" applyFont="1" applyFill="1" applyBorder="1" applyAlignment="1">
      <alignment vertical="center" wrapText="1"/>
    </xf>
    <xf numFmtId="166" fontId="41" fillId="2" borderId="3" xfId="1" applyNumberFormat="1" applyFont="1" applyFill="1" applyBorder="1" applyAlignment="1">
      <alignment horizontal="center" vertical="center"/>
    </xf>
    <xf numFmtId="166" fontId="41" fillId="2" borderId="3" xfId="1" applyNumberFormat="1" applyFont="1" applyFill="1" applyBorder="1" applyAlignment="1">
      <alignment vertical="center"/>
    </xf>
    <xf numFmtId="0" fontId="41" fillId="2" borderId="3" xfId="0" applyFont="1" applyFill="1" applyBorder="1" applyAlignment="1">
      <alignment horizontal="center" vertical="center"/>
    </xf>
    <xf numFmtId="0" fontId="43" fillId="2" borderId="0" xfId="0" applyFont="1" applyFill="1" applyAlignment="1">
      <alignment horizontal="center" vertical="center"/>
    </xf>
    <xf numFmtId="0" fontId="43" fillId="2" borderId="0" xfId="0" applyFont="1" applyFill="1" applyAlignment="1">
      <alignment vertical="center"/>
    </xf>
    <xf numFmtId="0" fontId="43" fillId="27" borderId="0" xfId="0" applyFont="1" applyFill="1" applyAlignment="1">
      <alignment vertical="center"/>
    </xf>
    <xf numFmtId="0" fontId="13" fillId="2" borderId="3" xfId="0" applyFont="1" applyFill="1" applyBorder="1" applyAlignment="1">
      <alignment vertical="center" wrapText="1"/>
    </xf>
    <xf numFmtId="166" fontId="13" fillId="2" borderId="3" xfId="1" applyNumberFormat="1" applyFont="1" applyFill="1" applyBorder="1" applyAlignment="1">
      <alignment horizontal="center" vertical="center"/>
    </xf>
    <xf numFmtId="166" fontId="13" fillId="2" borderId="3" xfId="1" applyNumberFormat="1" applyFont="1" applyFill="1" applyBorder="1" applyAlignment="1">
      <alignment vertical="center"/>
    </xf>
    <xf numFmtId="0" fontId="13" fillId="2" borderId="3" xfId="0" applyFont="1" applyFill="1" applyBorder="1" applyAlignment="1">
      <alignment horizontal="center" vertical="center"/>
    </xf>
    <xf numFmtId="0" fontId="13" fillId="2" borderId="3" xfId="0" applyFont="1" applyFill="1" applyBorder="1" applyAlignment="1" applyProtection="1">
      <alignment horizontal="center" vertical="center" wrapText="1"/>
      <protection locked="0"/>
    </xf>
    <xf numFmtId="43" fontId="35" fillId="0" borderId="3" xfId="0" applyNumberFormat="1" applyFont="1" applyBorder="1" applyAlignment="1">
      <alignment horizontal="center" vertical="center" wrapText="1"/>
    </xf>
    <xf numFmtId="166" fontId="13" fillId="0" borderId="3" xfId="1" applyNumberFormat="1" applyFont="1" applyFill="1" applyBorder="1" applyAlignment="1">
      <alignment vertical="center"/>
    </xf>
    <xf numFmtId="0" fontId="41" fillId="2" borderId="3" xfId="0" applyFont="1" applyFill="1" applyBorder="1" applyAlignment="1">
      <alignment horizontal="center" vertical="center" wrapText="1"/>
    </xf>
    <xf numFmtId="166" fontId="35" fillId="0" borderId="3" xfId="1" applyNumberFormat="1" applyFont="1" applyFill="1" applyBorder="1" applyAlignment="1">
      <alignment horizontal="center" vertical="center" wrapText="1"/>
    </xf>
    <xf numFmtId="0" fontId="13" fillId="2" borderId="3" xfId="0" applyFont="1" applyFill="1" applyBorder="1" applyAlignment="1" applyProtection="1">
      <alignment horizontal="center" vertical="center"/>
      <protection locked="0"/>
    </xf>
    <xf numFmtId="166" fontId="35" fillId="3" borderId="3" xfId="1" applyNumberFormat="1" applyFont="1" applyFill="1" applyBorder="1" applyAlignment="1">
      <alignment horizontal="center" vertical="center" wrapText="1"/>
    </xf>
    <xf numFmtId="0" fontId="41" fillId="27" borderId="0" xfId="0" quotePrefix="1" applyFont="1" applyFill="1" applyAlignment="1">
      <alignment vertical="center"/>
    </xf>
    <xf numFmtId="0" fontId="41" fillId="2" borderId="3" xfId="0" applyFont="1" applyFill="1" applyBorder="1" applyAlignment="1" applyProtection="1">
      <alignment vertical="center"/>
      <protection locked="0"/>
    </xf>
    <xf numFmtId="166" fontId="41" fillId="2" borderId="3" xfId="1" applyNumberFormat="1" applyFont="1" applyFill="1" applyBorder="1" applyAlignment="1">
      <alignment horizontal="right" vertical="center"/>
    </xf>
    <xf numFmtId="0" fontId="44" fillId="0" borderId="0" xfId="0" applyFont="1" applyAlignment="1">
      <alignment horizontal="center" vertical="center"/>
    </xf>
    <xf numFmtId="0" fontId="44" fillId="2" borderId="0" xfId="0" applyFont="1" applyFill="1" applyAlignment="1">
      <alignment horizontal="center" vertical="center"/>
    </xf>
    <xf numFmtId="0" fontId="45" fillId="2" borderId="0" xfId="0" applyFont="1" applyFill="1" applyAlignment="1">
      <alignment horizontal="center" vertical="center"/>
    </xf>
    <xf numFmtId="0" fontId="45" fillId="2" borderId="0" xfId="0" applyFont="1" applyFill="1" applyAlignment="1">
      <alignment vertical="center"/>
    </xf>
    <xf numFmtId="0" fontId="45" fillId="27" borderId="0" xfId="0" applyFont="1" applyFill="1" applyAlignment="1">
      <alignment vertical="center"/>
    </xf>
    <xf numFmtId="0" fontId="13" fillId="2" borderId="3" xfId="0" applyFont="1" applyFill="1" applyBorder="1" applyAlignment="1" applyProtection="1">
      <alignment vertical="center" wrapText="1"/>
      <protection locked="0"/>
    </xf>
    <xf numFmtId="0" fontId="44" fillId="2" borderId="0" xfId="0" applyFont="1" applyFill="1" applyAlignment="1">
      <alignment vertical="center"/>
    </xf>
    <xf numFmtId="0" fontId="44" fillId="27" borderId="0" xfId="0" applyFont="1" applyFill="1" applyAlignment="1">
      <alignment vertical="center"/>
    </xf>
    <xf numFmtId="0" fontId="41" fillId="18" borderId="3" xfId="0" applyFont="1" applyFill="1" applyBorder="1" applyAlignment="1" applyProtection="1">
      <alignment horizontal="center" vertical="center"/>
      <protection locked="0"/>
    </xf>
    <xf numFmtId="0" fontId="41" fillId="18" borderId="3" xfId="0" applyFont="1" applyFill="1" applyBorder="1" applyAlignment="1" applyProtection="1">
      <alignment vertical="center" wrapText="1"/>
      <protection locked="0"/>
    </xf>
    <xf numFmtId="0" fontId="41" fillId="18" borderId="3" xfId="0" applyFont="1" applyFill="1" applyBorder="1" applyAlignment="1">
      <alignment horizontal="center" vertical="center" wrapText="1"/>
    </xf>
    <xf numFmtId="166" fontId="41" fillId="18" borderId="3" xfId="1" applyNumberFormat="1" applyFont="1" applyFill="1" applyBorder="1" applyAlignment="1">
      <alignment vertical="center"/>
    </xf>
    <xf numFmtId="166" fontId="41" fillId="18" borderId="3" xfId="1" applyNumberFormat="1" applyFont="1" applyFill="1" applyBorder="1" applyAlignment="1">
      <alignment horizontal="right" vertical="center"/>
    </xf>
    <xf numFmtId="166" fontId="41" fillId="18" borderId="3" xfId="0" applyNumberFormat="1" applyFont="1" applyFill="1" applyBorder="1" applyAlignment="1">
      <alignment vertical="center"/>
    </xf>
    <xf numFmtId="0" fontId="45" fillId="0" borderId="0" xfId="0" applyFont="1" applyAlignment="1">
      <alignment horizontal="center" vertical="center"/>
    </xf>
    <xf numFmtId="0" fontId="45" fillId="0" borderId="0" xfId="0" applyFont="1" applyAlignment="1">
      <alignment vertical="center"/>
    </xf>
    <xf numFmtId="0" fontId="41" fillId="0" borderId="3" xfId="0" applyFont="1" applyBorder="1" applyAlignment="1" applyProtection="1">
      <alignment horizontal="center" vertical="center"/>
      <protection locked="0"/>
    </xf>
    <xf numFmtId="0" fontId="41" fillId="0" borderId="3" xfId="0" applyFont="1" applyBorder="1" applyAlignment="1" applyProtection="1">
      <alignment vertical="center" wrapText="1"/>
      <protection locked="0"/>
    </xf>
    <xf numFmtId="0" fontId="41" fillId="0" borderId="3" xfId="0" applyFont="1" applyBorder="1" applyAlignment="1">
      <alignment horizontal="center" vertical="center"/>
    </xf>
    <xf numFmtId="0" fontId="41" fillId="2" borderId="10" xfId="0" applyFont="1" applyFill="1" applyBorder="1" applyAlignment="1">
      <alignment horizontal="left" vertical="center" wrapText="1"/>
    </xf>
    <xf numFmtId="0" fontId="13" fillId="2" borderId="10" xfId="0" applyFont="1" applyFill="1" applyBorder="1" applyAlignment="1">
      <alignment horizontal="left" vertical="center" wrapText="1"/>
    </xf>
    <xf numFmtId="166" fontId="13" fillId="0" borderId="3" xfId="261" applyNumberFormat="1" applyFont="1" applyFill="1" applyBorder="1" applyAlignment="1">
      <alignment vertical="center" wrapText="1"/>
    </xf>
    <xf numFmtId="43" fontId="13" fillId="2" borderId="3" xfId="1" applyNumberFormat="1" applyFont="1" applyFill="1" applyBorder="1" applyAlignment="1">
      <alignment vertical="center"/>
    </xf>
    <xf numFmtId="0" fontId="44" fillId="27" borderId="0" xfId="0" applyFont="1" applyFill="1" applyAlignment="1">
      <alignment horizontal="center" vertical="center"/>
    </xf>
    <xf numFmtId="0" fontId="13" fillId="0" borderId="3" xfId="260" applyFont="1" applyBorder="1"/>
    <xf numFmtId="170" fontId="13" fillId="2" borderId="3" xfId="1" applyNumberFormat="1" applyFont="1" applyFill="1" applyBorder="1" applyAlignment="1">
      <alignment vertical="center"/>
    </xf>
    <xf numFmtId="166" fontId="13" fillId="2" borderId="3" xfId="261" applyNumberFormat="1" applyFont="1" applyFill="1" applyBorder="1" applyAlignment="1">
      <alignment vertical="center" wrapText="1"/>
    </xf>
    <xf numFmtId="2" fontId="13" fillId="0" borderId="3" xfId="0" applyNumberFormat="1" applyFont="1" applyBorder="1" applyAlignment="1">
      <alignment vertical="center" wrapText="1"/>
    </xf>
    <xf numFmtId="167" fontId="13" fillId="2" borderId="3" xfId="1" applyNumberFormat="1" applyFont="1" applyFill="1" applyBorder="1" applyAlignment="1">
      <alignment vertical="center"/>
    </xf>
    <xf numFmtId="167" fontId="13" fillId="0" borderId="3" xfId="1" applyNumberFormat="1" applyFont="1" applyFill="1" applyBorder="1" applyAlignment="1">
      <alignment vertical="center"/>
    </xf>
    <xf numFmtId="43" fontId="13" fillId="0" borderId="3" xfId="5" applyFont="1" applyFill="1" applyBorder="1" applyAlignment="1">
      <alignment vertical="center" wrapText="1"/>
    </xf>
    <xf numFmtId="166" fontId="13" fillId="0" borderId="3" xfId="5" applyNumberFormat="1" applyFont="1" applyBorder="1" applyAlignment="1">
      <alignment vertical="center"/>
    </xf>
    <xf numFmtId="0" fontId="13" fillId="2" borderId="10" xfId="0" applyFont="1" applyFill="1" applyBorder="1" applyAlignment="1" applyProtection="1">
      <alignment vertical="center" wrapText="1"/>
      <protection locked="0"/>
    </xf>
    <xf numFmtId="43" fontId="13" fillId="3" borderId="3" xfId="1" applyFont="1" applyFill="1" applyBorder="1" applyAlignment="1">
      <alignment vertical="center"/>
    </xf>
    <xf numFmtId="167" fontId="13" fillId="3" borderId="3" xfId="1" applyNumberFormat="1" applyFont="1" applyFill="1" applyBorder="1" applyAlignment="1">
      <alignment vertical="center"/>
    </xf>
    <xf numFmtId="2" fontId="13" fillId="0" borderId="3" xfId="260" applyNumberFormat="1" applyFont="1" applyBorder="1" applyAlignment="1">
      <alignment vertical="center" wrapText="1"/>
    </xf>
    <xf numFmtId="166" fontId="13" fillId="3" borderId="3" xfId="1" applyNumberFormat="1" applyFont="1" applyFill="1" applyBorder="1" applyAlignment="1">
      <alignment vertical="center"/>
    </xf>
    <xf numFmtId="170" fontId="13" fillId="2" borderId="3" xfId="261" applyNumberFormat="1" applyFont="1" applyFill="1" applyBorder="1" applyAlignment="1">
      <alignment vertical="center" wrapText="1"/>
    </xf>
    <xf numFmtId="170" fontId="13" fillId="0" borderId="3" xfId="261" applyNumberFormat="1" applyFont="1" applyFill="1" applyBorder="1" applyAlignment="1">
      <alignment vertical="center" wrapText="1"/>
    </xf>
    <xf numFmtId="0" fontId="44" fillId="3" borderId="0" xfId="0" applyFont="1" applyFill="1" applyAlignment="1">
      <alignment horizontal="center" vertical="center"/>
    </xf>
    <xf numFmtId="0" fontId="44" fillId="3" borderId="0" xfId="0" applyFont="1" applyFill="1" applyAlignment="1">
      <alignment vertical="center"/>
    </xf>
    <xf numFmtId="2" fontId="35" fillId="0" borderId="3" xfId="282" applyNumberFormat="1" applyFont="1" applyBorder="1" applyAlignment="1">
      <alignment horizontal="left" vertical="center" wrapText="1"/>
    </xf>
    <xf numFmtId="0" fontId="41" fillId="6" borderId="3" xfId="0" applyFont="1" applyFill="1" applyBorder="1" applyAlignment="1" applyProtection="1">
      <alignment horizontal="center" vertical="center"/>
      <protection locked="0"/>
    </xf>
    <xf numFmtId="0" fontId="41" fillId="6" borderId="3" xfId="0" applyFont="1" applyFill="1" applyBorder="1" applyAlignment="1" applyProtection="1">
      <alignment vertical="center" wrapText="1"/>
      <protection locked="0"/>
    </xf>
    <xf numFmtId="0" fontId="41" fillId="6" borderId="3" xfId="0" applyFont="1" applyFill="1" applyBorder="1" applyAlignment="1">
      <alignment horizontal="center" vertical="center" wrapText="1"/>
    </xf>
    <xf numFmtId="166" fontId="41" fillId="6" borderId="3" xfId="1" applyNumberFormat="1" applyFont="1" applyFill="1" applyBorder="1" applyAlignment="1">
      <alignment vertical="center"/>
    </xf>
    <xf numFmtId="166" fontId="41" fillId="6" borderId="3" xfId="1" applyNumberFormat="1" applyFont="1" applyFill="1" applyBorder="1" applyAlignment="1">
      <alignment horizontal="right" vertical="center"/>
    </xf>
    <xf numFmtId="166" fontId="41" fillId="6" borderId="3" xfId="0" applyNumberFormat="1" applyFont="1" applyFill="1" applyBorder="1" applyAlignment="1">
      <alignment vertical="center"/>
    </xf>
    <xf numFmtId="166" fontId="45" fillId="0" borderId="0" xfId="0" applyNumberFormat="1" applyFont="1" applyAlignment="1">
      <alignment horizontal="center" vertical="center"/>
    </xf>
    <xf numFmtId="170" fontId="45" fillId="27" borderId="0" xfId="1" applyNumberFormat="1" applyFont="1" applyFill="1" applyAlignment="1">
      <alignment vertical="center"/>
    </xf>
    <xf numFmtId="166" fontId="44" fillId="2" borderId="0" xfId="0" applyNumberFormat="1" applyFont="1" applyFill="1" applyAlignment="1">
      <alignment horizontal="center" vertical="center"/>
    </xf>
    <xf numFmtId="166" fontId="45" fillId="2" borderId="0" xfId="0" applyNumberFormat="1" applyFont="1" applyFill="1" applyAlignment="1">
      <alignment horizontal="center" vertical="center"/>
    </xf>
    <xf numFmtId="43" fontId="13" fillId="2" borderId="3" xfId="1" applyFont="1" applyFill="1" applyBorder="1" applyAlignment="1">
      <alignment vertical="center"/>
    </xf>
    <xf numFmtId="166" fontId="44" fillId="2" borderId="0" xfId="0" applyNumberFormat="1" applyFont="1" applyFill="1" applyAlignment="1">
      <alignment vertical="center"/>
    </xf>
    <xf numFmtId="170" fontId="44" fillId="27" borderId="0" xfId="1" applyNumberFormat="1" applyFont="1" applyFill="1" applyAlignment="1">
      <alignment vertical="center"/>
    </xf>
    <xf numFmtId="170" fontId="44" fillId="2" borderId="0" xfId="0" applyNumberFormat="1" applyFont="1" applyFill="1" applyAlignment="1">
      <alignment vertical="center"/>
    </xf>
    <xf numFmtId="0" fontId="41" fillId="2" borderId="3" xfId="0" applyFont="1" applyFill="1" applyBorder="1" applyAlignment="1" applyProtection="1">
      <alignment horizontal="center" vertical="center" wrapText="1"/>
      <protection locked="0"/>
    </xf>
    <xf numFmtId="166" fontId="45" fillId="2" borderId="0" xfId="0" applyNumberFormat="1" applyFont="1" applyFill="1" applyAlignment="1">
      <alignment vertical="center"/>
    </xf>
    <xf numFmtId="170" fontId="45" fillId="2" borderId="0" xfId="1" applyNumberFormat="1" applyFont="1" applyFill="1" applyAlignment="1">
      <alignment vertical="center"/>
    </xf>
    <xf numFmtId="0" fontId="35" fillId="0" borderId="3" xfId="271" applyFont="1" applyBorder="1" applyAlignment="1">
      <alignment horizontal="left" wrapText="1"/>
    </xf>
    <xf numFmtId="170" fontId="44" fillId="2" borderId="0" xfId="1" applyNumberFormat="1" applyFont="1" applyFill="1" applyAlignment="1">
      <alignment vertical="center"/>
    </xf>
    <xf numFmtId="43" fontId="39" fillId="11" borderId="3" xfId="0" applyNumberFormat="1" applyFont="1" applyFill="1" applyBorder="1" applyAlignment="1">
      <alignment horizontal="left" vertical="center" wrapText="1"/>
    </xf>
    <xf numFmtId="0" fontId="13" fillId="2" borderId="10" xfId="0" applyFont="1" applyFill="1" applyBorder="1" applyAlignment="1">
      <alignment vertical="center" wrapText="1"/>
    </xf>
    <xf numFmtId="0" fontId="40" fillId="2" borderId="3" xfId="0" applyFont="1" applyFill="1" applyBorder="1" applyAlignment="1">
      <alignment horizontal="center" vertical="center"/>
    </xf>
    <xf numFmtId="166" fontId="46" fillId="2" borderId="0" xfId="0" applyNumberFormat="1" applyFont="1" applyFill="1" applyAlignment="1">
      <alignment horizontal="center" vertical="center"/>
    </xf>
    <xf numFmtId="166" fontId="40" fillId="2" borderId="0" xfId="0" applyNumberFormat="1" applyFont="1" applyFill="1" applyAlignment="1">
      <alignment horizontal="center" vertical="center"/>
    </xf>
    <xf numFmtId="166" fontId="40" fillId="2" borderId="0" xfId="0" applyNumberFormat="1" applyFont="1" applyFill="1" applyAlignment="1">
      <alignment vertical="center"/>
    </xf>
    <xf numFmtId="170" fontId="40" fillId="27" borderId="0" xfId="1" applyNumberFormat="1" applyFont="1" applyFill="1" applyAlignment="1">
      <alignment vertical="center"/>
    </xf>
    <xf numFmtId="0" fontId="40" fillId="2" borderId="0" xfId="0" applyFont="1" applyFill="1" applyAlignment="1">
      <alignment vertical="center"/>
    </xf>
    <xf numFmtId="166" fontId="41" fillId="2" borderId="3" xfId="3" applyNumberFormat="1" applyFont="1" applyFill="1" applyBorder="1" applyAlignment="1">
      <alignment horizontal="right" vertical="center"/>
    </xf>
    <xf numFmtId="0" fontId="39" fillId="0" borderId="3" xfId="271" applyFont="1" applyBorder="1" applyAlignment="1">
      <alignment horizontal="left" wrapText="1"/>
    </xf>
    <xf numFmtId="43" fontId="13" fillId="2" borderId="3" xfId="1" applyFont="1" applyFill="1" applyBorder="1" applyAlignment="1" applyProtection="1">
      <alignment horizontal="center" vertical="center" wrapText="1"/>
      <protection locked="0"/>
    </xf>
    <xf numFmtId="0" fontId="41" fillId="9" borderId="3" xfId="0" applyFont="1" applyFill="1" applyBorder="1" applyAlignment="1" applyProtection="1">
      <alignment horizontal="center" vertical="center"/>
      <protection locked="0"/>
    </xf>
    <xf numFmtId="0" fontId="41" fillId="9" borderId="3" xfId="0" applyFont="1" applyFill="1" applyBorder="1" applyAlignment="1" applyProtection="1">
      <alignment vertical="center" wrapText="1"/>
      <protection locked="0"/>
    </xf>
    <xf numFmtId="0" fontId="41" fillId="9" borderId="3" xfId="0" applyFont="1" applyFill="1" applyBorder="1" applyAlignment="1">
      <alignment horizontal="center" vertical="center" wrapText="1"/>
    </xf>
    <xf numFmtId="166" fontId="41" fillId="9" borderId="3" xfId="1" applyNumberFormat="1" applyFont="1" applyFill="1" applyBorder="1" applyAlignment="1">
      <alignment vertical="center"/>
    </xf>
    <xf numFmtId="166" fontId="41" fillId="9" borderId="3" xfId="1" applyNumberFormat="1" applyFont="1" applyFill="1" applyBorder="1" applyAlignment="1">
      <alignment horizontal="right" vertical="center"/>
    </xf>
    <xf numFmtId="166" fontId="41" fillId="9" borderId="3" xfId="0" applyNumberFormat="1" applyFont="1" applyFill="1" applyBorder="1" applyAlignment="1">
      <alignment vertical="center"/>
    </xf>
    <xf numFmtId="0" fontId="41" fillId="2" borderId="3" xfId="22" applyFont="1" applyFill="1" applyBorder="1" applyAlignment="1">
      <alignment vertical="center" wrapText="1"/>
    </xf>
    <xf numFmtId="0" fontId="41" fillId="2" borderId="3" xfId="244" applyFont="1" applyFill="1" applyBorder="1" applyAlignment="1">
      <alignment horizontal="left" vertical="center" wrapText="1"/>
    </xf>
    <xf numFmtId="0" fontId="13" fillId="2" borderId="3" xfId="244" applyFont="1" applyFill="1" applyBorder="1" applyAlignment="1">
      <alignment horizontal="left" vertical="center" wrapText="1"/>
    </xf>
    <xf numFmtId="3" fontId="40" fillId="0" borderId="0" xfId="0" applyNumberFormat="1" applyFont="1" applyAlignment="1">
      <alignment vertical="center"/>
    </xf>
    <xf numFmtId="0" fontId="13" fillId="27" borderId="3" xfId="0" quotePrefix="1" applyFont="1" applyFill="1" applyBorder="1" applyAlignment="1">
      <alignment vertical="center" wrapText="1"/>
    </xf>
    <xf numFmtId="166" fontId="13" fillId="0" borderId="3" xfId="1" applyNumberFormat="1" applyFont="1" applyFill="1" applyBorder="1" applyAlignment="1">
      <alignment vertical="center" wrapText="1"/>
    </xf>
    <xf numFmtId="166" fontId="35" fillId="0" borderId="3" xfId="1" applyNumberFormat="1" applyFont="1" applyBorder="1"/>
    <xf numFmtId="173" fontId="41" fillId="0" borderId="3" xfId="263" applyFont="1" applyBorder="1" applyAlignment="1">
      <alignment horizontal="left" vertical="center" wrapText="1"/>
    </xf>
    <xf numFmtId="3" fontId="40" fillId="17" borderId="3" xfId="0" applyNumberFormat="1" applyFont="1" applyFill="1" applyBorder="1" applyAlignment="1">
      <alignment vertical="center"/>
    </xf>
    <xf numFmtId="0" fontId="13" fillId="27" borderId="3" xfId="0" applyFont="1" applyFill="1" applyBorder="1" applyAlignment="1">
      <alignment vertical="center"/>
    </xf>
    <xf numFmtId="0" fontId="41" fillId="0" borderId="3" xfId="0" applyFont="1" applyBorder="1" applyAlignment="1">
      <alignment horizontal="left" vertical="center" wrapText="1"/>
    </xf>
    <xf numFmtId="166" fontId="40" fillId="3" borderId="3" xfId="264" applyNumberFormat="1" applyFont="1" applyFill="1" applyBorder="1" applyAlignment="1">
      <alignment vertical="center" wrapText="1"/>
    </xf>
    <xf numFmtId="166" fontId="40" fillId="0" borderId="3" xfId="264" applyNumberFormat="1" applyFont="1" applyBorder="1" applyAlignment="1">
      <alignment vertical="center" wrapText="1"/>
    </xf>
    <xf numFmtId="0" fontId="13" fillId="2" borderId="2" xfId="0" applyFont="1" applyFill="1" applyBorder="1" applyAlignment="1">
      <alignment horizontal="left" vertical="center" wrapText="1"/>
    </xf>
    <xf numFmtId="0" fontId="13" fillId="0" borderId="3" xfId="0" applyFont="1" applyBorder="1" applyAlignment="1">
      <alignment horizontal="center" vertical="center"/>
    </xf>
    <xf numFmtId="177" fontId="13" fillId="0" borderId="3" xfId="267" applyFont="1" applyFill="1" applyBorder="1" applyAlignment="1">
      <alignment vertical="center"/>
    </xf>
    <xf numFmtId="166" fontId="13" fillId="0" borderId="3" xfId="1" applyNumberFormat="1" applyFont="1" applyFill="1" applyBorder="1" applyAlignment="1">
      <alignment horizontal="center" vertical="center"/>
    </xf>
    <xf numFmtId="43" fontId="13" fillId="2" borderId="3" xfId="1" applyFont="1" applyFill="1" applyBorder="1" applyAlignment="1">
      <alignment horizontal="right" vertical="center"/>
    </xf>
    <xf numFmtId="0" fontId="35" fillId="0" borderId="3" xfId="244" applyFont="1" applyFill="1" applyBorder="1" applyAlignment="1">
      <alignment vertical="center" wrapText="1"/>
    </xf>
    <xf numFmtId="166" fontId="13" fillId="0" borderId="3" xfId="264" applyNumberFormat="1" applyFont="1" applyFill="1" applyBorder="1" applyAlignment="1">
      <alignment vertical="center" wrapText="1"/>
    </xf>
    <xf numFmtId="166" fontId="40" fillId="0" borderId="3" xfId="286" applyNumberFormat="1" applyFont="1" applyFill="1" applyBorder="1" applyAlignment="1">
      <alignment horizontal="center" vertical="center"/>
    </xf>
    <xf numFmtId="0" fontId="13" fillId="2" borderId="3" xfId="34" applyFont="1" applyFill="1" applyBorder="1" applyAlignment="1" applyProtection="1">
      <alignment horizontal="left" vertical="center" wrapText="1"/>
    </xf>
    <xf numFmtId="166" fontId="13" fillId="22" borderId="3" xfId="264" applyNumberFormat="1" applyFont="1" applyFill="1" applyBorder="1" applyAlignment="1">
      <alignment vertical="center" wrapText="1"/>
    </xf>
    <xf numFmtId="166" fontId="13" fillId="22" borderId="3" xfId="286" applyNumberFormat="1" applyFont="1" applyFill="1" applyBorder="1" applyAlignment="1">
      <alignment horizontal="center" vertical="center" wrapText="1"/>
    </xf>
    <xf numFmtId="0" fontId="13" fillId="0" borderId="3" xfId="0" applyFont="1" applyBorder="1" applyAlignment="1">
      <alignment horizontal="left" vertical="center" wrapText="1"/>
    </xf>
    <xf numFmtId="0" fontId="41" fillId="0" borderId="3" xfId="265" applyFont="1" applyBorder="1" applyAlignment="1">
      <alignment horizontal="left" vertical="center" wrapText="1"/>
    </xf>
    <xf numFmtId="0" fontId="13" fillId="27" borderId="3" xfId="0" quotePrefix="1" applyFont="1" applyFill="1" applyBorder="1" applyAlignment="1">
      <alignment vertical="center"/>
    </xf>
    <xf numFmtId="166" fontId="0" fillId="0" borderId="3" xfId="1" applyNumberFormat="1" applyFont="1" applyBorder="1"/>
    <xf numFmtId="3" fontId="13" fillId="0" borderId="0" xfId="0" applyNumberFormat="1" applyFont="1" applyAlignment="1">
      <alignment vertical="center"/>
    </xf>
    <xf numFmtId="166" fontId="13" fillId="22" borderId="3" xfId="1" applyNumberFormat="1" applyFont="1" applyFill="1" applyBorder="1" applyAlignment="1">
      <alignment horizontal="center" vertical="center"/>
    </xf>
    <xf numFmtId="43" fontId="13" fillId="22" borderId="3" xfId="1" applyFont="1" applyFill="1" applyBorder="1" applyAlignment="1">
      <alignment horizontal="right" vertical="center"/>
    </xf>
    <xf numFmtId="3" fontId="13" fillId="0" borderId="3" xfId="0" applyNumberFormat="1" applyFont="1" applyBorder="1" applyAlignment="1">
      <alignment horizontal="center" vertical="top" wrapText="1"/>
    </xf>
    <xf numFmtId="3" fontId="13" fillId="0" borderId="3" xfId="0" applyNumberFormat="1" applyFont="1" applyFill="1" applyBorder="1" applyAlignment="1">
      <alignment horizontal="center" vertical="top" wrapText="1"/>
    </xf>
    <xf numFmtId="0" fontId="41" fillId="20" borderId="3" xfId="0" applyFont="1" applyFill="1" applyBorder="1" applyAlignment="1">
      <alignment horizontal="left" vertical="center" wrapText="1"/>
    </xf>
    <xf numFmtId="0" fontId="41" fillId="0" borderId="3" xfId="0" applyFont="1" applyBorder="1" applyAlignment="1">
      <alignment vertical="center"/>
    </xf>
    <xf numFmtId="0" fontId="41" fillId="0" borderId="3" xfId="266" applyFont="1" applyBorder="1" applyAlignment="1">
      <alignment vertical="center" wrapText="1"/>
    </xf>
    <xf numFmtId="3" fontId="40" fillId="0" borderId="3" xfId="0" applyNumberFormat="1" applyFont="1" applyBorder="1" applyAlignment="1">
      <alignment vertical="center"/>
    </xf>
    <xf numFmtId="3" fontId="40" fillId="0" borderId="3" xfId="0" applyNumberFormat="1" applyFont="1" applyBorder="1" applyAlignment="1">
      <alignment vertical="center" wrapText="1"/>
    </xf>
    <xf numFmtId="0" fontId="41" fillId="2" borderId="3" xfId="22" applyFont="1" applyFill="1" applyBorder="1" applyAlignment="1">
      <alignment horizontal="center" vertical="center"/>
    </xf>
    <xf numFmtId="0" fontId="41" fillId="2" borderId="2" xfId="0" applyFont="1" applyFill="1" applyBorder="1" applyAlignment="1">
      <alignment horizontal="left" vertical="center" wrapText="1"/>
    </xf>
    <xf numFmtId="166" fontId="13" fillId="2" borderId="3" xfId="1" applyNumberFormat="1" applyFont="1" applyFill="1" applyBorder="1" applyAlignment="1">
      <alignment horizontal="right" vertical="center" wrapText="1"/>
    </xf>
    <xf numFmtId="0" fontId="41" fillId="2" borderId="2" xfId="0" applyFont="1" applyFill="1" applyBorder="1" applyAlignment="1" applyProtection="1">
      <alignment horizontal="center" vertical="center"/>
      <protection locked="0"/>
    </xf>
    <xf numFmtId="166" fontId="41" fillId="2" borderId="2" xfId="1" applyNumberFormat="1" applyFont="1" applyFill="1" applyBorder="1" applyAlignment="1">
      <alignment horizontal="center" vertical="center"/>
    </xf>
    <xf numFmtId="166" fontId="41" fillId="2" borderId="2" xfId="1" applyNumberFormat="1" applyFont="1" applyFill="1" applyBorder="1" applyAlignment="1">
      <alignment vertical="center"/>
    </xf>
    <xf numFmtId="0" fontId="41" fillId="2" borderId="3" xfId="0" applyFont="1" applyFill="1" applyBorder="1" applyAlignment="1">
      <alignment vertical="center"/>
    </xf>
    <xf numFmtId="3" fontId="35" fillId="0" borderId="14" xfId="0" applyNumberFormat="1" applyFont="1" applyBorder="1" applyAlignment="1">
      <alignment horizontal="right" vertical="center" wrapText="1"/>
    </xf>
    <xf numFmtId="166" fontId="13" fillId="2" borderId="3" xfId="1" applyNumberFormat="1" applyFont="1" applyFill="1" applyBorder="1" applyAlignment="1">
      <alignment horizontal="center" vertical="center" wrapText="1"/>
    </xf>
    <xf numFmtId="43" fontId="13" fillId="0" borderId="3" xfId="1" applyFont="1" applyBorder="1" applyAlignment="1">
      <alignment horizontal="center" vertical="center" wrapText="1"/>
    </xf>
    <xf numFmtId="166" fontId="13" fillId="0" borderId="3" xfId="1" applyNumberFormat="1" applyFont="1" applyBorder="1" applyAlignment="1">
      <alignment horizontal="center" vertical="center" wrapText="1"/>
    </xf>
    <xf numFmtId="0" fontId="13" fillId="0" borderId="3" xfId="266" applyFont="1" applyBorder="1" applyAlignment="1">
      <alignment vertical="center" wrapText="1"/>
    </xf>
    <xf numFmtId="0" fontId="39" fillId="23" borderId="14" xfId="0" applyFont="1" applyFill="1" applyBorder="1" applyAlignment="1">
      <alignment horizontal="left" vertical="center" wrapText="1"/>
    </xf>
    <xf numFmtId="0" fontId="39" fillId="23" borderId="0" xfId="0" applyFont="1" applyFill="1" applyBorder="1" applyAlignment="1">
      <alignment horizontal="left" vertical="center" wrapText="1"/>
    </xf>
    <xf numFmtId="166" fontId="13" fillId="2" borderId="0" xfId="1" applyNumberFormat="1" applyFont="1" applyFill="1" applyBorder="1" applyAlignment="1">
      <alignment vertical="center"/>
    </xf>
    <xf numFmtId="166" fontId="39" fillId="23" borderId="14" xfId="0" applyNumberFormat="1" applyFont="1" applyFill="1" applyBorder="1" applyAlignment="1">
      <alignment vertical="center"/>
    </xf>
    <xf numFmtId="179" fontId="35" fillId="0" borderId="14" xfId="0" applyNumberFormat="1" applyFont="1" applyBorder="1" applyAlignment="1">
      <alignment vertical="center"/>
    </xf>
    <xf numFmtId="3" fontId="35" fillId="24" borderId="14" xfId="0" applyNumberFormat="1" applyFont="1" applyFill="1" applyBorder="1" applyAlignment="1">
      <alignment horizontal="right" vertical="center" wrapText="1"/>
    </xf>
    <xf numFmtId="166" fontId="35" fillId="25" borderId="14" xfId="0" applyNumberFormat="1" applyFont="1" applyFill="1" applyBorder="1" applyAlignment="1">
      <alignment horizontal="center" vertical="center" wrapText="1"/>
    </xf>
    <xf numFmtId="166" fontId="35" fillId="25" borderId="14" xfId="0" applyNumberFormat="1" applyFont="1" applyFill="1" applyBorder="1" applyAlignment="1">
      <alignment horizontal="center" vertical="center"/>
    </xf>
    <xf numFmtId="43" fontId="35" fillId="0" borderId="14" xfId="0" applyNumberFormat="1" applyFont="1" applyBorder="1" applyAlignment="1">
      <alignment horizontal="center" vertical="center" wrapText="1"/>
    </xf>
    <xf numFmtId="0" fontId="39" fillId="23" borderId="14" xfId="0" applyFont="1" applyFill="1" applyBorder="1" applyAlignment="1">
      <alignment horizontal="left" vertical="center"/>
    </xf>
    <xf numFmtId="0" fontId="13" fillId="2" borderId="3" xfId="0" applyFont="1" applyFill="1" applyBorder="1" applyAlignment="1">
      <alignment vertical="center"/>
    </xf>
    <xf numFmtId="166" fontId="41" fillId="2" borderId="3" xfId="3" applyNumberFormat="1" applyFont="1" applyFill="1" applyBorder="1" applyAlignment="1">
      <alignment horizontal="center" vertical="center"/>
    </xf>
    <xf numFmtId="0" fontId="41" fillId="12" borderId="3" xfId="0" applyFont="1" applyFill="1" applyBorder="1" applyAlignment="1" applyProtection="1">
      <alignment horizontal="center" vertical="center"/>
      <protection locked="0"/>
    </xf>
    <xf numFmtId="0" fontId="41" fillId="12" borderId="3" xfId="0" applyFont="1" applyFill="1" applyBorder="1" applyAlignment="1" applyProtection="1">
      <alignment vertical="center" wrapText="1"/>
      <protection locked="0"/>
    </xf>
    <xf numFmtId="0" fontId="41" fillId="12" borderId="3" xfId="0" applyFont="1" applyFill="1" applyBorder="1" applyAlignment="1">
      <alignment horizontal="center" vertical="center" wrapText="1"/>
    </xf>
    <xf numFmtId="166" fontId="41" fillId="12" borderId="3" xfId="1" applyNumberFormat="1" applyFont="1" applyFill="1" applyBorder="1" applyAlignment="1">
      <alignment vertical="center"/>
    </xf>
    <xf numFmtId="166" fontId="41" fillId="12" borderId="3" xfId="1" applyNumberFormat="1" applyFont="1" applyFill="1" applyBorder="1" applyAlignment="1">
      <alignment horizontal="right" vertical="center"/>
    </xf>
    <xf numFmtId="166" fontId="41" fillId="12" borderId="3" xfId="0" applyNumberFormat="1" applyFont="1" applyFill="1" applyBorder="1" applyAlignment="1">
      <alignment vertical="center"/>
    </xf>
    <xf numFmtId="0" fontId="44" fillId="2" borderId="3" xfId="0" applyFont="1" applyFill="1" applyBorder="1" applyAlignment="1">
      <alignment vertical="center"/>
    </xf>
    <xf numFmtId="0" fontId="13" fillId="0" borderId="3" xfId="0" applyFont="1" applyBorder="1" applyAlignment="1">
      <alignment vertical="center"/>
    </xf>
    <xf numFmtId="173" fontId="35" fillId="2" borderId="3" xfId="269" applyFont="1" applyFill="1" applyBorder="1"/>
    <xf numFmtId="173" fontId="35" fillId="2" borderId="3" xfId="269" applyFont="1" applyFill="1" applyBorder="1" applyAlignment="1">
      <alignment horizontal="left" vertical="center"/>
    </xf>
    <xf numFmtId="0" fontId="47" fillId="2" borderId="3" xfId="0" applyFont="1" applyFill="1" applyBorder="1" applyAlignment="1">
      <alignment horizontal="center" vertical="center"/>
    </xf>
    <xf numFmtId="166" fontId="41" fillId="2" borderId="3" xfId="1" applyNumberFormat="1" applyFont="1" applyFill="1" applyBorder="1" applyAlignment="1">
      <alignment horizontal="right" vertical="center" wrapText="1"/>
    </xf>
    <xf numFmtId="166" fontId="35" fillId="2" borderId="3" xfId="1" applyNumberFormat="1"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3" xfId="0" applyFont="1" applyFill="1" applyBorder="1" applyAlignment="1" applyProtection="1">
      <alignment vertical="center"/>
      <protection locked="0"/>
    </xf>
    <xf numFmtId="43" fontId="39" fillId="2" borderId="3" xfId="0" applyNumberFormat="1" applyFont="1" applyFill="1" applyBorder="1" applyAlignment="1">
      <alignment horizontal="left" vertical="center" wrapText="1"/>
    </xf>
    <xf numFmtId="0" fontId="13" fillId="2" borderId="3" xfId="0" applyFont="1" applyFill="1" applyBorder="1" applyAlignment="1">
      <alignment horizontal="center" vertical="center" wrapText="1"/>
    </xf>
    <xf numFmtId="166" fontId="13" fillId="2" borderId="3" xfId="14" applyNumberFormat="1" applyFont="1" applyFill="1" applyBorder="1" applyAlignment="1">
      <alignment vertical="center"/>
    </xf>
    <xf numFmtId="166" fontId="13" fillId="2" borderId="3" xfId="3" applyNumberFormat="1" applyFont="1" applyFill="1" applyBorder="1" applyAlignment="1">
      <alignment horizontal="right" vertical="center"/>
    </xf>
    <xf numFmtId="0" fontId="13" fillId="2" borderId="6" xfId="34" applyFont="1" applyFill="1" applyBorder="1" applyAlignment="1" applyProtection="1">
      <alignment vertical="center" wrapText="1"/>
    </xf>
    <xf numFmtId="0" fontId="41" fillId="2" borderId="6" xfId="0" applyFont="1" applyFill="1" applyBorder="1" applyAlignment="1">
      <alignment vertical="center" wrapText="1"/>
    </xf>
    <xf numFmtId="0" fontId="13" fillId="2" borderId="4" xfId="0" applyFont="1" applyFill="1" applyBorder="1" applyAlignment="1">
      <alignment vertical="center" wrapText="1"/>
    </xf>
    <xf numFmtId="0" fontId="13" fillId="2" borderId="3" xfId="242" applyFont="1" applyFill="1" applyBorder="1" applyAlignment="1">
      <alignment vertical="center" wrapText="1"/>
    </xf>
    <xf numFmtId="0" fontId="41" fillId="2" borderId="3" xfId="34" applyFont="1" applyFill="1" applyBorder="1" applyAlignment="1" applyProtection="1">
      <alignment horizontal="left" vertical="center" wrapText="1"/>
    </xf>
    <xf numFmtId="166" fontId="44" fillId="2" borderId="0" xfId="1" applyNumberFormat="1" applyFont="1" applyFill="1" applyBorder="1" applyAlignment="1">
      <alignment horizontal="center" vertical="center" wrapText="1" readingOrder="1"/>
    </xf>
    <xf numFmtId="0" fontId="44" fillId="2" borderId="0" xfId="0" applyFont="1" applyFill="1" applyAlignment="1">
      <alignment horizontal="center" vertical="center" readingOrder="1"/>
    </xf>
    <xf numFmtId="0" fontId="41" fillId="2" borderId="3" xfId="0" applyNumberFormat="1" applyFont="1" applyFill="1" applyBorder="1" applyAlignment="1" applyProtection="1">
      <alignment horizontal="center" vertical="center"/>
      <protection locked="0"/>
    </xf>
    <xf numFmtId="0" fontId="35" fillId="2" borderId="3" xfId="0" applyFont="1" applyFill="1" applyBorder="1" applyAlignment="1">
      <alignment horizontal="left" vertical="center"/>
    </xf>
    <xf numFmtId="2" fontId="13" fillId="2" borderId="3" xfId="0" applyNumberFormat="1" applyFont="1" applyFill="1" applyBorder="1" applyAlignment="1" applyProtection="1">
      <alignment horizontal="center" vertical="center"/>
      <protection locked="0"/>
    </xf>
    <xf numFmtId="166" fontId="13" fillId="2" borderId="0" xfId="0" applyNumberFormat="1" applyFont="1" applyFill="1" applyAlignment="1">
      <alignment horizontal="center" vertical="center"/>
    </xf>
    <xf numFmtId="1" fontId="13" fillId="2" borderId="3" xfId="0" applyNumberFormat="1" applyFont="1" applyFill="1" applyBorder="1" applyAlignment="1">
      <alignment vertical="center" wrapText="1"/>
    </xf>
    <xf numFmtId="166" fontId="13" fillId="2" borderId="3" xfId="1" applyNumberFormat="1" applyFont="1" applyFill="1" applyBorder="1" applyAlignment="1">
      <alignment vertical="center" wrapText="1"/>
    </xf>
    <xf numFmtId="166" fontId="13" fillId="2" borderId="3" xfId="1" applyNumberFormat="1" applyFont="1" applyFill="1" applyBorder="1" applyAlignment="1" applyProtection="1">
      <alignment horizontal="justify" vertical="center" wrapText="1"/>
      <protection locked="0"/>
    </xf>
    <xf numFmtId="166" fontId="41" fillId="2" borderId="3" xfId="1" applyNumberFormat="1" applyFont="1" applyFill="1" applyBorder="1" applyAlignment="1" applyProtection="1">
      <alignment horizontal="justify" vertical="center" wrapText="1"/>
      <protection locked="0"/>
    </xf>
    <xf numFmtId="0" fontId="41" fillId="8" borderId="3" xfId="0" applyFont="1" applyFill="1" applyBorder="1" applyAlignment="1" applyProtection="1">
      <alignment horizontal="center" vertical="center"/>
      <protection locked="0"/>
    </xf>
    <xf numFmtId="0" fontId="41" fillId="8" borderId="3" xfId="0" applyFont="1" applyFill="1" applyBorder="1" applyAlignment="1" applyProtection="1">
      <alignment vertical="center" wrapText="1"/>
      <protection locked="0"/>
    </xf>
    <xf numFmtId="166" fontId="41" fillId="8" borderId="3" xfId="1" applyNumberFormat="1" applyFont="1" applyFill="1" applyBorder="1" applyAlignment="1">
      <alignment horizontal="right" vertical="center"/>
    </xf>
    <xf numFmtId="166" fontId="41" fillId="8" borderId="3" xfId="0" applyNumberFormat="1" applyFont="1" applyFill="1" applyBorder="1" applyAlignment="1">
      <alignment vertical="center"/>
    </xf>
    <xf numFmtId="43" fontId="45" fillId="0" borderId="0" xfId="0" applyNumberFormat="1" applyFont="1" applyAlignment="1">
      <alignment horizontal="center" vertical="center"/>
    </xf>
    <xf numFmtId="43" fontId="45" fillId="2" borderId="0" xfId="0" applyNumberFormat="1" applyFont="1" applyFill="1" applyAlignment="1">
      <alignment vertical="center"/>
    </xf>
    <xf numFmtId="43" fontId="45" fillId="2" borderId="0" xfId="0" applyNumberFormat="1" applyFont="1" applyFill="1" applyAlignment="1">
      <alignment horizontal="center" vertical="center"/>
    </xf>
    <xf numFmtId="0" fontId="44" fillId="2" borderId="3" xfId="0" applyFont="1" applyFill="1" applyBorder="1" applyAlignment="1">
      <alignment horizontal="center" vertical="center"/>
    </xf>
    <xf numFmtId="0" fontId="45" fillId="2" borderId="3" xfId="0" applyFont="1" applyFill="1" applyBorder="1" applyAlignment="1">
      <alignment horizontal="center" vertical="center"/>
    </xf>
    <xf numFmtId="166" fontId="13" fillId="2" borderId="3" xfId="1" applyNumberFormat="1" applyFont="1" applyFill="1" applyBorder="1" applyAlignment="1">
      <alignment horizontal="right" vertical="center"/>
    </xf>
    <xf numFmtId="166" fontId="13" fillId="3" borderId="3" xfId="1" applyNumberFormat="1" applyFont="1" applyFill="1" applyBorder="1" applyAlignment="1">
      <alignment horizontal="right" vertical="center"/>
    </xf>
    <xf numFmtId="0" fontId="41" fillId="26" borderId="3" xfId="0" applyFont="1" applyFill="1" applyBorder="1" applyAlignment="1" applyProtection="1">
      <alignment horizontal="center" vertical="center"/>
      <protection locked="0"/>
    </xf>
    <xf numFmtId="0" fontId="41" fillId="26" borderId="3" xfId="0" applyFont="1" applyFill="1" applyBorder="1" applyAlignment="1" applyProtection="1">
      <alignment vertical="center" wrapText="1"/>
      <protection locked="0"/>
    </xf>
    <xf numFmtId="0" fontId="41" fillId="26" borderId="3" xfId="0" applyFont="1" applyFill="1" applyBorder="1" applyAlignment="1">
      <alignment horizontal="center" vertical="center" wrapText="1"/>
    </xf>
    <xf numFmtId="166" fontId="41" fillId="26" borderId="3" xfId="1" applyNumberFormat="1" applyFont="1" applyFill="1" applyBorder="1" applyAlignment="1">
      <alignment vertical="center"/>
    </xf>
    <xf numFmtId="166" fontId="41" fillId="26" borderId="3" xfId="1" applyNumberFormat="1" applyFont="1" applyFill="1" applyBorder="1" applyAlignment="1">
      <alignment horizontal="right" vertical="center"/>
    </xf>
    <xf numFmtId="0" fontId="41" fillId="26" borderId="3" xfId="0" applyFont="1" applyFill="1" applyBorder="1" applyAlignment="1">
      <alignment horizontal="center" vertical="center"/>
    </xf>
    <xf numFmtId="0" fontId="44" fillId="26" borderId="3" xfId="0" applyFont="1" applyFill="1" applyBorder="1" applyAlignment="1">
      <alignment horizontal="center" vertical="center"/>
    </xf>
    <xf numFmtId="0" fontId="45" fillId="26" borderId="3" xfId="0" applyFont="1" applyFill="1" applyBorder="1" applyAlignment="1">
      <alignment horizontal="center" vertical="center"/>
    </xf>
    <xf numFmtId="0" fontId="45" fillId="26" borderId="0" xfId="0" applyFont="1" applyFill="1" applyAlignment="1">
      <alignment horizontal="center" vertical="center"/>
    </xf>
    <xf numFmtId="0" fontId="45" fillId="26" borderId="0" xfId="0" applyFont="1" applyFill="1" applyAlignment="1">
      <alignment vertical="center"/>
    </xf>
    <xf numFmtId="166" fontId="41" fillId="0" borderId="3" xfId="1" applyNumberFormat="1" applyFont="1" applyFill="1" applyBorder="1" applyAlignment="1">
      <alignment vertical="center"/>
    </xf>
    <xf numFmtId="166" fontId="41" fillId="0" borderId="3" xfId="1" applyNumberFormat="1" applyFont="1" applyFill="1" applyBorder="1" applyAlignment="1">
      <alignment horizontal="right" vertical="center"/>
    </xf>
    <xf numFmtId="0" fontId="44" fillId="0" borderId="3" xfId="0" applyFont="1" applyBorder="1" applyAlignment="1">
      <alignment horizontal="center" vertical="center"/>
    </xf>
    <xf numFmtId="0" fontId="45" fillId="0" borderId="3" xfId="0" applyFont="1" applyBorder="1" applyAlignment="1">
      <alignment horizontal="center" vertical="center"/>
    </xf>
    <xf numFmtId="43" fontId="35" fillId="3" borderId="8" xfId="1" applyFont="1" applyFill="1" applyBorder="1" applyAlignment="1">
      <alignment vertical="center"/>
    </xf>
    <xf numFmtId="43" fontId="35" fillId="3" borderId="3" xfId="1" applyFont="1" applyFill="1" applyBorder="1" applyAlignment="1">
      <alignment horizontal="center" vertical="center" wrapText="1"/>
    </xf>
    <xf numFmtId="43" fontId="35" fillId="3" borderId="8" xfId="1" applyFont="1" applyFill="1" applyBorder="1" applyAlignment="1">
      <alignment horizontal="center" vertical="center" wrapText="1"/>
    </xf>
    <xf numFmtId="166" fontId="13" fillId="26" borderId="3" xfId="1" applyNumberFormat="1" applyFont="1" applyFill="1" applyBorder="1" applyAlignment="1">
      <alignment vertical="center"/>
    </xf>
    <xf numFmtId="0" fontId="44" fillId="27" borderId="3" xfId="0" applyFont="1" applyFill="1" applyBorder="1" applyAlignment="1">
      <alignment horizontal="left" vertical="center"/>
    </xf>
    <xf numFmtId="0" fontId="44" fillId="0" borderId="3" xfId="0" applyFont="1" applyBorder="1" applyAlignment="1">
      <alignment horizontal="left" vertical="center"/>
    </xf>
    <xf numFmtId="0" fontId="45" fillId="27" borderId="3" xfId="0" applyFont="1" applyFill="1" applyBorder="1" applyAlignment="1">
      <alignment horizontal="center" vertical="center"/>
    </xf>
    <xf numFmtId="0" fontId="44" fillId="0" borderId="0" xfId="0" applyFont="1" applyAlignment="1">
      <alignment vertical="center"/>
    </xf>
    <xf numFmtId="166" fontId="40" fillId="0" borderId="3" xfId="1" applyNumberFormat="1" applyFont="1" applyFill="1" applyBorder="1" applyAlignment="1">
      <alignment vertical="center"/>
    </xf>
    <xf numFmtId="43" fontId="40" fillId="3" borderId="8" xfId="1" applyFont="1" applyFill="1" applyBorder="1" applyAlignment="1">
      <alignment vertical="center"/>
    </xf>
    <xf numFmtId="166" fontId="40" fillId="2" borderId="3" xfId="1" applyNumberFormat="1" applyFont="1" applyFill="1" applyBorder="1" applyAlignment="1">
      <alignment vertical="center"/>
    </xf>
    <xf numFmtId="0" fontId="40" fillId="0" borderId="3" xfId="0" applyFont="1" applyBorder="1" applyAlignment="1">
      <alignment horizontal="center" vertical="center"/>
    </xf>
    <xf numFmtId="0" fontId="40" fillId="0" borderId="0" xfId="0" applyFont="1" applyAlignment="1">
      <alignment vertical="center"/>
    </xf>
    <xf numFmtId="0" fontId="40" fillId="0" borderId="0" xfId="0" applyFont="1" applyAlignment="1">
      <alignment horizontal="center" vertical="center"/>
    </xf>
    <xf numFmtId="0" fontId="40" fillId="27" borderId="3" xfId="0" applyFont="1" applyFill="1" applyBorder="1" applyAlignment="1">
      <alignment horizontal="left" vertical="center"/>
    </xf>
    <xf numFmtId="0" fontId="13" fillId="26" borderId="3" xfId="0" applyFont="1" applyFill="1" applyBorder="1" applyAlignment="1">
      <alignment horizontal="center" vertical="center"/>
    </xf>
    <xf numFmtId="0" fontId="44" fillId="26" borderId="0" xfId="0" applyFont="1" applyFill="1" applyAlignment="1">
      <alignment horizontal="center" vertical="center"/>
    </xf>
    <xf numFmtId="0" fontId="44" fillId="26" borderId="0" xfId="0" applyFont="1" applyFill="1" applyAlignment="1">
      <alignment vertical="center"/>
    </xf>
    <xf numFmtId="0" fontId="44" fillId="27" borderId="3" xfId="0" applyFont="1" applyFill="1" applyBorder="1" applyAlignment="1">
      <alignment horizontal="center" vertical="center"/>
    </xf>
    <xf numFmtId="0" fontId="41" fillId="5" borderId="3" xfId="0" applyFont="1" applyFill="1" applyBorder="1" applyAlignment="1" applyProtection="1">
      <alignment horizontal="center" vertical="center"/>
      <protection locked="0"/>
    </xf>
    <xf numFmtId="0" fontId="41" fillId="5" borderId="3" xfId="0" applyFont="1" applyFill="1" applyBorder="1" applyAlignment="1" applyProtection="1">
      <alignment vertical="center" wrapText="1"/>
      <protection locked="0"/>
    </xf>
    <xf numFmtId="0" fontId="41" fillId="5" borderId="3" xfId="0" applyFont="1" applyFill="1" applyBorder="1" applyAlignment="1">
      <alignment horizontal="center" vertical="center" wrapText="1"/>
    </xf>
    <xf numFmtId="166" fontId="41" fillId="5" borderId="3" xfId="1" applyNumberFormat="1" applyFont="1" applyFill="1" applyBorder="1" applyAlignment="1">
      <alignment vertical="center"/>
    </xf>
    <xf numFmtId="166" fontId="41" fillId="5" borderId="3" xfId="1" applyNumberFormat="1" applyFont="1" applyFill="1" applyBorder="1" applyAlignment="1">
      <alignment horizontal="right" vertical="center"/>
    </xf>
    <xf numFmtId="166" fontId="41" fillId="5" borderId="3" xfId="0" applyNumberFormat="1" applyFont="1" applyFill="1" applyBorder="1" applyAlignment="1">
      <alignment vertical="center"/>
    </xf>
    <xf numFmtId="166" fontId="13" fillId="0" borderId="0" xfId="0" applyNumberFormat="1" applyFont="1" applyAlignment="1">
      <alignment horizontal="center" vertical="center"/>
    </xf>
    <xf numFmtId="166" fontId="13" fillId="2" borderId="0" xfId="0" applyNumberFormat="1" applyFont="1" applyFill="1" applyAlignment="1">
      <alignment vertical="center"/>
    </xf>
    <xf numFmtId="170" fontId="13" fillId="27" borderId="0" xfId="1" applyNumberFormat="1" applyFont="1" applyFill="1" applyAlignment="1">
      <alignment vertical="center"/>
    </xf>
    <xf numFmtId="0" fontId="41" fillId="7" borderId="3" xfId="0" applyFont="1" applyFill="1" applyBorder="1" applyAlignment="1" applyProtection="1">
      <alignment horizontal="center" vertical="center"/>
      <protection locked="0"/>
    </xf>
    <xf numFmtId="0" fontId="41" fillId="7" borderId="3" xfId="0" applyFont="1" applyFill="1" applyBorder="1" applyAlignment="1" applyProtection="1">
      <alignment vertical="center" wrapText="1"/>
      <protection locked="0"/>
    </xf>
    <xf numFmtId="166" fontId="41" fillId="7" borderId="3" xfId="1" applyNumberFormat="1" applyFont="1" applyFill="1" applyBorder="1" applyAlignment="1">
      <alignment horizontal="right" vertical="center"/>
    </xf>
    <xf numFmtId="166" fontId="41" fillId="7" borderId="3" xfId="3" applyNumberFormat="1" applyFont="1" applyFill="1" applyBorder="1" applyAlignment="1">
      <alignment horizontal="right" vertical="center"/>
    </xf>
    <xf numFmtId="166" fontId="13" fillId="7" borderId="3" xfId="1" applyNumberFormat="1" applyFont="1" applyFill="1" applyBorder="1" applyAlignment="1">
      <alignment vertical="center"/>
    </xf>
    <xf numFmtId="166" fontId="41" fillId="6" borderId="3" xfId="3" applyNumberFormat="1" applyFont="1" applyFill="1" applyBorder="1" applyAlignment="1">
      <alignment horizontal="right" vertical="center"/>
    </xf>
    <xf numFmtId="166" fontId="44" fillId="0" borderId="0" xfId="0" applyNumberFormat="1" applyFont="1" applyAlignment="1">
      <alignment horizontal="center" vertical="center"/>
    </xf>
    <xf numFmtId="0" fontId="41" fillId="2" borderId="3" xfId="0" applyFont="1" applyFill="1" applyBorder="1" applyAlignment="1" applyProtection="1">
      <alignment horizontal="left" vertical="center"/>
      <protection locked="0"/>
    </xf>
    <xf numFmtId="165" fontId="41" fillId="2" borderId="3" xfId="6" applyNumberFormat="1" applyFont="1" applyFill="1" applyBorder="1" applyAlignment="1">
      <alignment horizontal="right" vertical="center" wrapText="1"/>
    </xf>
    <xf numFmtId="0" fontId="13" fillId="2" borderId="3" xfId="0" applyFont="1" applyFill="1" applyBorder="1" applyAlignment="1" applyProtection="1">
      <alignment horizontal="left" vertical="center"/>
      <protection locked="0"/>
    </xf>
    <xf numFmtId="166" fontId="41" fillId="12" borderId="3" xfId="3" applyNumberFormat="1" applyFont="1" applyFill="1" applyBorder="1" applyAlignment="1">
      <alignment horizontal="right" vertical="center"/>
    </xf>
    <xf numFmtId="171" fontId="44" fillId="0" borderId="0" xfId="0" applyNumberFormat="1" applyFont="1" applyAlignment="1">
      <alignment horizontal="center" vertical="center"/>
    </xf>
    <xf numFmtId="166" fontId="44" fillId="0" borderId="0" xfId="1" applyNumberFormat="1" applyFont="1" applyFill="1" applyBorder="1" applyAlignment="1">
      <alignment horizontal="center" vertical="center" wrapText="1" readingOrder="1"/>
    </xf>
    <xf numFmtId="0" fontId="47" fillId="2" borderId="3" xfId="0" applyFont="1" applyFill="1" applyBorder="1" applyAlignment="1" applyProtection="1">
      <alignment vertical="center" wrapText="1"/>
      <protection locked="0"/>
    </xf>
    <xf numFmtId="0" fontId="13" fillId="12" borderId="3" xfId="0" applyFont="1" applyFill="1" applyBorder="1" applyAlignment="1" applyProtection="1">
      <alignment vertical="center" wrapText="1"/>
      <protection locked="0"/>
    </xf>
    <xf numFmtId="0" fontId="13" fillId="12" borderId="3" xfId="0" applyFont="1" applyFill="1" applyBorder="1" applyAlignment="1">
      <alignment horizontal="center" vertical="center"/>
    </xf>
    <xf numFmtId="166" fontId="13" fillId="12" borderId="3" xfId="1" applyNumberFormat="1" applyFont="1" applyFill="1" applyBorder="1" applyAlignment="1">
      <alignment vertical="center"/>
    </xf>
    <xf numFmtId="166" fontId="40" fillId="12" borderId="3" xfId="1" applyNumberFormat="1" applyFont="1" applyFill="1" applyBorder="1" applyAlignment="1">
      <alignment horizontal="center" vertical="center"/>
    </xf>
    <xf numFmtId="0" fontId="44" fillId="12" borderId="0" xfId="0" applyFont="1" applyFill="1" applyAlignment="1">
      <alignment horizontal="center" vertical="center"/>
    </xf>
    <xf numFmtId="166" fontId="44" fillId="12" borderId="0" xfId="0" applyNumberFormat="1" applyFont="1" applyFill="1" applyAlignment="1">
      <alignment horizontal="center" vertical="center"/>
    </xf>
    <xf numFmtId="0" fontId="44" fillId="12" borderId="0" xfId="0" applyFont="1" applyFill="1" applyAlignment="1">
      <alignment vertical="center"/>
    </xf>
    <xf numFmtId="0" fontId="44" fillId="12" borderId="3" xfId="0" applyFont="1" applyFill="1" applyBorder="1" applyAlignment="1">
      <alignment vertical="center"/>
    </xf>
    <xf numFmtId="166" fontId="40" fillId="12" borderId="3" xfId="1" applyNumberFormat="1" applyFont="1" applyFill="1" applyBorder="1" applyAlignment="1">
      <alignment vertical="center"/>
    </xf>
    <xf numFmtId="0" fontId="44" fillId="0" borderId="0" xfId="0" applyFont="1" applyAlignment="1">
      <alignment horizontal="center" vertical="center" wrapText="1" readingOrder="1"/>
    </xf>
    <xf numFmtId="166" fontId="41" fillId="8" borderId="3" xfId="3" applyNumberFormat="1" applyFont="1" applyFill="1" applyBorder="1" applyAlignment="1">
      <alignment horizontal="right" vertical="center"/>
    </xf>
    <xf numFmtId="0" fontId="13" fillId="0" borderId="3" xfId="0" applyFont="1" applyBorder="1" applyAlignment="1">
      <alignment horizontal="center" vertical="center" wrapText="1"/>
    </xf>
    <xf numFmtId="166" fontId="13" fillId="0" borderId="3" xfId="1" applyNumberFormat="1" applyFont="1" applyFill="1" applyBorder="1" applyAlignment="1">
      <alignment horizontal="right" vertical="center"/>
    </xf>
    <xf numFmtId="166" fontId="13" fillId="0" borderId="3" xfId="3" applyNumberFormat="1" applyFont="1" applyFill="1" applyBorder="1" applyAlignment="1">
      <alignment horizontal="right" vertical="center"/>
    </xf>
    <xf numFmtId="171" fontId="44" fillId="0" borderId="3" xfId="0" applyNumberFormat="1" applyFont="1" applyBorder="1" applyAlignment="1">
      <alignment horizontal="center" vertical="center"/>
    </xf>
    <xf numFmtId="166" fontId="44" fillId="0" borderId="0" xfId="0" applyNumberFormat="1" applyFont="1" applyAlignment="1">
      <alignment vertical="center"/>
    </xf>
    <xf numFmtId="43" fontId="13" fillId="3" borderId="3" xfId="1" applyFont="1" applyFill="1" applyBorder="1" applyAlignment="1">
      <alignment horizontal="right" vertical="center"/>
    </xf>
    <xf numFmtId="43" fontId="35" fillId="3" borderId="3" xfId="1" applyFont="1" applyFill="1" applyBorder="1" applyAlignment="1">
      <alignment vertical="center"/>
    </xf>
    <xf numFmtId="166" fontId="6" fillId="29" borderId="3" xfId="1" applyNumberFormat="1" applyFont="1" applyFill="1" applyBorder="1" applyAlignment="1">
      <alignment horizontal="left" vertical="center"/>
    </xf>
    <xf numFmtId="0" fontId="35" fillId="0" borderId="8" xfId="0" quotePrefix="1" applyNumberFormat="1" applyFont="1" applyBorder="1" applyAlignment="1">
      <alignment horizontal="center" vertical="center"/>
    </xf>
    <xf numFmtId="167" fontId="6" fillId="2" borderId="3" xfId="1" applyNumberFormat="1" applyFont="1" applyFill="1" applyBorder="1" applyAlignment="1">
      <alignment horizontal="left" vertical="center" wrapText="1" readingOrder="1"/>
    </xf>
    <xf numFmtId="167" fontId="6" fillId="3" borderId="3" xfId="1" applyNumberFormat="1" applyFont="1" applyFill="1" applyBorder="1" applyAlignment="1">
      <alignment horizontal="left" vertical="center" wrapText="1" readingOrder="1"/>
    </xf>
    <xf numFmtId="167" fontId="5" fillId="0" borderId="3" xfId="1" quotePrefix="1" applyNumberFormat="1" applyFont="1" applyFill="1" applyBorder="1" applyAlignment="1">
      <alignment horizontal="center" vertical="center" readingOrder="1"/>
    </xf>
    <xf numFmtId="167" fontId="5" fillId="0" borderId="3" xfId="1" applyNumberFormat="1" applyFont="1" applyFill="1" applyBorder="1" applyAlignment="1">
      <alignment horizontal="left" vertical="center" wrapText="1" readingOrder="1"/>
    </xf>
    <xf numFmtId="167" fontId="6" fillId="3" borderId="3" xfId="1" quotePrefix="1" applyNumberFormat="1" applyFont="1" applyFill="1" applyBorder="1" applyAlignment="1">
      <alignment horizontal="center" vertical="center" readingOrder="1"/>
    </xf>
    <xf numFmtId="167" fontId="5" fillId="2" borderId="3" xfId="1" applyNumberFormat="1" applyFont="1" applyFill="1" applyBorder="1" applyAlignment="1">
      <alignment horizontal="left" vertical="center" wrapText="1" readingOrder="1"/>
    </xf>
    <xf numFmtId="167" fontId="5" fillId="2" borderId="3" xfId="1" quotePrefix="1" applyNumberFormat="1" applyFont="1" applyFill="1" applyBorder="1" applyAlignment="1">
      <alignment horizontal="center" vertical="center" readingOrder="1"/>
    </xf>
    <xf numFmtId="168" fontId="6" fillId="2" borderId="3" xfId="2" applyNumberFormat="1" applyFont="1" applyFill="1" applyBorder="1" applyAlignment="1">
      <alignment horizontal="left" vertical="center" wrapText="1" readingOrder="1"/>
    </xf>
    <xf numFmtId="168" fontId="10" fillId="2" borderId="3" xfId="2" applyNumberFormat="1" applyFont="1" applyFill="1" applyBorder="1" applyAlignment="1">
      <alignment horizontal="left" vertical="center" wrapText="1" readingOrder="1"/>
    </xf>
    <xf numFmtId="168" fontId="5" fillId="0" borderId="3" xfId="2" applyNumberFormat="1" applyFont="1" applyFill="1" applyBorder="1" applyAlignment="1">
      <alignment horizontal="left" vertical="center" wrapText="1" readingOrder="1"/>
    </xf>
    <xf numFmtId="168" fontId="6" fillId="2" borderId="3" xfId="2" applyNumberFormat="1" applyFont="1" applyFill="1" applyBorder="1" applyAlignment="1">
      <alignment horizontal="center" vertical="center" wrapText="1" readingOrder="1"/>
    </xf>
    <xf numFmtId="168" fontId="5" fillId="2" borderId="3" xfId="2" applyNumberFormat="1" applyFont="1" applyFill="1" applyBorder="1" applyAlignment="1">
      <alignment horizontal="left" vertical="center" wrapText="1" readingOrder="1"/>
    </xf>
    <xf numFmtId="168" fontId="6" fillId="0" borderId="3" xfId="2" applyNumberFormat="1" applyFont="1" applyFill="1" applyBorder="1" applyAlignment="1">
      <alignment horizontal="center" vertical="center" wrapText="1" readingOrder="1"/>
    </xf>
    <xf numFmtId="9" fontId="10" fillId="2" borderId="3" xfId="1" applyNumberFormat="1" applyFont="1" applyFill="1" applyBorder="1" applyAlignment="1">
      <alignment horizontal="left" vertical="center" wrapText="1" readingOrder="1"/>
    </xf>
    <xf numFmtId="0" fontId="5" fillId="2" borderId="3" xfId="287" applyFont="1" applyFill="1" applyBorder="1" applyAlignment="1">
      <alignment vertical="center" wrapText="1"/>
    </xf>
    <xf numFmtId="166" fontId="5" fillId="2" borderId="3" xfId="1" applyNumberFormat="1" applyFont="1" applyFill="1" applyBorder="1" applyAlignment="1">
      <alignment horizontal="center"/>
    </xf>
    <xf numFmtId="43" fontId="6" fillId="26" borderId="3" xfId="1" applyFont="1" applyFill="1" applyBorder="1" applyAlignment="1">
      <alignment horizontal="center" vertical="center" wrapText="1"/>
    </xf>
    <xf numFmtId="166" fontId="5" fillId="0" borderId="3" xfId="3" applyNumberFormat="1" applyFont="1" applyFill="1" applyBorder="1" applyAlignment="1">
      <alignment horizontal="right" vertical="center"/>
    </xf>
    <xf numFmtId="0" fontId="6" fillId="26" borderId="3" xfId="0" applyFont="1" applyFill="1" applyBorder="1" applyAlignment="1">
      <alignment horizontal="center" vertical="center" wrapText="1"/>
    </xf>
    <xf numFmtId="171" fontId="28" fillId="0" borderId="3" xfId="0" applyNumberFormat="1" applyFont="1" applyBorder="1" applyAlignment="1">
      <alignment horizontal="center" vertical="center"/>
    </xf>
    <xf numFmtId="0" fontId="28" fillId="0" borderId="3" xfId="0" applyFont="1" applyBorder="1" applyAlignment="1">
      <alignment horizontal="center" vertical="center"/>
    </xf>
    <xf numFmtId="0" fontId="28" fillId="26" borderId="3" xfId="0" applyFont="1" applyFill="1" applyBorder="1" applyAlignment="1">
      <alignment horizontal="center" vertical="center"/>
    </xf>
    <xf numFmtId="0" fontId="6" fillId="26" borderId="3" xfId="0" applyFont="1" applyFill="1" applyBorder="1" applyAlignment="1" applyProtection="1">
      <alignment horizontal="center" vertical="center"/>
      <protection locked="0"/>
    </xf>
    <xf numFmtId="0" fontId="6" fillId="26" borderId="3" xfId="0" applyFont="1" applyFill="1" applyBorder="1" applyAlignment="1" applyProtection="1">
      <alignment vertical="center" wrapText="1"/>
      <protection locked="0"/>
    </xf>
    <xf numFmtId="166" fontId="35" fillId="0" borderId="3" xfId="1" applyNumberFormat="1" applyFont="1" applyFill="1" applyBorder="1" applyAlignment="1">
      <alignment horizontal="left" vertical="center"/>
    </xf>
    <xf numFmtId="0" fontId="35" fillId="0" borderId="3" xfId="5" applyNumberFormat="1" applyFont="1" applyFill="1" applyBorder="1" applyAlignment="1">
      <alignment horizontal="left" vertical="center" wrapText="1"/>
    </xf>
    <xf numFmtId="166" fontId="13" fillId="0" borderId="3" xfId="1" applyNumberFormat="1" applyFont="1" applyFill="1" applyBorder="1" applyAlignment="1">
      <alignment horizontal="left" vertical="center"/>
    </xf>
    <xf numFmtId="166" fontId="13" fillId="2" borderId="3" xfId="1" applyNumberFormat="1" applyFont="1" applyFill="1" applyBorder="1" applyAlignment="1">
      <alignment horizontal="left" vertical="center" wrapText="1"/>
    </xf>
    <xf numFmtId="2" fontId="35" fillId="0" borderId="3" xfId="0" applyNumberFormat="1" applyFont="1" applyBorder="1" applyAlignment="1">
      <alignment vertical="center" wrapText="1"/>
    </xf>
    <xf numFmtId="1" fontId="35" fillId="0" borderId="3" xfId="0" applyNumberFormat="1" applyFont="1" applyBorder="1" applyAlignment="1">
      <alignment horizontal="center" vertical="center"/>
    </xf>
    <xf numFmtId="166" fontId="35" fillId="3" borderId="3" xfId="1" applyNumberFormat="1" applyFont="1" applyFill="1" applyBorder="1" applyAlignment="1">
      <alignment horizontal="center" vertical="center"/>
    </xf>
    <xf numFmtId="41" fontId="48" fillId="0" borderId="3" xfId="288" applyFont="1" applyBorder="1" applyAlignment="1">
      <alignment horizontal="center" vertical="center"/>
    </xf>
    <xf numFmtId="1" fontId="35" fillId="0" borderId="3" xfId="0" applyNumberFormat="1" applyFont="1" applyBorder="1" applyAlignment="1">
      <alignment horizontal="left" vertical="center"/>
    </xf>
    <xf numFmtId="181" fontId="35" fillId="0" borderId="3" xfId="0" applyNumberFormat="1" applyFont="1" applyBorder="1" applyAlignment="1">
      <alignment horizontal="left" vertical="center"/>
    </xf>
    <xf numFmtId="166" fontId="41" fillId="0" borderId="3" xfId="3" applyNumberFormat="1" applyFont="1" applyFill="1" applyBorder="1" applyAlignment="1">
      <alignment horizontal="right" vertical="center"/>
    </xf>
    <xf numFmtId="43" fontId="5" fillId="0" borderId="3" xfId="1" applyNumberFormat="1" applyFont="1" applyFill="1" applyBorder="1" applyAlignment="1">
      <alignment horizontal="left" vertical="center" wrapText="1" readingOrder="1"/>
    </xf>
    <xf numFmtId="43" fontId="6" fillId="3" borderId="3" xfId="1" applyNumberFormat="1" applyFont="1" applyFill="1" applyBorder="1" applyAlignment="1">
      <alignment horizontal="left" vertical="center" wrapText="1" readingOrder="1"/>
    </xf>
    <xf numFmtId="0" fontId="28" fillId="2" borderId="3" xfId="0" applyFont="1" applyFill="1" applyBorder="1" applyAlignment="1">
      <alignment horizontal="left" vertical="center"/>
    </xf>
    <xf numFmtId="0" fontId="45" fillId="27" borderId="0" xfId="0" quotePrefix="1" applyFont="1" applyFill="1" applyAlignment="1">
      <alignment vertical="center"/>
    </xf>
    <xf numFmtId="0" fontId="5" fillId="27" borderId="3" xfId="0" applyFont="1" applyFill="1" applyBorder="1" applyAlignment="1">
      <alignment horizontal="left" vertical="center" wrapText="1" indent="1"/>
    </xf>
    <xf numFmtId="0" fontId="5" fillId="27" borderId="3" xfId="0" quotePrefix="1" applyFont="1" applyFill="1" applyBorder="1" applyAlignment="1">
      <alignment horizontal="left" vertical="center" wrapText="1" indent="1"/>
    </xf>
    <xf numFmtId="43" fontId="6" fillId="2" borderId="3" xfId="1" applyNumberFormat="1" applyFont="1" applyFill="1" applyBorder="1" applyAlignment="1">
      <alignment horizontal="left" vertical="center" wrapText="1" readingOrder="1"/>
    </xf>
    <xf numFmtId="170" fontId="6" fillId="2" borderId="3" xfId="1" applyNumberFormat="1" applyFont="1" applyFill="1" applyBorder="1" applyAlignment="1">
      <alignment horizontal="left" vertical="center" wrapText="1" readingOrder="1"/>
    </xf>
    <xf numFmtId="0" fontId="8" fillId="0" borderId="0" xfId="0" applyFont="1" applyAlignment="1" applyProtection="1">
      <alignment horizontal="left" vertical="center" wrapText="1"/>
      <protection locked="0"/>
    </xf>
    <xf numFmtId="0" fontId="8" fillId="0" borderId="1" xfId="0" applyFont="1" applyBorder="1" applyAlignment="1" applyProtection="1">
      <alignment horizontal="left" vertical="center" wrapText="1"/>
      <protection locked="0"/>
    </xf>
    <xf numFmtId="0" fontId="26" fillId="10" borderId="0" xfId="0" applyFont="1" applyFill="1" applyAlignment="1">
      <alignment horizontal="center" vertical="center"/>
    </xf>
    <xf numFmtId="0" fontId="41" fillId="17" borderId="2" xfId="0" applyFont="1" applyFill="1" applyBorder="1" applyAlignment="1">
      <alignment horizontal="center" vertical="center" wrapText="1"/>
    </xf>
    <xf numFmtId="0" fontId="41" fillId="17" borderId="9" xfId="0" applyFont="1" applyFill="1" applyBorder="1" applyAlignment="1">
      <alignment horizontal="center" vertical="center" wrapText="1"/>
    </xf>
    <xf numFmtId="0" fontId="41" fillId="17" borderId="10" xfId="0" applyFont="1" applyFill="1" applyBorder="1" applyAlignment="1">
      <alignment horizontal="center" vertical="center" wrapText="1"/>
    </xf>
    <xf numFmtId="0" fontId="7" fillId="0" borderId="0" xfId="0" applyFont="1" applyAlignment="1" applyProtection="1">
      <alignment horizontal="center" vertical="center" wrapText="1"/>
      <protection locked="0"/>
    </xf>
    <xf numFmtId="0" fontId="41" fillId="3" borderId="2" xfId="0" applyFont="1" applyFill="1" applyBorder="1" applyAlignment="1" applyProtection="1">
      <alignment horizontal="center" vertical="center" wrapText="1"/>
      <protection locked="0"/>
    </xf>
    <xf numFmtId="0" fontId="41" fillId="3" borderId="9" xfId="0" applyFont="1" applyFill="1" applyBorder="1" applyAlignment="1" applyProtection="1">
      <alignment horizontal="center" vertical="center" wrapText="1"/>
      <protection locked="0"/>
    </xf>
    <xf numFmtId="0" fontId="41" fillId="3" borderId="10" xfId="0" applyFont="1" applyFill="1" applyBorder="1" applyAlignment="1" applyProtection="1">
      <alignment horizontal="center" vertical="center" wrapText="1"/>
      <protection locked="0"/>
    </xf>
    <xf numFmtId="0" fontId="41" fillId="3" borderId="2" xfId="0" applyFont="1" applyFill="1" applyBorder="1" applyAlignment="1">
      <alignment horizontal="center" vertical="center" wrapText="1"/>
    </xf>
    <xf numFmtId="0" fontId="41" fillId="3" borderId="9" xfId="0" applyFont="1" applyFill="1" applyBorder="1" applyAlignment="1">
      <alignment horizontal="center" vertical="center" wrapText="1"/>
    </xf>
    <xf numFmtId="0" fontId="41" fillId="3" borderId="10" xfId="0" applyFont="1" applyFill="1" applyBorder="1" applyAlignment="1">
      <alignment horizontal="center" vertical="center" wrapText="1"/>
    </xf>
    <xf numFmtId="166" fontId="26" fillId="2" borderId="1" xfId="1" applyNumberFormat="1" applyFont="1" applyFill="1" applyBorder="1" applyAlignment="1">
      <alignment horizontal="center" vertical="center" wrapText="1"/>
    </xf>
    <xf numFmtId="166" fontId="41" fillId="3" borderId="4" xfId="1" applyNumberFormat="1" applyFont="1" applyFill="1" applyBorder="1" applyAlignment="1">
      <alignment horizontal="center" vertical="center" wrapText="1"/>
    </xf>
    <xf numFmtId="166" fontId="41" fillId="3" borderId="5" xfId="1" applyNumberFormat="1" applyFont="1" applyFill="1" applyBorder="1" applyAlignment="1">
      <alignment horizontal="center" vertical="center" wrapText="1"/>
    </xf>
    <xf numFmtId="166" fontId="41" fillId="3" borderId="11" xfId="1" applyNumberFormat="1" applyFont="1" applyFill="1" applyBorder="1" applyAlignment="1">
      <alignment horizontal="center" vertical="center" wrapText="1"/>
    </xf>
    <xf numFmtId="166" fontId="41" fillId="3" borderId="12" xfId="1" applyNumberFormat="1" applyFont="1" applyFill="1" applyBorder="1" applyAlignment="1">
      <alignment horizontal="center" vertical="center" wrapText="1"/>
    </xf>
    <xf numFmtId="0" fontId="41" fillId="3" borderId="4" xfId="0" applyFont="1" applyFill="1" applyBorder="1" applyAlignment="1">
      <alignment horizontal="center" vertical="center" wrapText="1"/>
    </xf>
    <xf numFmtId="0" fontId="41" fillId="3" borderId="11" xfId="0" applyFont="1" applyFill="1" applyBorder="1" applyAlignment="1">
      <alignment horizontal="center" vertical="center" wrapText="1"/>
    </xf>
    <xf numFmtId="166" fontId="41" fillId="3" borderId="3" xfId="1" applyNumberFormat="1" applyFont="1" applyFill="1" applyBorder="1" applyAlignment="1">
      <alignment horizontal="center" vertical="center" wrapText="1"/>
    </xf>
    <xf numFmtId="0" fontId="6" fillId="27" borderId="2" xfId="0" applyFont="1" applyFill="1" applyBorder="1" applyAlignment="1" applyProtection="1">
      <alignment horizontal="center" vertical="center" wrapText="1"/>
      <protection locked="0"/>
    </xf>
    <xf numFmtId="0" fontId="6" fillId="27" borderId="9" xfId="0" applyFont="1" applyFill="1" applyBorder="1" applyAlignment="1" applyProtection="1">
      <alignment horizontal="center" vertical="center" wrapText="1"/>
      <protection locked="0"/>
    </xf>
    <xf numFmtId="0" fontId="45" fillId="27" borderId="0" xfId="0" applyFont="1" applyFill="1" applyAlignment="1">
      <alignment horizontal="center" vertical="center"/>
    </xf>
    <xf numFmtId="0" fontId="44" fillId="27" borderId="0" xfId="0" applyFont="1" applyFill="1" applyAlignment="1">
      <alignment horizontal="center" vertical="center" wrapText="1"/>
    </xf>
    <xf numFmtId="0" fontId="44" fillId="27" borderId="0" xfId="0" applyFont="1" applyFill="1" applyAlignment="1">
      <alignment horizontal="center" vertical="center"/>
    </xf>
    <xf numFmtId="0" fontId="13" fillId="27" borderId="2" xfId="0" quotePrefix="1" applyFont="1" applyFill="1" applyBorder="1" applyAlignment="1">
      <alignment horizontal="left" vertical="center" wrapText="1"/>
    </xf>
    <xf numFmtId="0" fontId="13" fillId="27" borderId="9" xfId="0" quotePrefix="1" applyFont="1" applyFill="1" applyBorder="1" applyAlignment="1">
      <alignment horizontal="left" vertical="center" wrapText="1"/>
    </xf>
    <xf numFmtId="0" fontId="13" fillId="27" borderId="10" xfId="0" quotePrefix="1" applyFont="1" applyFill="1" applyBorder="1" applyAlignment="1">
      <alignment horizontal="left" vertical="center" wrapText="1"/>
    </xf>
    <xf numFmtId="166" fontId="5" fillId="16" borderId="1" xfId="0" applyNumberFormat="1" applyFont="1" applyFill="1" applyBorder="1" applyAlignment="1">
      <alignment horizontal="center" vertical="center"/>
    </xf>
    <xf numFmtId="0" fontId="5" fillId="16" borderId="1" xfId="0" applyFont="1" applyFill="1" applyBorder="1" applyAlignment="1">
      <alignment horizontal="center" vertical="center"/>
    </xf>
    <xf numFmtId="0" fontId="11" fillId="0" borderId="13" xfId="0" applyFont="1" applyBorder="1" applyAlignment="1">
      <alignment horizontal="center" vertical="center"/>
    </xf>
    <xf numFmtId="0" fontId="11" fillId="0" borderId="0" xfId="0" applyFont="1" applyBorder="1" applyAlignment="1">
      <alignment horizontal="center" vertical="center"/>
    </xf>
    <xf numFmtId="0" fontId="11" fillId="0" borderId="0" xfId="0" applyFont="1" applyAlignment="1">
      <alignment horizontal="center" vertical="center"/>
    </xf>
    <xf numFmtId="0" fontId="6" fillId="3" borderId="6" xfId="0" applyFont="1" applyFill="1" applyBorder="1" applyAlignment="1">
      <alignment horizontal="center" vertical="center" wrapText="1" readingOrder="1"/>
    </xf>
    <xf numFmtId="0" fontId="6" fillId="3" borderId="7" xfId="0" applyFont="1" applyFill="1" applyBorder="1" applyAlignment="1">
      <alignment horizontal="center" vertical="center" wrapText="1" readingOrder="1"/>
    </xf>
    <xf numFmtId="0" fontId="6" fillId="3" borderId="8" xfId="0" applyFont="1" applyFill="1" applyBorder="1" applyAlignment="1">
      <alignment horizontal="center" vertical="center" wrapText="1" readingOrder="1"/>
    </xf>
    <xf numFmtId="0" fontId="26" fillId="19" borderId="6" xfId="0" applyFont="1" applyFill="1" applyBorder="1" applyAlignment="1">
      <alignment horizontal="center" vertical="center" wrapText="1" readingOrder="1"/>
    </xf>
    <xf numFmtId="0" fontId="26" fillId="19" borderId="7" xfId="0" applyFont="1" applyFill="1" applyBorder="1" applyAlignment="1">
      <alignment horizontal="center" vertical="center" wrapText="1" readingOrder="1"/>
    </xf>
    <xf numFmtId="0" fontId="26" fillId="19" borderId="8" xfId="0" applyFont="1" applyFill="1" applyBorder="1" applyAlignment="1">
      <alignment horizontal="center" vertical="center" wrapText="1" readingOrder="1"/>
    </xf>
    <xf numFmtId="0" fontId="7" fillId="0" borderId="0" xfId="0" applyFont="1" applyAlignment="1">
      <alignment horizontal="center" vertical="center" wrapText="1"/>
    </xf>
    <xf numFmtId="0" fontId="7" fillId="0" borderId="0" xfId="0" applyFont="1" applyAlignment="1">
      <alignment horizontal="center" vertical="center"/>
    </xf>
    <xf numFmtId="0" fontId="6" fillId="3" borderId="3" xfId="0" applyFont="1" applyFill="1" applyBorder="1" applyAlignment="1">
      <alignment horizontal="center" vertical="center" wrapText="1"/>
    </xf>
    <xf numFmtId="0" fontId="6" fillId="3" borderId="3" xfId="0" applyFont="1" applyFill="1" applyBorder="1" applyAlignment="1">
      <alignment horizontal="center" vertical="center"/>
    </xf>
    <xf numFmtId="0" fontId="6" fillId="9" borderId="3" xfId="0" applyFont="1" applyFill="1" applyBorder="1" applyAlignment="1">
      <alignment horizontal="center" vertical="center"/>
    </xf>
    <xf numFmtId="43" fontId="6" fillId="3" borderId="3" xfId="1" applyFont="1" applyFill="1" applyBorder="1" applyAlignment="1">
      <alignment horizontal="center" vertical="center" wrapText="1"/>
    </xf>
    <xf numFmtId="0" fontId="5" fillId="21" borderId="2" xfId="0" quotePrefix="1" applyFont="1" applyFill="1" applyBorder="1" applyAlignment="1">
      <alignment horizontal="left" vertical="center" wrapText="1"/>
    </xf>
    <xf numFmtId="0" fontId="5" fillId="21" borderId="10" xfId="0" quotePrefix="1" applyFont="1" applyFill="1" applyBorder="1" applyAlignment="1">
      <alignment horizontal="left" vertical="center" wrapText="1"/>
    </xf>
    <xf numFmtId="0" fontId="11" fillId="0" borderId="1" xfId="0" applyFont="1" applyBorder="1" applyAlignment="1">
      <alignment horizontal="center" vertical="center"/>
    </xf>
  </cellXfs>
  <cellStyles count="289">
    <cellStyle name="Comma" xfId="1" builtinId="3"/>
    <cellStyle name="Comma [0]" xfId="288" builtinId="6"/>
    <cellStyle name="Comma [0] 2" xfId="267"/>
    <cellStyle name="Comma 10" xfId="5"/>
    <cellStyle name="Comma 10 10" xfId="286"/>
    <cellStyle name="Comma 10 2" xfId="13"/>
    <cellStyle name="Comma 10 2 2" xfId="28"/>
    <cellStyle name="Comma 10 4" xfId="14"/>
    <cellStyle name="Comma 101 8" xfId="72"/>
    <cellStyle name="Comma 101 8 2" xfId="82"/>
    <cellStyle name="Comma 101 8 2 2" xfId="107"/>
    <cellStyle name="Comma 101 8 2 2 2" xfId="157"/>
    <cellStyle name="Comma 101 8 2 2 2 2" xfId="257"/>
    <cellStyle name="Comma 101 8 2 2 3" xfId="207"/>
    <cellStyle name="Comma 101 8 2 3" xfId="132"/>
    <cellStyle name="Comma 101 8 2 3 2" xfId="232"/>
    <cellStyle name="Comma 101 8 2 4" xfId="182"/>
    <cellStyle name="Comma 101 8 3" xfId="100"/>
    <cellStyle name="Comma 101 8 3 2" xfId="150"/>
    <cellStyle name="Comma 101 8 3 2 2" xfId="250"/>
    <cellStyle name="Comma 101 8 3 3" xfId="200"/>
    <cellStyle name="Comma 101 8 4" xfId="125"/>
    <cellStyle name="Comma 101 8 4 2" xfId="225"/>
    <cellStyle name="Comma 101 8 5" xfId="175"/>
    <cellStyle name="Comma 11 10 15" xfId="69"/>
    <cellStyle name="Comma 11 10 15 2" xfId="80"/>
    <cellStyle name="Comma 11 10 15 2 2" xfId="105"/>
    <cellStyle name="Comma 11 10 15 2 2 2" xfId="155"/>
    <cellStyle name="Comma 11 10 15 2 2 2 2" xfId="255"/>
    <cellStyle name="Comma 11 10 15 2 2 3" xfId="205"/>
    <cellStyle name="Comma 11 10 15 2 3" xfId="130"/>
    <cellStyle name="Comma 11 10 15 2 3 2" xfId="230"/>
    <cellStyle name="Comma 11 10 15 2 4" xfId="180"/>
    <cellStyle name="Comma 11 10 15 3" xfId="98"/>
    <cellStyle name="Comma 11 10 15 3 2" xfId="148"/>
    <cellStyle name="Comma 11 10 15 3 2 2" xfId="248"/>
    <cellStyle name="Comma 11 10 15 3 3" xfId="198"/>
    <cellStyle name="Comma 11 10 15 4" xfId="123"/>
    <cellStyle name="Comma 11 10 15 4 2" xfId="223"/>
    <cellStyle name="Comma 11 10 15 5" xfId="173"/>
    <cellStyle name="Comma 11 2 2" xfId="62"/>
    <cellStyle name="Comma 13" xfId="3"/>
    <cellStyle name="Comma 2" xfId="46"/>
    <cellStyle name="Comma 2 10 3 2" xfId="261"/>
    <cellStyle name="Comma 2 2" xfId="10"/>
    <cellStyle name="Comma 2 2 2" xfId="12"/>
    <cellStyle name="Comma 2 2 2 2" xfId="42"/>
    <cellStyle name="Comma 2 25" xfId="57"/>
    <cellStyle name="Comma 2 26 3" xfId="264"/>
    <cellStyle name="Comma 2 3" xfId="52"/>
    <cellStyle name="Comma 2 3 2" xfId="71"/>
    <cellStyle name="Comma 2 3 2 2" xfId="81"/>
    <cellStyle name="Comma 2 3 2 2 2" xfId="106"/>
    <cellStyle name="Comma 2 3 2 2 2 2" xfId="156"/>
    <cellStyle name="Comma 2 3 2 2 2 2 2" xfId="256"/>
    <cellStyle name="Comma 2 3 2 2 2 3" xfId="206"/>
    <cellStyle name="Comma 2 3 2 2 3" xfId="131"/>
    <cellStyle name="Comma 2 3 2 2 3 2" xfId="231"/>
    <cellStyle name="Comma 2 3 2 2 4" xfId="181"/>
    <cellStyle name="Comma 2 3 2 3" xfId="99"/>
    <cellStyle name="Comma 2 3 2 3 2" xfId="149"/>
    <cellStyle name="Comma 2 3 2 3 2 2" xfId="249"/>
    <cellStyle name="Comma 2 3 2 3 3" xfId="199"/>
    <cellStyle name="Comma 2 3 2 4" xfId="124"/>
    <cellStyle name="Comma 2 3 2 4 2" xfId="224"/>
    <cellStyle name="Comma 2 3 2 5" xfId="174"/>
    <cellStyle name="Comma 2 4" xfId="63"/>
    <cellStyle name="Comma 2 5" xfId="284"/>
    <cellStyle name="Comma 3" xfId="6"/>
    <cellStyle name="Comma 3 2" xfId="53"/>
    <cellStyle name="Comma 3 2 2" xfId="9"/>
    <cellStyle name="Comma 3 3" xfId="65"/>
    <cellStyle name="Comma 3 3 2" xfId="54"/>
    <cellStyle name="Comma 3 3 2 2" xfId="78"/>
    <cellStyle name="Comma 3 3 2 2 2" xfId="103"/>
    <cellStyle name="Comma 3 3 2 2 2 2" xfId="153"/>
    <cellStyle name="Comma 3 3 2 2 2 2 2" xfId="253"/>
    <cellStyle name="Comma 3 3 2 2 2 3" xfId="203"/>
    <cellStyle name="Comma 3 3 2 2 3" xfId="128"/>
    <cellStyle name="Comma 3 3 2 2 3 2" xfId="228"/>
    <cellStyle name="Comma 3 3 2 2 4" xfId="178"/>
    <cellStyle name="Comma 3 3 3" xfId="96"/>
    <cellStyle name="Comma 3 3 3 2" xfId="146"/>
    <cellStyle name="Comma 3 3 3 2 2" xfId="246"/>
    <cellStyle name="Comma 3 3 3 3" xfId="196"/>
    <cellStyle name="Comma 3 3 4" xfId="121"/>
    <cellStyle name="Comma 3 3 4 2" xfId="221"/>
    <cellStyle name="Comma 3 3 5" xfId="171"/>
    <cellStyle name="Comma 3 4" xfId="273"/>
    <cellStyle name="Comma 37" xfId="26"/>
    <cellStyle name="Comma 4" xfId="45"/>
    <cellStyle name="Comma 5" xfId="40"/>
    <cellStyle name="Ledger 17 x 11 in" xfId="276"/>
    <cellStyle name="Normal" xfId="0" builtinId="0"/>
    <cellStyle name="Normal 10" xfId="271"/>
    <cellStyle name="Normal 10 3" xfId="274"/>
    <cellStyle name="Normal 11 2" xfId="7"/>
    <cellStyle name="Normal 11 2 2" xfId="51"/>
    <cellStyle name="Normal 161" xfId="260"/>
    <cellStyle name="Normal 2" xfId="11"/>
    <cellStyle name="Normal 2 10" xfId="24"/>
    <cellStyle name="Normal 2 11" xfId="266"/>
    <cellStyle name="Normal 2 15" xfId="272"/>
    <cellStyle name="Normal 2 19" xfId="75"/>
    <cellStyle name="Normal 2 19 2" xfId="41"/>
    <cellStyle name="Normal 2 19 2 2" xfId="83"/>
    <cellStyle name="Normal 2 19 2 2 2" xfId="108"/>
    <cellStyle name="Normal 2 19 2 2 2 2" xfId="158"/>
    <cellStyle name="Normal 2 19 2 2 2 2 2" xfId="258"/>
    <cellStyle name="Normal 2 19 2 2 2 3" xfId="208"/>
    <cellStyle name="Normal 2 19 2 2 3" xfId="133"/>
    <cellStyle name="Normal 2 19 2 2 3 2" xfId="233"/>
    <cellStyle name="Normal 2 19 2 2 4" xfId="183"/>
    <cellStyle name="Normal 2 19 3" xfId="101"/>
    <cellStyle name="Normal 2 19 3 2" xfId="151"/>
    <cellStyle name="Normal 2 19 3 2 2" xfId="251"/>
    <cellStyle name="Normal 2 19 3 3" xfId="201"/>
    <cellStyle name="Normal 2 19 4" xfId="126"/>
    <cellStyle name="Normal 2 19 4 2" xfId="226"/>
    <cellStyle name="Normal 2 19 5" xfId="176"/>
    <cellStyle name="Normal 2 2" xfId="25"/>
    <cellStyle name="Normal 2 2 10" xfId="34"/>
    <cellStyle name="Normal 2 2 10 2 2" xfId="43"/>
    <cellStyle name="Normal 2 2 10 3" xfId="259"/>
    <cellStyle name="Normal 2 2 13" xfId="22"/>
    <cellStyle name="Normal 2 2 13 2" xfId="35"/>
    <cellStyle name="Normal 2 2 14" xfId="32"/>
    <cellStyle name="Normal 2 2 14 2" xfId="94"/>
    <cellStyle name="Normal 2 2 14 2 2" xfId="144"/>
    <cellStyle name="Normal 2 2 14 2 2 2" xfId="244"/>
    <cellStyle name="Normal 2 2 14 2 3" xfId="194"/>
    <cellStyle name="Normal 2 2 14 3" xfId="119"/>
    <cellStyle name="Normal 2 2 14 3 2" xfId="219"/>
    <cellStyle name="Normal 2 2 14 4" xfId="169"/>
    <cellStyle name="Normal 2 2 16" xfId="279"/>
    <cellStyle name="Normal 2 2 2" xfId="263"/>
    <cellStyle name="Normal 2 2 2 19" xfId="269"/>
    <cellStyle name="Normal 2 2 2 19 2" xfId="278"/>
    <cellStyle name="Normal 2 2 2 3" xfId="64"/>
    <cellStyle name="Normal 2 2 2 3 2" xfId="77"/>
    <cellStyle name="Normal 2 2 2 3 2 2" xfId="102"/>
    <cellStyle name="Normal 2 2 2 3 2 2 2" xfId="152"/>
    <cellStyle name="Normal 2 2 2 3 2 2 2 2" xfId="252"/>
    <cellStyle name="Normal 2 2 2 3 2 2 3" xfId="202"/>
    <cellStyle name="Normal 2 2 2 3 2 3" xfId="127"/>
    <cellStyle name="Normal 2 2 2 3 2 3 2" xfId="227"/>
    <cellStyle name="Normal 2 2 2 3 2 4" xfId="177"/>
    <cellStyle name="Normal 2 2 2 3 3" xfId="95"/>
    <cellStyle name="Normal 2 2 2 3 3 2" xfId="145"/>
    <cellStyle name="Normal 2 2 2 3 3 2 2" xfId="245"/>
    <cellStyle name="Normal 2 2 2 3 3 3" xfId="195"/>
    <cellStyle name="Normal 2 2 2 3 4" xfId="120"/>
    <cellStyle name="Normal 2 2 2 3 4 2" xfId="220"/>
    <cellStyle name="Normal 2 2 2 3 5" xfId="170"/>
    <cellStyle name="Normal 2 2 26" xfId="55"/>
    <cellStyle name="Normal 2 2 33" xfId="277"/>
    <cellStyle name="Normal 2 2 6" xfId="47"/>
    <cellStyle name="Normal 2 2 8" xfId="48"/>
    <cellStyle name="Normal 2 3" xfId="39"/>
    <cellStyle name="Normal 2 3 2 2 2" xfId="4"/>
    <cellStyle name="Normal 2 4" xfId="262"/>
    <cellStyle name="Normal 2 5" xfId="281"/>
    <cellStyle name="Normal 2 6 2" xfId="265"/>
    <cellStyle name="Normal 2_Tong muc dau tu" xfId="287"/>
    <cellStyle name="Normal 21" xfId="20"/>
    <cellStyle name="Normal 21 2" xfId="29"/>
    <cellStyle name="Normal 21 2 2" xfId="92"/>
    <cellStyle name="Normal 21 2 2 2" xfId="142"/>
    <cellStyle name="Normal 21 2 2 2 2" xfId="242"/>
    <cellStyle name="Normal 21 2 2 3" xfId="192"/>
    <cellStyle name="Normal 21 2 3" xfId="117"/>
    <cellStyle name="Normal 21 2 3 2" xfId="217"/>
    <cellStyle name="Normal 21 2 4" xfId="167"/>
    <cellStyle name="Normal 21 3" xfId="68"/>
    <cellStyle name="Normal 21 3 2" xfId="79"/>
    <cellStyle name="Normal 21 3 2 2" xfId="104"/>
    <cellStyle name="Normal 21 3 2 2 2" xfId="154"/>
    <cellStyle name="Normal 21 3 2 2 2 2" xfId="254"/>
    <cellStyle name="Normal 21 3 2 2 3" xfId="204"/>
    <cellStyle name="Normal 21 3 2 3" xfId="129"/>
    <cellStyle name="Normal 21 3 2 3 2" xfId="229"/>
    <cellStyle name="Normal 21 3 2 4" xfId="179"/>
    <cellStyle name="Normal 21 3 3" xfId="97"/>
    <cellStyle name="Normal 21 3 3 2" xfId="147"/>
    <cellStyle name="Normal 21 3 3 2 2" xfId="247"/>
    <cellStyle name="Normal 21 3 3 3" xfId="197"/>
    <cellStyle name="Normal 21 3 4" xfId="122"/>
    <cellStyle name="Normal 21 3 4 2" xfId="222"/>
    <cellStyle name="Normal 21 3 5" xfId="172"/>
    <cellStyle name="Normal 21 4" xfId="90"/>
    <cellStyle name="Normal 21 4 2" xfId="140"/>
    <cellStyle name="Normal 21 4 2 2" xfId="240"/>
    <cellStyle name="Normal 21 4 3" xfId="190"/>
    <cellStyle name="Normal 21 5" xfId="115"/>
    <cellStyle name="Normal 21 5 2" xfId="215"/>
    <cellStyle name="Normal 21 6" xfId="165"/>
    <cellStyle name="Normal 278" xfId="282"/>
    <cellStyle name="Normal 3" xfId="8"/>
    <cellStyle name="Normal 3 19" xfId="21"/>
    <cellStyle name="Normal 3 2" xfId="30"/>
    <cellStyle name="Normal 3 2 2" xfId="66"/>
    <cellStyle name="Normal 3 2 2 2" xfId="268"/>
    <cellStyle name="Normal 3 2 3" xfId="93"/>
    <cellStyle name="Normal 3 2 3 2" xfId="143"/>
    <cellStyle name="Normal 3 2 3 2 2" xfId="243"/>
    <cellStyle name="Normal 3 2 3 3" xfId="193"/>
    <cellStyle name="Normal 3 2 4" xfId="118"/>
    <cellStyle name="Normal 3 2 4 2" xfId="218"/>
    <cellStyle name="Normal 3 2 5" xfId="168"/>
    <cellStyle name="Normal 3 3" xfId="50"/>
    <cellStyle name="Normal 3 3 2" xfId="270"/>
    <cellStyle name="Normal 3 4" xfId="84"/>
    <cellStyle name="Normal 3 4 2" xfId="134"/>
    <cellStyle name="Normal 3 4 2 2" xfId="234"/>
    <cellStyle name="Normal 3 4 3" xfId="184"/>
    <cellStyle name="Normal 3 5" xfId="109"/>
    <cellStyle name="Normal 3 5 2" xfId="209"/>
    <cellStyle name="Normal 3 6" xfId="159"/>
    <cellStyle name="Normal 38" xfId="59"/>
    <cellStyle name="Normal 38 2" xfId="61"/>
    <cellStyle name="Normal 39" xfId="76"/>
    <cellStyle name="Normal 4" xfId="23"/>
    <cellStyle name="Normal 4 2" xfId="70"/>
    <cellStyle name="Normal 4 3" xfId="91"/>
    <cellStyle name="Normal 4 3 2" xfId="141"/>
    <cellStyle name="Normal 4 3 2 2" xfId="241"/>
    <cellStyle name="Normal 4 3 3" xfId="191"/>
    <cellStyle name="Normal 4 4" xfId="116"/>
    <cellStyle name="Normal 4 4 2" xfId="216"/>
    <cellStyle name="Normal 4 5" xfId="166"/>
    <cellStyle name="Normal 408" xfId="15"/>
    <cellStyle name="Normal 408 2" xfId="85"/>
    <cellStyle name="Normal 408 2 2" xfId="135"/>
    <cellStyle name="Normal 408 2 2 2" xfId="235"/>
    <cellStyle name="Normal 408 2 3" xfId="185"/>
    <cellStyle name="Normal 408 3" xfId="110"/>
    <cellStyle name="Normal 408 3 2" xfId="210"/>
    <cellStyle name="Normal 408 4" xfId="160"/>
    <cellStyle name="Normal 409 2 3" xfId="38"/>
    <cellStyle name="Normal 41" xfId="31"/>
    <cellStyle name="Normal 41 2" xfId="280"/>
    <cellStyle name="Normal 410" xfId="16"/>
    <cellStyle name="Normal 410 2" xfId="86"/>
    <cellStyle name="Normal 410 2 2" xfId="136"/>
    <cellStyle name="Normal 410 2 2 2" xfId="236"/>
    <cellStyle name="Normal 410 2 3" xfId="186"/>
    <cellStyle name="Normal 410 3" xfId="111"/>
    <cellStyle name="Normal 410 3 2" xfId="211"/>
    <cellStyle name="Normal 410 4" xfId="161"/>
    <cellStyle name="Normal 411" xfId="17"/>
    <cellStyle name="Normal 411 2" xfId="87"/>
    <cellStyle name="Normal 411 2 2" xfId="137"/>
    <cellStyle name="Normal 411 2 2 2" xfId="237"/>
    <cellStyle name="Normal 411 2 3" xfId="187"/>
    <cellStyle name="Normal 411 3" xfId="112"/>
    <cellStyle name="Normal 411 3 2" xfId="212"/>
    <cellStyle name="Normal 411 4" xfId="162"/>
    <cellStyle name="Normal 412" xfId="18"/>
    <cellStyle name="Normal 412 2" xfId="88"/>
    <cellStyle name="Normal 412 2 2" xfId="138"/>
    <cellStyle name="Normal 412 2 2 2" xfId="238"/>
    <cellStyle name="Normal 412 2 3" xfId="188"/>
    <cellStyle name="Normal 412 3" xfId="113"/>
    <cellStyle name="Normal 412 3 2" xfId="213"/>
    <cellStyle name="Normal 412 4" xfId="163"/>
    <cellStyle name="Normal 413" xfId="19"/>
    <cellStyle name="Normal 413 2" xfId="89"/>
    <cellStyle name="Normal 413 2 2" xfId="139"/>
    <cellStyle name="Normal 413 2 2 2" xfId="239"/>
    <cellStyle name="Normal 413 2 3" xfId="189"/>
    <cellStyle name="Normal 413 3" xfId="114"/>
    <cellStyle name="Normal 413 3 2" xfId="214"/>
    <cellStyle name="Normal 413 4" xfId="164"/>
    <cellStyle name="Normal 415" xfId="36"/>
    <cellStyle name="Normal 415 3" xfId="37"/>
    <cellStyle name="Normal 42 2" xfId="56"/>
    <cellStyle name="Normal 42 2 2" xfId="58"/>
    <cellStyle name="Normal 428" xfId="49"/>
    <cellStyle name="Normal 44" xfId="285"/>
    <cellStyle name="Normal 5" xfId="73"/>
    <cellStyle name="Normal 6" xfId="283"/>
    <cellStyle name="Normal 65" xfId="44"/>
    <cellStyle name="Normal 7 3" xfId="74"/>
    <cellStyle name="Normal 8" xfId="33"/>
    <cellStyle name="Normal 9" xfId="275"/>
    <cellStyle name="Normal 96 2" xfId="67"/>
    <cellStyle name="Percent" xfId="2" builtinId="5"/>
    <cellStyle name="Percent 10" xfId="27"/>
    <cellStyle name="Percent 2 4" xfId="60"/>
  </cellStyles>
  <dxfs count="0"/>
  <tableStyles count="0" defaultTableStyle="TableStyleMedium2" defaultPivotStyle="PivotStyleLight16"/>
  <colors>
    <mruColors>
      <color rgb="FFEE0033"/>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3.xml"/><Relationship Id="rId13" Type="http://schemas.openxmlformats.org/officeDocument/2006/relationships/externalLink" Target="externalLinks/externalLink8.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externalLink" Target="externalLinks/externalLink2.xml"/><Relationship Id="rId12" Type="http://schemas.openxmlformats.org/officeDocument/2006/relationships/externalLink" Target="externalLinks/externalLink7.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externalLink" Target="externalLinks/externalLink6.xml"/><Relationship Id="rId5" Type="http://schemas.openxmlformats.org/officeDocument/2006/relationships/worksheet" Target="worksheets/sheet5.xml"/><Relationship Id="rId15" Type="http://schemas.openxmlformats.org/officeDocument/2006/relationships/externalLink" Target="externalLinks/externalLink10.xml"/><Relationship Id="rId10" Type="http://schemas.openxmlformats.org/officeDocument/2006/relationships/externalLink" Target="externalLinks/externalLink5.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externalLink" Target="externalLinks/externalLink4.xml"/><Relationship Id="rId14" Type="http://schemas.openxmlformats.org/officeDocument/2006/relationships/externalLink" Target="externalLinks/externalLink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D:\6.%20QHDC%20TT%20VIET%20NAM\TT%20KTTC\2024\Ket%20qua\Cac%20mang\Masterlist%202024-2025%20co%20Thue%20-%20Phi%20Gui%20cac%20mang...............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D:\6.%20QHDC%20TT%20VIET%20NAM\TT%20KTTC\2025\Ket%20qua\Cac%20mang\TD\14122024\IP_WDM_Copy%20of%20Masterlist%202025-2026%20co%20Thue%20-%20Phi%20(theo%20PA2)_Cap%20quang_14_Dec_2024%20(2).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6.%20QHDC%20TT%20VIET%20NAM\TT%20KTTC\2025\Ket%20qua\Cac%20mang\BRC&#272;\17122024\Masterlist%202025-2026%20co%20Thue%20-%20Phi%20(theo%20PA2)%20gui%20cac%20mang_BRCD.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6.%20QHDC%20TT%20VIET%20NAM\TT%20KTTC\2025\Ket%20qua\Cac%20mang\C&#272;\16122024\Masterlist%202025-2026%20co%20Thue%20-%20Phi%20(theo%20PA2)%20gui%20cac%20mang_16Dec.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D:\6.%20QHDC%20TT%20VIET%20NAM\TT%20KTTC\2024\Ket%20qua\Tong%20hop\PDF\Masterlist%202024-2025%20co%20Thue%20-%20Phi%20(20122023).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D:\6.%20QHDC%20TT%20VIET%20NAM\TT%20KTTC\2025\Ket%20qua\Cac%20mang\VT\QHTKVT_Masterlist%202025-2026%20co%20Thue%20-%20Phi%20(theo%20PA2)%20gui%20cac%20mang.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work/2026/QHDC%20thi%20truong/MVT/Ket%20qua/masterlist/Copy%20of%20Form%20-%20Masterlist%202027-2028%20(Gui%20cac%20mang)_MOV_CD_V1.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C:\Users\admin\AppData\Local\Microsoft\Windows\INetCache\Content.Outlook\O1QN74MD\Cuongnm21_Masterlist%202027-2028_MVT.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work/2026/QHDC%20thi%20truong/Burundi/Ket%20qua/Masterlist%202027-2028%20(Gui%20cac%20mang)_CD.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work/2026/QHDC%20thi%20truong/MVT/Ket%20qua/masterlist/Masterlist%202027-2028_CD_2908.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L1.1 ML2024-2025"/>
      <sheetName val="PL1.2 TH theo mục đích"/>
      <sheetName val="PL1.3 Buc tranh sau QH"/>
      <sheetName val="Mã"/>
      <sheetName val="BC 6239"/>
      <sheetName val="DTDV"/>
      <sheetName val="So sanh theo mang"/>
      <sheetName val="So sanh theo DV"/>
      <sheetName val="PL1.3"/>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L1.1 ML2025-2026"/>
      <sheetName val="PL1.2 TH theo mục đích"/>
      <sheetName val="PL1.3 Buc tranh sau QH"/>
      <sheetName val="PL 1.4 DM Du an"/>
      <sheetName val="TH theo DV"/>
      <sheetName val="Mã"/>
    </sheetNames>
    <sheetDataSet>
      <sheetData sheetId="0"/>
      <sheetData sheetId="1"/>
      <sheetData sheetId="2"/>
      <sheetData sheetId="3"/>
      <sheetData sheetId="4"/>
      <sheetData sheetId="5"/>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L1.1 ML2025-2026"/>
      <sheetName val="PL1.2 TH theo mục đích"/>
      <sheetName val="PL1.3 Buc tranh sau QH"/>
      <sheetName val="PL 1.4 DM Du an"/>
      <sheetName val="TH theo DV"/>
      <sheetName val="Mã"/>
    </sheetNames>
    <sheetDataSet>
      <sheetData sheetId="0"/>
      <sheetData sheetId="1"/>
      <sheetData sheetId="2"/>
      <sheetData sheetId="3"/>
      <sheetData sheetId="4"/>
      <sheetData sheetId="5"/>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L1.1 ML2025-2026"/>
      <sheetName val="PL1.2 TH theo mục đích"/>
      <sheetName val="PL1.3 Buc tranh sau QH"/>
      <sheetName val="PL 1.4 DM Du an"/>
      <sheetName val="TH theo DV"/>
      <sheetName val="Mã"/>
    </sheetNames>
    <sheetDataSet>
      <sheetData sheetId="0"/>
      <sheetData sheetId="1"/>
      <sheetData sheetId="2"/>
      <sheetData sheetId="3"/>
      <sheetData sheetId="4"/>
      <sheetData sheetId="5"/>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L1.1 ML2024-2025"/>
      <sheetName val="PL1.2 TH theo mục đích"/>
      <sheetName val="PL1.3 Buc tranh sau QH"/>
      <sheetName val="Mã"/>
      <sheetName val="BC 6239"/>
      <sheetName val="DTDV"/>
      <sheetName val="So sanh theo mang"/>
      <sheetName val="So sanh theo DV"/>
      <sheetName val="PL1.3"/>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L1.1 ML2025-2026"/>
      <sheetName val="PL1.2 TH theo mục đích"/>
      <sheetName val="PL1.3 Buc tranh sau QH"/>
      <sheetName val="PL 1.4 DM Du an"/>
      <sheetName val="TH theo DV"/>
      <sheetName val="Mã"/>
    </sheetNames>
    <sheetDataSet>
      <sheetData sheetId="0"/>
      <sheetData sheetId="1"/>
      <sheetData sheetId="2"/>
      <sheetData sheetId="3"/>
      <sheetData sheetId="4"/>
      <sheetData sheetId="5"/>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ã"/>
      <sheetName val="PL1.1 ML2027-2028"/>
      <sheetName val="PL1.2 TH theo mục đích"/>
      <sheetName val="PL1.3 Buc tranh sau QH"/>
      <sheetName val="TH theo DV"/>
      <sheetName val="Input TTr-2026-2030"/>
      <sheetName val="Summary BTS"/>
      <sheetName val="BOM DHCX- Cold Aisle Contain "/>
      <sheetName val="Thay the theo nien han_TTr"/>
      <sheetName val="Note"/>
      <sheetName val="ML_QHDC 2026-BTS"/>
      <sheetName val="ML_QHDC 2026-MTSO"/>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L1.1 ML2027-2028"/>
      <sheetName val="PL1.2 TH theo mục đích"/>
      <sheetName val="PL1.3 Buc tranh sau QH"/>
      <sheetName val="TH theo DV"/>
      <sheetName val="Mã"/>
    </sheetNames>
    <sheetDataSet>
      <sheetData sheetId="0"/>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ã"/>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L1.1 ML2027-2028"/>
      <sheetName val="PL1.2 TH theo mục đích"/>
      <sheetName val="PL1.3 Buc tranh sau QH"/>
      <sheetName val="TH theo DV"/>
      <sheetName val="Input TTr-2026-2030"/>
      <sheetName val="Summary BTS"/>
      <sheetName val="BOM DHCX- Cold Aisle Contain "/>
      <sheetName val="Thay the theo nien han_TTr"/>
      <sheetName val="Note"/>
      <sheetName val="ML_QHDC 2026-BTS"/>
      <sheetName val="ML_QHDC 2026-MTSO"/>
      <sheetName val="Mã"/>
    </sheetNames>
    <sheetDataSet>
      <sheetData sheetId="0"/>
      <sheetData sheetId="1"/>
      <sheetData sheetId="2"/>
      <sheetData sheetId="3"/>
      <sheetData sheetId="4"/>
      <sheetData sheetId="5"/>
      <sheetData sheetId="6"/>
      <sheetData sheetId="7"/>
      <sheetData sheetId="8"/>
      <sheetData sheetId="9"/>
      <sheetData sheetId="10"/>
      <sheetData sheetId="1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
    <tabColor rgb="FFEE0033"/>
    <outlinePr summaryBelow="0" summaryRight="0"/>
    <pageSetUpPr fitToPage="1"/>
  </sheetPr>
  <dimension ref="A1:Q3033"/>
  <sheetViews>
    <sheetView tabSelected="1" zoomScale="70" zoomScaleNormal="70" workbookViewId="0">
      <pane xSplit="3" ySplit="7" topLeftCell="D8" activePane="bottomRight" state="frozen"/>
      <selection activeCell="AD1" sqref="AD1:AI1048576"/>
      <selection pane="topRight" activeCell="AD1" sqref="AD1:AI1048576"/>
      <selection pane="bottomLeft" activeCell="AD1" sqref="AD1:AI1048576"/>
      <selection pane="bottomRight" activeCell="O8" sqref="O8"/>
    </sheetView>
  </sheetViews>
  <sheetFormatPr defaultColWidth="9.26953125" defaultRowHeight="13" outlineLevelRow="5" outlineLevelCol="1"/>
  <cols>
    <col min="1" max="1" width="6.1796875" style="89" customWidth="1"/>
    <col min="2" max="2" width="62" style="90" customWidth="1"/>
    <col min="3" max="3" width="6.7265625" style="91" customWidth="1"/>
    <col min="4" max="5" width="16.7265625" style="92" customWidth="1" outlineLevel="1"/>
    <col min="6" max="6" width="11.453125" style="100" customWidth="1" outlineLevel="1" collapsed="1"/>
    <col min="7" max="8" width="16.7265625" style="94" customWidth="1" outlineLevel="1"/>
    <col min="9" max="9" width="13.1796875" style="93" customWidth="1"/>
    <col min="10" max="10" width="6.7265625" style="8" customWidth="1"/>
    <col min="11" max="11" width="7.7265625" style="8" customWidth="1" outlineLevel="1"/>
    <col min="12" max="12" width="4.54296875" style="8" customWidth="1" outlineLevel="1"/>
    <col min="13" max="13" width="12.54296875" style="8" customWidth="1" outlineLevel="1"/>
    <col min="14" max="14" width="10.1796875" style="8" customWidth="1" outlineLevel="1"/>
    <col min="15" max="15" width="9.1796875" style="53" customWidth="1" outlineLevel="1"/>
    <col min="16" max="16" width="57.08984375" style="335" customWidth="1"/>
    <col min="17" max="17" width="16.453125" style="53" customWidth="1"/>
    <col min="18" max="25" width="9.26953125" style="6" customWidth="1"/>
    <col min="26" max="16384" width="9.26953125" style="6"/>
  </cols>
  <sheetData>
    <row r="1" spans="1:17" ht="40" customHeight="1">
      <c r="A1" s="720" t="s">
        <v>408</v>
      </c>
      <c r="B1" s="720"/>
      <c r="C1" s="720"/>
      <c r="D1" s="720"/>
      <c r="E1" s="720"/>
      <c r="F1" s="720"/>
      <c r="G1" s="720"/>
      <c r="H1" s="720"/>
      <c r="I1" s="720"/>
      <c r="J1" s="75"/>
      <c r="K1" s="75"/>
      <c r="L1" s="75"/>
      <c r="M1" s="75"/>
      <c r="N1" s="75"/>
      <c r="O1" s="75"/>
      <c r="P1" s="735"/>
    </row>
    <row r="2" spans="1:17" s="211" customFormat="1" ht="6.65" customHeight="1">
      <c r="A2" s="714"/>
      <c r="B2" s="714"/>
      <c r="C2" s="133"/>
      <c r="D2" s="134"/>
      <c r="E2" s="134"/>
      <c r="F2" s="134"/>
      <c r="G2" s="134"/>
      <c r="H2" s="134"/>
      <c r="I2" s="136"/>
      <c r="J2" s="209"/>
      <c r="K2" s="209"/>
      <c r="L2" s="209"/>
      <c r="M2" s="209"/>
      <c r="N2" s="209"/>
      <c r="O2" s="210"/>
      <c r="P2" s="736"/>
      <c r="Q2" s="208"/>
    </row>
    <row r="3" spans="1:17" s="214" customFormat="1">
      <c r="A3" s="715"/>
      <c r="B3" s="715"/>
      <c r="C3" s="137"/>
      <c r="D3" s="138"/>
      <c r="E3" s="138"/>
      <c r="F3" s="135"/>
      <c r="G3" s="727" t="s">
        <v>131</v>
      </c>
      <c r="H3" s="727"/>
      <c r="I3" s="139"/>
      <c r="J3" s="716" t="s">
        <v>131</v>
      </c>
      <c r="K3" s="716"/>
      <c r="L3" s="716"/>
      <c r="M3" s="209"/>
      <c r="N3" s="209"/>
      <c r="O3" s="213"/>
      <c r="P3" s="736"/>
      <c r="Q3" s="212"/>
    </row>
    <row r="4" spans="1:17" s="354" customFormat="1" ht="26.25" customHeight="1">
      <c r="A4" s="721" t="s">
        <v>0</v>
      </c>
      <c r="B4" s="721" t="s">
        <v>1</v>
      </c>
      <c r="C4" s="724" t="s">
        <v>2</v>
      </c>
      <c r="D4" s="728" t="s">
        <v>409</v>
      </c>
      <c r="E4" s="729"/>
      <c r="F4" s="732" t="s">
        <v>122</v>
      </c>
      <c r="G4" s="734" t="s">
        <v>210</v>
      </c>
      <c r="H4" s="734"/>
      <c r="I4" s="717" t="s">
        <v>211</v>
      </c>
      <c r="J4" s="351" t="s">
        <v>89</v>
      </c>
      <c r="K4" s="351" t="s">
        <v>90</v>
      </c>
      <c r="L4" s="351" t="s">
        <v>91</v>
      </c>
      <c r="M4" s="352"/>
      <c r="N4" s="352"/>
      <c r="O4" s="352"/>
      <c r="P4" s="736"/>
      <c r="Q4" s="353"/>
    </row>
    <row r="5" spans="1:17" s="354" customFormat="1" ht="13.15" customHeight="1">
      <c r="A5" s="722"/>
      <c r="B5" s="722"/>
      <c r="C5" s="725"/>
      <c r="D5" s="730"/>
      <c r="E5" s="731"/>
      <c r="F5" s="733"/>
      <c r="G5" s="734"/>
      <c r="H5" s="734"/>
      <c r="I5" s="718"/>
      <c r="J5" s="351"/>
      <c r="K5" s="351"/>
      <c r="L5" s="351"/>
      <c r="M5" s="352"/>
      <c r="N5" s="352"/>
      <c r="O5" s="352"/>
      <c r="P5" s="736"/>
      <c r="Q5" s="353"/>
    </row>
    <row r="6" spans="1:17" s="354" customFormat="1" ht="14">
      <c r="A6" s="723"/>
      <c r="B6" s="723"/>
      <c r="C6" s="726"/>
      <c r="D6" s="355">
        <v>2027</v>
      </c>
      <c r="E6" s="355">
        <v>2028</v>
      </c>
      <c r="F6" s="356" t="s">
        <v>3</v>
      </c>
      <c r="G6" s="355">
        <v>2027</v>
      </c>
      <c r="H6" s="355">
        <v>2028</v>
      </c>
      <c r="I6" s="718"/>
      <c r="J6" s="351"/>
      <c r="K6" s="351"/>
      <c r="L6" s="351"/>
      <c r="M6" s="352"/>
      <c r="N6" s="352"/>
      <c r="O6" s="352"/>
      <c r="P6" s="736"/>
      <c r="Q6" s="353"/>
    </row>
    <row r="7" spans="1:17" s="363" customFormat="1" ht="14" outlineLevel="1">
      <c r="A7" s="357"/>
      <c r="B7" s="358"/>
      <c r="C7" s="358">
        <v>6</v>
      </c>
      <c r="D7" s="359"/>
      <c r="E7" s="359"/>
      <c r="F7" s="360">
        <v>7</v>
      </c>
      <c r="G7" s="361">
        <f>SUBTOTAL(9,G8:G2687)</f>
        <v>25295609.350430451</v>
      </c>
      <c r="H7" s="361">
        <f>SUBTOTAL(9,H8:H2687)</f>
        <v>24867096.261280473</v>
      </c>
      <c r="I7" s="719"/>
      <c r="J7" s="352"/>
      <c r="K7" s="352"/>
      <c r="L7" s="352"/>
      <c r="M7" s="352"/>
      <c r="N7" s="352"/>
      <c r="O7" s="352"/>
      <c r="P7" s="736"/>
      <c r="Q7" s="362"/>
    </row>
    <row r="8" spans="1:17" s="373" customFormat="1" ht="14">
      <c r="A8" s="364"/>
      <c r="B8" s="365" t="s">
        <v>406</v>
      </c>
      <c r="C8" s="364"/>
      <c r="D8" s="366"/>
      <c r="E8" s="366"/>
      <c r="F8" s="366"/>
      <c r="G8" s="367">
        <f>SUBTOTAL(9,G9:G2687)</f>
        <v>25295609.350430451</v>
      </c>
      <c r="H8" s="367">
        <f>SUBTOTAL(9,H9:H2687)</f>
        <v>24867096.261280473</v>
      </c>
      <c r="I8" s="368"/>
      <c r="J8" s="369"/>
      <c r="K8" s="352"/>
      <c r="L8" s="352"/>
      <c r="M8" s="352"/>
      <c r="N8" s="352"/>
      <c r="O8" s="370"/>
      <c r="P8" s="371"/>
      <c r="Q8" s="372"/>
    </row>
    <row r="9" spans="1:17" s="373" customFormat="1" ht="14">
      <c r="A9" s="374" t="s">
        <v>110</v>
      </c>
      <c r="B9" s="375" t="s">
        <v>407</v>
      </c>
      <c r="C9" s="376"/>
      <c r="D9" s="377"/>
      <c r="E9" s="377"/>
      <c r="F9" s="377"/>
      <c r="G9" s="378">
        <f>SUBTOTAL(9,G10:G2153)</f>
        <v>22438646.952369511</v>
      </c>
      <c r="H9" s="378">
        <f>SUBTOTAL(9,H10:H2153)</f>
        <v>20897952.716724753</v>
      </c>
      <c r="I9" s="378"/>
      <c r="J9" s="352"/>
      <c r="K9" s="352"/>
      <c r="L9" s="352"/>
      <c r="M9" s="352"/>
      <c r="N9" s="352"/>
      <c r="O9" s="370"/>
      <c r="P9" s="371"/>
      <c r="Q9" s="372"/>
    </row>
    <row r="10" spans="1:17" s="387" customFormat="1" ht="14">
      <c r="A10" s="379" t="s">
        <v>13</v>
      </c>
      <c r="B10" s="380" t="s">
        <v>14</v>
      </c>
      <c r="C10" s="381"/>
      <c r="D10" s="382"/>
      <c r="E10" s="382"/>
      <c r="F10" s="382"/>
      <c r="G10" s="382">
        <f>SUBTOTAL(9,G11:G93)</f>
        <v>6703944.7016552296</v>
      </c>
      <c r="H10" s="382">
        <f>SUBTOTAL(9,H11:H93)</f>
        <v>6963516.8190324334</v>
      </c>
      <c r="I10" s="382"/>
      <c r="J10" s="383"/>
      <c r="K10" s="384"/>
      <c r="L10" s="384"/>
      <c r="M10" s="384"/>
      <c r="N10" s="384"/>
      <c r="O10" s="385"/>
      <c r="P10" s="386"/>
      <c r="Q10" s="385"/>
    </row>
    <row r="11" spans="1:17" s="385" customFormat="1" ht="14" outlineLevel="1">
      <c r="A11" s="388" t="s">
        <v>365</v>
      </c>
      <c r="B11" s="389" t="s">
        <v>113</v>
      </c>
      <c r="C11" s="390"/>
      <c r="D11" s="391"/>
      <c r="E11" s="391"/>
      <c r="F11" s="391"/>
      <c r="G11" s="391">
        <f>SUBTOTAL(9,G12:G21)</f>
        <v>0</v>
      </c>
      <c r="H11" s="391">
        <f>SUBTOTAL(9,H12:H21)</f>
        <v>0</v>
      </c>
      <c r="I11" s="392"/>
      <c r="J11" s="362"/>
      <c r="K11" s="362"/>
      <c r="L11" s="362"/>
      <c r="M11" s="383"/>
      <c r="N11" s="383"/>
      <c r="P11" s="336"/>
    </row>
    <row r="12" spans="1:17" s="394" customFormat="1" ht="14" outlineLevel="2">
      <c r="A12" s="388">
        <v>1</v>
      </c>
      <c r="B12" s="350" t="s">
        <v>349</v>
      </c>
      <c r="C12" s="390"/>
      <c r="D12" s="391"/>
      <c r="E12" s="391"/>
      <c r="F12" s="391"/>
      <c r="G12" s="391"/>
      <c r="H12" s="391"/>
      <c r="I12" s="392"/>
      <c r="J12" s="393"/>
      <c r="K12" s="393"/>
      <c r="L12" s="393"/>
      <c r="N12" s="393"/>
      <c r="P12" s="395"/>
    </row>
    <row r="13" spans="1:17" s="394" customFormat="1" ht="42" outlineLevel="3">
      <c r="A13" s="388" t="s">
        <v>8</v>
      </c>
      <c r="B13" s="437" t="s">
        <v>1404</v>
      </c>
      <c r="C13" s="397" t="s">
        <v>40</v>
      </c>
      <c r="D13" s="398"/>
      <c r="E13" s="398"/>
      <c r="F13" s="398"/>
      <c r="G13" s="398">
        <f>F13*D13</f>
        <v>0</v>
      </c>
      <c r="H13" s="398">
        <f>F13*E13</f>
        <v>0</v>
      </c>
      <c r="I13" s="399"/>
      <c r="J13" s="393" t="s">
        <v>7</v>
      </c>
      <c r="K13" s="393" t="s">
        <v>93</v>
      </c>
      <c r="L13" s="393" t="s">
        <v>112</v>
      </c>
      <c r="N13" s="393"/>
      <c r="P13" s="395"/>
    </row>
    <row r="14" spans="1:17" s="394" customFormat="1" ht="14" outlineLevel="3">
      <c r="A14" s="400" t="s">
        <v>8</v>
      </c>
      <c r="B14" s="347" t="s">
        <v>641</v>
      </c>
      <c r="C14" s="401" t="s">
        <v>31</v>
      </c>
      <c r="D14" s="398"/>
      <c r="E14" s="398"/>
      <c r="F14" s="398"/>
      <c r="G14" s="398">
        <f>F14*D14</f>
        <v>0</v>
      </c>
      <c r="H14" s="398">
        <f>F14*E14</f>
        <v>0</v>
      </c>
      <c r="I14" s="399"/>
      <c r="J14" s="393" t="s">
        <v>7</v>
      </c>
      <c r="K14" s="393" t="s">
        <v>93</v>
      </c>
      <c r="L14" s="393" t="s">
        <v>112</v>
      </c>
      <c r="N14" s="393"/>
      <c r="P14" s="395"/>
    </row>
    <row r="15" spans="1:17" s="394" customFormat="1" ht="14" outlineLevel="3">
      <c r="A15" s="388">
        <v>2</v>
      </c>
      <c r="B15" s="350" t="s">
        <v>350</v>
      </c>
      <c r="C15" s="397"/>
      <c r="D15" s="398"/>
      <c r="E15" s="398"/>
      <c r="F15" s="398"/>
      <c r="G15" s="398"/>
      <c r="H15" s="398"/>
      <c r="I15" s="399"/>
      <c r="J15" s="393"/>
      <c r="K15" s="393"/>
      <c r="L15" s="393"/>
      <c r="N15" s="393"/>
      <c r="P15" s="395"/>
    </row>
    <row r="16" spans="1:17" s="394" customFormat="1" ht="14" outlineLevel="3">
      <c r="A16" s="388" t="s">
        <v>8</v>
      </c>
      <c r="B16" s="396" t="s">
        <v>351</v>
      </c>
      <c r="C16" s="397" t="s">
        <v>34</v>
      </c>
      <c r="D16" s="398"/>
      <c r="E16" s="398"/>
      <c r="F16" s="398"/>
      <c r="G16" s="398">
        <f>F16*D16</f>
        <v>0</v>
      </c>
      <c r="H16" s="398">
        <f>F16*E16</f>
        <v>0</v>
      </c>
      <c r="I16" s="399"/>
      <c r="J16" s="393" t="s">
        <v>7</v>
      </c>
      <c r="K16" s="393" t="s">
        <v>93</v>
      </c>
      <c r="L16" s="393" t="s">
        <v>112</v>
      </c>
      <c r="N16" s="393"/>
      <c r="P16" s="395"/>
    </row>
    <row r="17" spans="1:16" s="394" customFormat="1" ht="14" outlineLevel="2">
      <c r="A17" s="388">
        <v>3</v>
      </c>
      <c r="B17" s="350" t="s">
        <v>352</v>
      </c>
      <c r="C17" s="390"/>
      <c r="D17" s="391"/>
      <c r="E17" s="391"/>
      <c r="F17" s="391"/>
      <c r="G17" s="391"/>
      <c r="H17" s="391"/>
      <c r="I17" s="392"/>
      <c r="J17" s="393"/>
      <c r="K17" s="393"/>
      <c r="L17" s="393"/>
      <c r="N17" s="393"/>
      <c r="P17" s="395"/>
    </row>
    <row r="18" spans="1:16" s="394" customFormat="1" ht="14" outlineLevel="3">
      <c r="A18" s="388" t="s">
        <v>8</v>
      </c>
      <c r="B18" s="396" t="s">
        <v>353</v>
      </c>
      <c r="C18" s="397" t="s">
        <v>34</v>
      </c>
      <c r="D18" s="398"/>
      <c r="E18" s="402"/>
      <c r="F18" s="398"/>
      <c r="G18" s="398">
        <f>F18*D18</f>
        <v>0</v>
      </c>
      <c r="H18" s="398">
        <f>F18*E18</f>
        <v>0</v>
      </c>
      <c r="I18" s="399"/>
      <c r="J18" s="393" t="s">
        <v>7</v>
      </c>
      <c r="K18" s="393" t="s">
        <v>93</v>
      </c>
      <c r="L18" s="393" t="s">
        <v>112</v>
      </c>
      <c r="N18" s="393"/>
      <c r="P18" s="395"/>
    </row>
    <row r="19" spans="1:16" s="394" customFormat="1" ht="14" outlineLevel="3">
      <c r="A19" s="388">
        <v>4</v>
      </c>
      <c r="B19" s="389" t="s">
        <v>354</v>
      </c>
      <c r="C19" s="397"/>
      <c r="D19" s="398"/>
      <c r="E19" s="402"/>
      <c r="F19" s="398"/>
      <c r="G19" s="398"/>
      <c r="H19" s="398"/>
      <c r="I19" s="399"/>
      <c r="J19" s="393"/>
      <c r="K19" s="393"/>
      <c r="L19" s="393"/>
      <c r="N19" s="393"/>
      <c r="P19" s="395"/>
    </row>
    <row r="20" spans="1:16" s="394" customFormat="1" ht="14" outlineLevel="3">
      <c r="A20" s="388" t="s">
        <v>8</v>
      </c>
      <c r="B20" s="396" t="s">
        <v>355</v>
      </c>
      <c r="C20" s="397" t="s">
        <v>34</v>
      </c>
      <c r="D20" s="398"/>
      <c r="E20" s="398"/>
      <c r="F20" s="398"/>
      <c r="G20" s="398">
        <f>F20*D20</f>
        <v>0</v>
      </c>
      <c r="H20" s="398">
        <f>F20*E20</f>
        <v>0</v>
      </c>
      <c r="I20" s="399"/>
      <c r="J20" s="393" t="s">
        <v>7</v>
      </c>
      <c r="K20" s="393" t="s">
        <v>93</v>
      </c>
      <c r="L20" s="393" t="s">
        <v>112</v>
      </c>
      <c r="N20" s="393"/>
      <c r="P20" s="395"/>
    </row>
    <row r="21" spans="1:16" s="394" customFormat="1" ht="14" outlineLevel="3">
      <c r="A21" s="388">
        <v>5</v>
      </c>
      <c r="B21" s="389" t="s">
        <v>356</v>
      </c>
      <c r="C21" s="397"/>
      <c r="D21" s="398"/>
      <c r="E21" s="398"/>
      <c r="F21" s="398"/>
      <c r="G21" s="398"/>
      <c r="H21" s="398"/>
      <c r="I21" s="399"/>
      <c r="J21" s="393"/>
      <c r="K21" s="393"/>
      <c r="L21" s="393"/>
      <c r="N21" s="393"/>
      <c r="P21" s="395"/>
    </row>
    <row r="22" spans="1:16" s="385" customFormat="1" ht="14" outlineLevel="1">
      <c r="A22" s="392" t="s">
        <v>357</v>
      </c>
      <c r="B22" s="389" t="s">
        <v>546</v>
      </c>
      <c r="C22" s="403"/>
      <c r="D22" s="391"/>
      <c r="E22" s="391"/>
      <c r="F22" s="391"/>
      <c r="G22" s="391">
        <f>SUBTOTAL(9,G23:G44)</f>
        <v>1128228.3516552297</v>
      </c>
      <c r="H22" s="391">
        <f>SUBTOTAL(9,H23:H44)</f>
        <v>653733.02703832497</v>
      </c>
      <c r="I22" s="391"/>
      <c r="J22" s="383"/>
      <c r="K22" s="383"/>
      <c r="L22" s="383"/>
      <c r="M22" s="383"/>
      <c r="N22" s="383"/>
      <c r="P22" s="386"/>
    </row>
    <row r="23" spans="1:16" s="385" customFormat="1" ht="14" outlineLevel="2">
      <c r="A23" s="392" t="s">
        <v>4</v>
      </c>
      <c r="B23" s="389" t="s">
        <v>16</v>
      </c>
      <c r="C23" s="390"/>
      <c r="D23" s="391"/>
      <c r="E23" s="391"/>
      <c r="F23" s="391"/>
      <c r="G23" s="391">
        <f>SUBTOTAL(9,G24:G44)</f>
        <v>1128228.3516552297</v>
      </c>
      <c r="H23" s="391">
        <f>SUBTOTAL(9,H24:H44)</f>
        <v>653733.02703832497</v>
      </c>
      <c r="I23" s="391"/>
      <c r="J23" s="383"/>
      <c r="K23" s="383"/>
      <c r="L23" s="383"/>
      <c r="M23" s="383"/>
      <c r="N23" s="383"/>
      <c r="P23" s="386"/>
    </row>
    <row r="24" spans="1:16" s="385" customFormat="1" ht="14" outlineLevel="3">
      <c r="A24" s="388">
        <v>1</v>
      </c>
      <c r="B24" s="350" t="s">
        <v>209</v>
      </c>
      <c r="C24" s="403"/>
      <c r="D24" s="391"/>
      <c r="E24" s="391"/>
      <c r="F24" s="391"/>
      <c r="G24" s="391">
        <f>SUBTOTAL(9,G25:G31)</f>
        <v>1128228.3516552297</v>
      </c>
      <c r="H24" s="391">
        <f>SUBTOTAL(9,H25:H31)</f>
        <v>653733.02703832497</v>
      </c>
      <c r="I24" s="391"/>
      <c r="J24" s="383"/>
      <c r="K24" s="383"/>
      <c r="L24" s="383"/>
      <c r="M24" s="383"/>
      <c r="N24" s="383"/>
      <c r="P24" s="386"/>
    </row>
    <row r="25" spans="1:16" s="372" customFormat="1" ht="28" outlineLevel="4">
      <c r="A25" s="400" t="s">
        <v>8</v>
      </c>
      <c r="B25" s="347" t="s">
        <v>1394</v>
      </c>
      <c r="C25" s="397" t="s">
        <v>31</v>
      </c>
      <c r="D25" s="404">
        <v>11</v>
      </c>
      <c r="E25" s="404"/>
      <c r="F25" s="398">
        <v>15065.824999999999</v>
      </c>
      <c r="G25" s="398">
        <f t="shared" ref="G25:G28" si="0">F25*D25</f>
        <v>165724.07499999998</v>
      </c>
      <c r="H25" s="398">
        <f t="shared" ref="H25:H28" si="1">F25*E25</f>
        <v>0</v>
      </c>
      <c r="I25" s="399"/>
      <c r="J25" s="362" t="s">
        <v>7</v>
      </c>
      <c r="K25" s="362" t="s">
        <v>127</v>
      </c>
      <c r="L25" s="362" t="s">
        <v>112</v>
      </c>
      <c r="M25" s="362"/>
      <c r="P25" s="371"/>
    </row>
    <row r="26" spans="1:16" s="372" customFormat="1" ht="42" outlineLevel="4">
      <c r="A26" s="400" t="s">
        <v>8</v>
      </c>
      <c r="B26" s="347" t="s">
        <v>1395</v>
      </c>
      <c r="C26" s="397" t="s">
        <v>31</v>
      </c>
      <c r="D26" s="398"/>
      <c r="E26" s="398">
        <v>3</v>
      </c>
      <c r="F26" s="398">
        <v>18983.05</v>
      </c>
      <c r="G26" s="398">
        <f t="shared" si="0"/>
        <v>0</v>
      </c>
      <c r="H26" s="398">
        <f t="shared" si="1"/>
        <v>56949.149999999994</v>
      </c>
      <c r="I26" s="399"/>
      <c r="J26" s="362" t="s">
        <v>7</v>
      </c>
      <c r="K26" s="362" t="s">
        <v>127</v>
      </c>
      <c r="L26" s="362" t="s">
        <v>112</v>
      </c>
      <c r="M26" s="362"/>
      <c r="N26" s="362"/>
      <c r="P26" s="371"/>
    </row>
    <row r="27" spans="1:16" s="372" customFormat="1" ht="28" outlineLevel="4">
      <c r="A27" s="400" t="s">
        <v>8</v>
      </c>
      <c r="B27" s="347" t="s">
        <v>1396</v>
      </c>
      <c r="C27" s="397" t="s">
        <v>31</v>
      </c>
      <c r="D27" s="398">
        <v>3</v>
      </c>
      <c r="E27" s="398"/>
      <c r="F27" s="398">
        <v>12944.888398821598</v>
      </c>
      <c r="G27" s="398">
        <f t="shared" si="0"/>
        <v>38834.665196464797</v>
      </c>
      <c r="H27" s="398">
        <f t="shared" si="1"/>
        <v>0</v>
      </c>
      <c r="I27" s="399"/>
      <c r="J27" s="362" t="s">
        <v>7</v>
      </c>
      <c r="K27" s="362" t="s">
        <v>127</v>
      </c>
      <c r="L27" s="362" t="s">
        <v>112</v>
      </c>
      <c r="M27" s="362"/>
      <c r="N27" s="362"/>
      <c r="P27" s="371"/>
    </row>
    <row r="28" spans="1:16" s="372" customFormat="1" ht="28" outlineLevel="4">
      <c r="A28" s="400" t="s">
        <v>8</v>
      </c>
      <c r="B28" s="396" t="s">
        <v>1397</v>
      </c>
      <c r="C28" s="397" t="s">
        <v>34</v>
      </c>
      <c r="D28" s="398">
        <v>46</v>
      </c>
      <c r="E28" s="398">
        <v>30</v>
      </c>
      <c r="F28" s="398">
        <v>18886.295901277499</v>
      </c>
      <c r="G28" s="398">
        <f t="shared" si="0"/>
        <v>868769.61145876499</v>
      </c>
      <c r="H28" s="398">
        <f t="shared" si="1"/>
        <v>566588.87703832495</v>
      </c>
      <c r="I28" s="399"/>
      <c r="J28" s="362" t="s">
        <v>7</v>
      </c>
      <c r="K28" s="362" t="s">
        <v>127</v>
      </c>
      <c r="L28" s="362" t="s">
        <v>112</v>
      </c>
      <c r="M28" s="362"/>
      <c r="N28" s="362"/>
      <c r="P28" s="371"/>
    </row>
    <row r="29" spans="1:16" s="372" customFormat="1" ht="14" outlineLevel="4">
      <c r="A29" s="405" t="s">
        <v>8</v>
      </c>
      <c r="B29" s="347" t="s">
        <v>1393</v>
      </c>
      <c r="C29" s="397" t="s">
        <v>34</v>
      </c>
      <c r="D29" s="398">
        <v>180</v>
      </c>
      <c r="E29" s="398">
        <v>99</v>
      </c>
      <c r="F29" s="406">
        <v>305</v>
      </c>
      <c r="G29" s="398">
        <f t="shared" ref="G29:G31" si="2">F29*D29</f>
        <v>54900</v>
      </c>
      <c r="H29" s="398">
        <f t="shared" ref="H29:H31" si="3">F29*E29</f>
        <v>30195</v>
      </c>
      <c r="I29" s="399"/>
      <c r="J29" s="362" t="s">
        <v>7</v>
      </c>
      <c r="K29" s="362" t="s">
        <v>127</v>
      </c>
      <c r="L29" s="362" t="s">
        <v>112</v>
      </c>
      <c r="M29" s="362"/>
      <c r="N29" s="362"/>
      <c r="P29" s="371"/>
    </row>
    <row r="30" spans="1:16" s="372" customFormat="1" ht="14" outlineLevel="4">
      <c r="A30" s="405" t="s">
        <v>8</v>
      </c>
      <c r="B30" s="347" t="s">
        <v>633</v>
      </c>
      <c r="C30" s="397" t="s">
        <v>34</v>
      </c>
      <c r="D30" s="398"/>
      <c r="E30" s="398"/>
      <c r="F30" s="406"/>
      <c r="G30" s="398">
        <f t="shared" si="2"/>
        <v>0</v>
      </c>
      <c r="H30" s="398">
        <f t="shared" si="3"/>
        <v>0</v>
      </c>
      <c r="I30" s="399"/>
      <c r="J30" s="362" t="s">
        <v>7</v>
      </c>
      <c r="K30" s="362" t="s">
        <v>127</v>
      </c>
      <c r="L30" s="362" t="s">
        <v>112</v>
      </c>
      <c r="M30" s="362"/>
      <c r="N30" s="362"/>
      <c r="P30" s="371"/>
    </row>
    <row r="31" spans="1:16" s="372" customFormat="1" ht="14" outlineLevel="4">
      <c r="A31" s="405" t="s">
        <v>8</v>
      </c>
      <c r="B31" s="347" t="s">
        <v>634</v>
      </c>
      <c r="C31" s="397" t="s">
        <v>34</v>
      </c>
      <c r="D31" s="398"/>
      <c r="E31" s="398"/>
      <c r="F31" s="406"/>
      <c r="G31" s="398">
        <f t="shared" si="2"/>
        <v>0</v>
      </c>
      <c r="H31" s="398">
        <f t="shared" si="3"/>
        <v>0</v>
      </c>
      <c r="I31" s="399"/>
      <c r="J31" s="362" t="s">
        <v>7</v>
      </c>
      <c r="K31" s="362" t="s">
        <v>127</v>
      </c>
      <c r="L31" s="362" t="s">
        <v>112</v>
      </c>
      <c r="M31" s="362"/>
      <c r="N31" s="362"/>
      <c r="P31" s="371"/>
    </row>
    <row r="32" spans="1:16" s="385" customFormat="1" ht="14" outlineLevel="3">
      <c r="A32" s="388">
        <v>2</v>
      </c>
      <c r="B32" s="350" t="s">
        <v>635</v>
      </c>
      <c r="C32" s="403"/>
      <c r="D32" s="391"/>
      <c r="E32" s="391"/>
      <c r="F32" s="391"/>
      <c r="G32" s="391">
        <f>SUBTOTAL(9,G33:G38)</f>
        <v>0</v>
      </c>
      <c r="H32" s="391">
        <f>SUBTOTAL(9,H33:H39)</f>
        <v>0</v>
      </c>
      <c r="I32" s="391"/>
      <c r="J32" s="383"/>
      <c r="K32" s="383"/>
      <c r="L32" s="383"/>
      <c r="M32" s="383"/>
      <c r="N32" s="383"/>
      <c r="P32" s="386"/>
    </row>
    <row r="33" spans="1:16" s="372" customFormat="1" ht="14" outlineLevel="4">
      <c r="A33" s="400" t="s">
        <v>8</v>
      </c>
      <c r="B33" s="347" t="s">
        <v>639</v>
      </c>
      <c r="C33" s="397" t="s">
        <v>31</v>
      </c>
      <c r="D33" s="404"/>
      <c r="E33" s="404"/>
      <c r="F33" s="398"/>
      <c r="G33" s="398">
        <f t="shared" ref="G33:G38" si="4">F33*D33</f>
        <v>0</v>
      </c>
      <c r="H33" s="398">
        <f t="shared" ref="H33:H38" si="5">F33*E33</f>
        <v>0</v>
      </c>
      <c r="I33" s="399"/>
      <c r="J33" s="362" t="s">
        <v>7</v>
      </c>
      <c r="K33" s="362" t="s">
        <v>127</v>
      </c>
      <c r="L33" s="362" t="s">
        <v>112</v>
      </c>
      <c r="M33" s="362"/>
      <c r="P33" s="371"/>
    </row>
    <row r="34" spans="1:16" s="372" customFormat="1" ht="14" outlineLevel="4">
      <c r="A34" s="400" t="s">
        <v>8</v>
      </c>
      <c r="B34" s="347" t="s">
        <v>640</v>
      </c>
      <c r="C34" s="397" t="s">
        <v>31</v>
      </c>
      <c r="D34" s="398"/>
      <c r="E34" s="398"/>
      <c r="F34" s="398"/>
      <c r="G34" s="398">
        <f t="shared" si="4"/>
        <v>0</v>
      </c>
      <c r="H34" s="398">
        <f t="shared" si="5"/>
        <v>0</v>
      </c>
      <c r="I34" s="399"/>
      <c r="J34" s="362" t="s">
        <v>7</v>
      </c>
      <c r="K34" s="362" t="s">
        <v>127</v>
      </c>
      <c r="L34" s="362" t="s">
        <v>112</v>
      </c>
      <c r="M34" s="362"/>
      <c r="N34" s="362"/>
      <c r="P34" s="371"/>
    </row>
    <row r="35" spans="1:16" s="372" customFormat="1" ht="14" outlineLevel="4">
      <c r="A35" s="400" t="s">
        <v>8</v>
      </c>
      <c r="B35" s="396" t="s">
        <v>97</v>
      </c>
      <c r="C35" s="397" t="s">
        <v>34</v>
      </c>
      <c r="D35" s="398"/>
      <c r="E35" s="398"/>
      <c r="F35" s="398"/>
      <c r="G35" s="398">
        <f t="shared" si="4"/>
        <v>0</v>
      </c>
      <c r="H35" s="398">
        <f t="shared" si="5"/>
        <v>0</v>
      </c>
      <c r="I35" s="399"/>
      <c r="J35" s="362" t="s">
        <v>7</v>
      </c>
      <c r="K35" s="362" t="s">
        <v>127</v>
      </c>
      <c r="L35" s="362" t="s">
        <v>112</v>
      </c>
      <c r="M35" s="362"/>
      <c r="N35" s="362"/>
      <c r="P35" s="371"/>
    </row>
    <row r="36" spans="1:16" s="372" customFormat="1" ht="14" outlineLevel="4">
      <c r="A36" s="405" t="s">
        <v>8</v>
      </c>
      <c r="B36" s="347" t="s">
        <v>96</v>
      </c>
      <c r="C36" s="397" t="s">
        <v>34</v>
      </c>
      <c r="D36" s="398"/>
      <c r="E36" s="398"/>
      <c r="F36" s="406"/>
      <c r="G36" s="398">
        <f t="shared" si="4"/>
        <v>0</v>
      </c>
      <c r="H36" s="398">
        <f t="shared" si="5"/>
        <v>0</v>
      </c>
      <c r="I36" s="399"/>
      <c r="J36" s="362" t="s">
        <v>7</v>
      </c>
      <c r="K36" s="362" t="s">
        <v>127</v>
      </c>
      <c r="L36" s="362" t="s">
        <v>112</v>
      </c>
      <c r="M36" s="362"/>
      <c r="N36" s="362"/>
      <c r="P36" s="371"/>
    </row>
    <row r="37" spans="1:16" s="372" customFormat="1" ht="14" outlineLevel="4">
      <c r="A37" s="405" t="s">
        <v>8</v>
      </c>
      <c r="B37" s="347" t="s">
        <v>633</v>
      </c>
      <c r="C37" s="397" t="s">
        <v>34</v>
      </c>
      <c r="D37" s="398"/>
      <c r="E37" s="398"/>
      <c r="F37" s="406"/>
      <c r="G37" s="398">
        <f t="shared" si="4"/>
        <v>0</v>
      </c>
      <c r="H37" s="398">
        <f t="shared" si="5"/>
        <v>0</v>
      </c>
      <c r="I37" s="399"/>
      <c r="J37" s="362" t="s">
        <v>7</v>
      </c>
      <c r="K37" s="362" t="s">
        <v>127</v>
      </c>
      <c r="L37" s="362" t="s">
        <v>112</v>
      </c>
      <c r="M37" s="362"/>
      <c r="N37" s="362"/>
      <c r="P37" s="371"/>
    </row>
    <row r="38" spans="1:16" s="372" customFormat="1" ht="14" outlineLevel="4">
      <c r="A38" s="405" t="s">
        <v>8</v>
      </c>
      <c r="B38" s="347" t="s">
        <v>634</v>
      </c>
      <c r="C38" s="397" t="s">
        <v>34</v>
      </c>
      <c r="D38" s="398"/>
      <c r="E38" s="398"/>
      <c r="F38" s="406"/>
      <c r="G38" s="398">
        <f t="shared" si="4"/>
        <v>0</v>
      </c>
      <c r="H38" s="398">
        <f t="shared" si="5"/>
        <v>0</v>
      </c>
      <c r="I38" s="399"/>
      <c r="J38" s="362" t="s">
        <v>7</v>
      </c>
      <c r="K38" s="362" t="s">
        <v>127</v>
      </c>
      <c r="L38" s="362" t="s">
        <v>112</v>
      </c>
      <c r="M38" s="362"/>
      <c r="N38" s="362"/>
      <c r="P38" s="371"/>
    </row>
    <row r="39" spans="1:16" s="385" customFormat="1" ht="14" outlineLevel="3">
      <c r="A39" s="388">
        <v>3</v>
      </c>
      <c r="B39" s="350" t="s">
        <v>636</v>
      </c>
      <c r="C39" s="403"/>
      <c r="D39" s="391"/>
      <c r="E39" s="391"/>
      <c r="F39" s="391"/>
      <c r="G39" s="391">
        <f>SUBTOTAL(9,G40:G44)</f>
        <v>0</v>
      </c>
      <c r="H39" s="391">
        <f>SUBTOTAL(9,H40:H46)</f>
        <v>0</v>
      </c>
      <c r="I39" s="391"/>
      <c r="J39" s="383"/>
      <c r="K39" s="383"/>
      <c r="L39" s="383"/>
      <c r="M39" s="383"/>
      <c r="N39" s="383"/>
      <c r="P39" s="386"/>
    </row>
    <row r="40" spans="1:16" s="372" customFormat="1" ht="14" outlineLevel="4">
      <c r="A40" s="400" t="s">
        <v>8</v>
      </c>
      <c r="B40" s="347" t="s">
        <v>637</v>
      </c>
      <c r="C40" s="397" t="s">
        <v>31</v>
      </c>
      <c r="D40" s="404"/>
      <c r="E40" s="404"/>
      <c r="F40" s="398"/>
      <c r="G40" s="398">
        <f t="shared" ref="G40:G44" si="6">F40*D40</f>
        <v>0</v>
      </c>
      <c r="H40" s="398">
        <f t="shared" ref="H40:H44" si="7">F40*E40</f>
        <v>0</v>
      </c>
      <c r="I40" s="399"/>
      <c r="J40" s="362" t="s">
        <v>7</v>
      </c>
      <c r="K40" s="362" t="s">
        <v>127</v>
      </c>
      <c r="L40" s="362" t="s">
        <v>112</v>
      </c>
      <c r="M40" s="362"/>
      <c r="P40" s="371"/>
    </row>
    <row r="41" spans="1:16" s="372" customFormat="1" ht="14" outlineLevel="4">
      <c r="A41" s="400" t="s">
        <v>8</v>
      </c>
      <c r="B41" s="347" t="s">
        <v>638</v>
      </c>
      <c r="C41" s="397" t="s">
        <v>31</v>
      </c>
      <c r="D41" s="398"/>
      <c r="E41" s="398"/>
      <c r="F41" s="398"/>
      <c r="G41" s="398">
        <f t="shared" si="6"/>
        <v>0</v>
      </c>
      <c r="H41" s="398">
        <f t="shared" si="7"/>
        <v>0</v>
      </c>
      <c r="I41" s="399"/>
      <c r="J41" s="362" t="s">
        <v>7</v>
      </c>
      <c r="K41" s="362" t="s">
        <v>127</v>
      </c>
      <c r="L41" s="362" t="s">
        <v>112</v>
      </c>
      <c r="M41" s="362"/>
      <c r="N41" s="362"/>
      <c r="P41" s="371"/>
    </row>
    <row r="42" spans="1:16" s="372" customFormat="1" ht="14" outlineLevel="4">
      <c r="A42" s="405" t="s">
        <v>8</v>
      </c>
      <c r="B42" s="347" t="s">
        <v>96</v>
      </c>
      <c r="C42" s="397" t="s">
        <v>34</v>
      </c>
      <c r="D42" s="398"/>
      <c r="E42" s="398"/>
      <c r="F42" s="406"/>
      <c r="G42" s="398">
        <f t="shared" si="6"/>
        <v>0</v>
      </c>
      <c r="H42" s="398">
        <f t="shared" si="7"/>
        <v>0</v>
      </c>
      <c r="I42" s="399"/>
      <c r="J42" s="362" t="s">
        <v>7</v>
      </c>
      <c r="K42" s="362" t="s">
        <v>127</v>
      </c>
      <c r="L42" s="362" t="s">
        <v>112</v>
      </c>
      <c r="M42" s="362"/>
      <c r="N42" s="362"/>
      <c r="P42" s="371"/>
    </row>
    <row r="43" spans="1:16" s="372" customFormat="1" ht="14" outlineLevel="4">
      <c r="A43" s="405" t="s">
        <v>8</v>
      </c>
      <c r="B43" s="347" t="s">
        <v>633</v>
      </c>
      <c r="C43" s="397" t="s">
        <v>34</v>
      </c>
      <c r="D43" s="398"/>
      <c r="E43" s="398"/>
      <c r="F43" s="406"/>
      <c r="G43" s="398">
        <f t="shared" si="6"/>
        <v>0</v>
      </c>
      <c r="H43" s="398">
        <f t="shared" si="7"/>
        <v>0</v>
      </c>
      <c r="I43" s="399"/>
      <c r="J43" s="362" t="s">
        <v>7</v>
      </c>
      <c r="K43" s="362" t="s">
        <v>127</v>
      </c>
      <c r="L43" s="362" t="s">
        <v>112</v>
      </c>
      <c r="M43" s="362"/>
      <c r="N43" s="362"/>
      <c r="P43" s="371"/>
    </row>
    <row r="44" spans="1:16" s="372" customFormat="1" ht="14" outlineLevel="4">
      <c r="A44" s="405" t="s">
        <v>8</v>
      </c>
      <c r="B44" s="347" t="s">
        <v>634</v>
      </c>
      <c r="C44" s="397" t="s">
        <v>34</v>
      </c>
      <c r="D44" s="398"/>
      <c r="E44" s="398"/>
      <c r="F44" s="406"/>
      <c r="G44" s="398">
        <f t="shared" si="6"/>
        <v>0</v>
      </c>
      <c r="H44" s="398">
        <f t="shared" si="7"/>
        <v>0</v>
      </c>
      <c r="I44" s="399"/>
      <c r="J44" s="362" t="s">
        <v>7</v>
      </c>
      <c r="K44" s="362" t="s">
        <v>127</v>
      </c>
      <c r="L44" s="362" t="s">
        <v>112</v>
      </c>
      <c r="M44" s="362"/>
      <c r="N44" s="362"/>
      <c r="P44" s="371"/>
    </row>
    <row r="45" spans="1:16" s="385" customFormat="1" ht="14" outlineLevel="2">
      <c r="A45" s="392" t="s">
        <v>12</v>
      </c>
      <c r="B45" s="389" t="s">
        <v>22</v>
      </c>
      <c r="C45" s="390"/>
      <c r="D45" s="391"/>
      <c r="E45" s="391"/>
      <c r="F45" s="391"/>
      <c r="G45" s="391">
        <f>SUBTOTAL(9,G46:G73)</f>
        <v>5040295.3499999996</v>
      </c>
      <c r="H45" s="391">
        <f>SUBTOTAL(9,H46:H73)</f>
        <v>5608483.7919941079</v>
      </c>
      <c r="I45" s="391"/>
      <c r="J45" s="383"/>
      <c r="K45" s="383"/>
      <c r="L45" s="383"/>
      <c r="M45" s="383"/>
      <c r="N45" s="383"/>
      <c r="P45" s="407"/>
    </row>
    <row r="46" spans="1:16" s="385" customFormat="1" ht="14" outlineLevel="3">
      <c r="A46" s="388">
        <v>1</v>
      </c>
      <c r="B46" s="350" t="s">
        <v>209</v>
      </c>
      <c r="C46" s="403"/>
      <c r="D46" s="391"/>
      <c r="E46" s="391"/>
      <c r="F46" s="391"/>
      <c r="G46" s="391">
        <f>SUBTOTAL(9,G47:G59)</f>
        <v>5040295.3499999996</v>
      </c>
      <c r="H46" s="391">
        <f>SUBTOTAL(9,H47:H59)</f>
        <v>5608483.7919941079</v>
      </c>
      <c r="I46" s="391"/>
      <c r="J46" s="383"/>
      <c r="K46" s="383"/>
      <c r="L46" s="383"/>
      <c r="M46" s="383"/>
      <c r="N46" s="383"/>
      <c r="P46" s="386"/>
    </row>
    <row r="47" spans="1:16" s="372" customFormat="1" ht="28" outlineLevel="4">
      <c r="A47" s="400" t="s">
        <v>8</v>
      </c>
      <c r="B47" s="347" t="s">
        <v>1394</v>
      </c>
      <c r="C47" s="401" t="s">
        <v>31</v>
      </c>
      <c r="D47" s="697">
        <v>38</v>
      </c>
      <c r="E47" s="697"/>
      <c r="F47" s="398">
        <v>15065.824999999999</v>
      </c>
      <c r="G47" s="398">
        <f t="shared" ref="G47:G54" si="8">F47*D47</f>
        <v>572501.35</v>
      </c>
      <c r="H47" s="398">
        <f t="shared" ref="H47:H55" si="9">F47*E47</f>
        <v>0</v>
      </c>
      <c r="I47" s="399"/>
      <c r="J47" s="362" t="s">
        <v>7</v>
      </c>
      <c r="K47" s="362" t="s">
        <v>128</v>
      </c>
      <c r="L47" s="362" t="s">
        <v>112</v>
      </c>
      <c r="M47" s="362"/>
      <c r="P47" s="371"/>
    </row>
    <row r="48" spans="1:16" s="372" customFormat="1" ht="42" outlineLevel="4">
      <c r="A48" s="400" t="s">
        <v>8</v>
      </c>
      <c r="B48" s="347" t="s">
        <v>1395</v>
      </c>
      <c r="C48" s="401" t="s">
        <v>31</v>
      </c>
      <c r="D48" s="398"/>
      <c r="E48" s="398">
        <v>35</v>
      </c>
      <c r="F48" s="398">
        <v>18983.05</v>
      </c>
      <c r="G48" s="398">
        <f t="shared" si="8"/>
        <v>0</v>
      </c>
      <c r="H48" s="398">
        <f t="shared" si="9"/>
        <v>664406.75</v>
      </c>
      <c r="I48" s="399"/>
      <c r="J48" s="362" t="s">
        <v>7</v>
      </c>
      <c r="K48" s="362" t="s">
        <v>128</v>
      </c>
      <c r="L48" s="362" t="s">
        <v>112</v>
      </c>
      <c r="M48" s="362"/>
      <c r="N48" s="362"/>
      <c r="P48" s="371"/>
    </row>
    <row r="49" spans="1:16" s="372" customFormat="1" ht="28" outlineLevel="4">
      <c r="A49" s="400" t="s">
        <v>8</v>
      </c>
      <c r="B49" s="347" t="s">
        <v>1398</v>
      </c>
      <c r="C49" s="401" t="s">
        <v>31</v>
      </c>
      <c r="D49" s="398">
        <v>6</v>
      </c>
      <c r="E49" s="398">
        <v>12</v>
      </c>
      <c r="F49" s="398">
        <v>16686.800000000003</v>
      </c>
      <c r="G49" s="398">
        <f t="shared" si="8"/>
        <v>100120.80000000002</v>
      </c>
      <c r="H49" s="398">
        <f t="shared" si="9"/>
        <v>200241.60000000003</v>
      </c>
      <c r="I49" s="399"/>
      <c r="J49" s="362" t="s">
        <v>7</v>
      </c>
      <c r="K49" s="362" t="s">
        <v>128</v>
      </c>
      <c r="L49" s="362" t="s">
        <v>112</v>
      </c>
      <c r="M49" s="362"/>
      <c r="N49" s="362"/>
      <c r="P49" s="371"/>
    </row>
    <row r="50" spans="1:16" s="372" customFormat="1" ht="28" outlineLevel="4">
      <c r="A50" s="400" t="s">
        <v>8</v>
      </c>
      <c r="B50" s="347" t="s">
        <v>1399</v>
      </c>
      <c r="C50" s="401" t="s">
        <v>31</v>
      </c>
      <c r="D50" s="398">
        <v>181</v>
      </c>
      <c r="E50" s="398">
        <v>146</v>
      </c>
      <c r="F50" s="398">
        <v>11686.800000000001</v>
      </c>
      <c r="G50" s="398">
        <f t="shared" si="8"/>
        <v>2115310.8000000003</v>
      </c>
      <c r="H50" s="398">
        <f t="shared" si="9"/>
        <v>1706272.8</v>
      </c>
      <c r="I50" s="399"/>
      <c r="J50" s="362" t="s">
        <v>7</v>
      </c>
      <c r="K50" s="362" t="s">
        <v>128</v>
      </c>
      <c r="L50" s="362" t="s">
        <v>112</v>
      </c>
      <c r="M50" s="362"/>
      <c r="N50" s="362"/>
      <c r="P50" s="371"/>
    </row>
    <row r="51" spans="1:16" s="372" customFormat="1" ht="28" outlineLevel="4">
      <c r="A51" s="405" t="s">
        <v>8</v>
      </c>
      <c r="B51" s="347" t="s">
        <v>1401</v>
      </c>
      <c r="C51" s="401" t="s">
        <v>31</v>
      </c>
      <c r="D51" s="398">
        <v>20</v>
      </c>
      <c r="E51" s="398"/>
      <c r="F51" s="406">
        <v>10000</v>
      </c>
      <c r="G51" s="398">
        <f t="shared" si="8"/>
        <v>200000</v>
      </c>
      <c r="H51" s="398">
        <f t="shared" si="9"/>
        <v>0</v>
      </c>
      <c r="I51" s="399"/>
      <c r="J51" s="362" t="s">
        <v>7</v>
      </c>
      <c r="K51" s="362" t="s">
        <v>128</v>
      </c>
      <c r="L51" s="362" t="s">
        <v>112</v>
      </c>
      <c r="M51" s="362"/>
      <c r="N51" s="362"/>
      <c r="P51" s="371"/>
    </row>
    <row r="52" spans="1:16" s="372" customFormat="1" ht="42" outlineLevel="4">
      <c r="A52" s="405" t="s">
        <v>8</v>
      </c>
      <c r="B52" s="437" t="s">
        <v>1404</v>
      </c>
      <c r="C52" s="401" t="s">
        <v>31</v>
      </c>
      <c r="D52" s="398">
        <v>22</v>
      </c>
      <c r="E52" s="398">
        <v>36</v>
      </c>
      <c r="F52" s="406">
        <v>24000</v>
      </c>
      <c r="G52" s="398">
        <f t="shared" ref="G52" si="10">F52*D52</f>
        <v>528000</v>
      </c>
      <c r="H52" s="398">
        <f t="shared" ref="H52" si="11">F52*E52</f>
        <v>864000</v>
      </c>
      <c r="I52" s="399"/>
      <c r="J52" s="362" t="s">
        <v>7</v>
      </c>
      <c r="K52" s="362" t="s">
        <v>128</v>
      </c>
      <c r="L52" s="362" t="s">
        <v>112</v>
      </c>
      <c r="M52" s="362"/>
      <c r="N52" s="362"/>
      <c r="P52" s="371"/>
    </row>
    <row r="53" spans="1:16" s="372" customFormat="1" ht="28" outlineLevel="4">
      <c r="A53" s="405" t="s">
        <v>8</v>
      </c>
      <c r="B53" s="698" t="s">
        <v>1396</v>
      </c>
      <c r="C53" s="401" t="s">
        <v>31</v>
      </c>
      <c r="D53" s="398"/>
      <c r="E53" s="398">
        <v>5</v>
      </c>
      <c r="F53" s="406">
        <v>12944.888398821598</v>
      </c>
      <c r="G53" s="398">
        <f t="shared" si="8"/>
        <v>0</v>
      </c>
      <c r="H53" s="398">
        <f t="shared" si="9"/>
        <v>64724.44199410799</v>
      </c>
      <c r="I53" s="399"/>
      <c r="J53" s="362" t="s">
        <v>7</v>
      </c>
      <c r="K53" s="362" t="s">
        <v>128</v>
      </c>
      <c r="L53" s="362" t="s">
        <v>112</v>
      </c>
      <c r="M53" s="362"/>
      <c r="N53" s="362"/>
      <c r="P53" s="371"/>
    </row>
    <row r="54" spans="1:16" s="372" customFormat="1" ht="42" outlineLevel="4">
      <c r="A54" s="405" t="s">
        <v>8</v>
      </c>
      <c r="B54" s="698" t="s">
        <v>1402</v>
      </c>
      <c r="C54" s="401" t="s">
        <v>31</v>
      </c>
      <c r="D54" s="398"/>
      <c r="E54" s="398">
        <v>10</v>
      </c>
      <c r="F54" s="406">
        <v>16686.800000000003</v>
      </c>
      <c r="G54" s="398">
        <f t="shared" si="8"/>
        <v>0</v>
      </c>
      <c r="H54" s="398">
        <f t="shared" si="9"/>
        <v>166868.00000000003</v>
      </c>
      <c r="I54" s="399"/>
      <c r="J54" s="362" t="s">
        <v>7</v>
      </c>
      <c r="K54" s="362" t="s">
        <v>128</v>
      </c>
      <c r="L54" s="362" t="s">
        <v>112</v>
      </c>
      <c r="M54" s="362"/>
      <c r="N54" s="362"/>
      <c r="P54" s="371"/>
    </row>
    <row r="55" spans="1:16" s="372" customFormat="1" ht="42" outlineLevel="4">
      <c r="A55" s="405" t="s">
        <v>8</v>
      </c>
      <c r="B55" s="698" t="s">
        <v>1403</v>
      </c>
      <c r="C55" s="401" t="s">
        <v>31</v>
      </c>
      <c r="D55" s="398">
        <v>61</v>
      </c>
      <c r="E55" s="372">
        <v>139</v>
      </c>
      <c r="F55" s="406">
        <v>11686.800000000001</v>
      </c>
      <c r="G55" s="398">
        <f>F55*D55</f>
        <v>712894.8</v>
      </c>
      <c r="H55" s="398">
        <f t="shared" si="9"/>
        <v>1624465.2000000002</v>
      </c>
      <c r="I55" s="399"/>
      <c r="J55" s="362" t="s">
        <v>7</v>
      </c>
      <c r="K55" s="362" t="s">
        <v>128</v>
      </c>
      <c r="L55" s="362" t="s">
        <v>112</v>
      </c>
      <c r="M55" s="362"/>
      <c r="N55" s="362"/>
      <c r="P55" s="371"/>
    </row>
    <row r="56" spans="1:16" s="372" customFormat="1" ht="42" outlineLevel="4">
      <c r="A56" s="405" t="s">
        <v>8</v>
      </c>
      <c r="B56" s="437" t="s">
        <v>1405</v>
      </c>
      <c r="C56" s="401" t="s">
        <v>31</v>
      </c>
      <c r="D56" s="398">
        <v>18</v>
      </c>
      <c r="F56" s="406">
        <v>24000</v>
      </c>
      <c r="G56" s="398">
        <f>F56*D56</f>
        <v>432000</v>
      </c>
      <c r="H56" s="398">
        <f t="shared" ref="H56" si="12">F56*E56</f>
        <v>0</v>
      </c>
      <c r="I56" s="399"/>
      <c r="J56" s="362" t="s">
        <v>7</v>
      </c>
      <c r="K56" s="362" t="s">
        <v>128</v>
      </c>
      <c r="L56" s="362" t="s">
        <v>112</v>
      </c>
      <c r="M56" s="362"/>
      <c r="N56" s="362"/>
      <c r="P56" s="371"/>
    </row>
    <row r="57" spans="1:16" s="372" customFormat="1" ht="28" outlineLevel="4">
      <c r="A57" s="405" t="s">
        <v>8</v>
      </c>
      <c r="B57" s="699" t="s">
        <v>1400</v>
      </c>
      <c r="C57" s="504" t="s">
        <v>31</v>
      </c>
      <c r="D57" s="398">
        <v>32</v>
      </c>
      <c r="E57" s="398"/>
      <c r="F57" s="406">
        <v>11686.800000000001</v>
      </c>
      <c r="G57" s="398">
        <f t="shared" ref="G57:G59" si="13">F57*D57</f>
        <v>373977.60000000003</v>
      </c>
      <c r="H57" s="398">
        <f t="shared" ref="H57:H59" si="14">F57*E57</f>
        <v>0</v>
      </c>
      <c r="I57" s="399"/>
      <c r="J57" s="362" t="s">
        <v>7</v>
      </c>
      <c r="K57" s="362" t="s">
        <v>128</v>
      </c>
      <c r="L57" s="362" t="s">
        <v>112</v>
      </c>
      <c r="M57" s="362"/>
      <c r="N57" s="362"/>
      <c r="P57" s="371"/>
    </row>
    <row r="58" spans="1:16" s="372" customFormat="1" ht="14" outlineLevel="4">
      <c r="A58" s="405" t="s">
        <v>8</v>
      </c>
      <c r="B58" s="347" t="s">
        <v>633</v>
      </c>
      <c r="C58" s="401" t="s">
        <v>15</v>
      </c>
      <c r="D58" s="398"/>
      <c r="E58" s="398"/>
      <c r="F58" s="406"/>
      <c r="G58" s="398">
        <f t="shared" si="13"/>
        <v>0</v>
      </c>
      <c r="H58" s="398">
        <f t="shared" si="14"/>
        <v>0</v>
      </c>
      <c r="I58" s="399"/>
      <c r="J58" s="362" t="s">
        <v>7</v>
      </c>
      <c r="K58" s="362" t="s">
        <v>128</v>
      </c>
      <c r="L58" s="362" t="s">
        <v>112</v>
      </c>
      <c r="M58" s="362"/>
      <c r="N58" s="362"/>
      <c r="P58" s="371"/>
    </row>
    <row r="59" spans="1:16" s="372" customFormat="1" ht="14" outlineLevel="4">
      <c r="A59" s="405" t="s">
        <v>8</v>
      </c>
      <c r="B59" s="347" t="s">
        <v>1393</v>
      </c>
      <c r="C59" s="401" t="s">
        <v>15</v>
      </c>
      <c r="D59" s="398">
        <v>18</v>
      </c>
      <c r="E59" s="398">
        <v>1041</v>
      </c>
      <c r="F59" s="406">
        <v>305</v>
      </c>
      <c r="G59" s="398">
        <f t="shared" si="13"/>
        <v>5490</v>
      </c>
      <c r="H59" s="398">
        <f t="shared" si="14"/>
        <v>317505</v>
      </c>
      <c r="I59" s="399"/>
      <c r="J59" s="362" t="s">
        <v>7</v>
      </c>
      <c r="K59" s="362" t="s">
        <v>128</v>
      </c>
      <c r="L59" s="362" t="s">
        <v>112</v>
      </c>
      <c r="M59" s="362"/>
      <c r="N59" s="362"/>
      <c r="P59" s="371"/>
    </row>
    <row r="60" spans="1:16" s="385" customFormat="1" ht="14" outlineLevel="3">
      <c r="A60" s="388">
        <v>1</v>
      </c>
      <c r="B60" s="350" t="s">
        <v>635</v>
      </c>
      <c r="C60" s="403"/>
      <c r="D60" s="391"/>
      <c r="E60" s="391"/>
      <c r="F60" s="391"/>
      <c r="G60" s="391">
        <f>SUBTOTAL(9,G61:G66)</f>
        <v>0</v>
      </c>
      <c r="H60" s="391">
        <f>SUBTOTAL(9,H61:H66)</f>
        <v>0</v>
      </c>
      <c r="I60" s="391"/>
      <c r="J60" s="383"/>
      <c r="K60" s="383"/>
      <c r="L60" s="383"/>
      <c r="M60" s="383"/>
      <c r="N60" s="383"/>
      <c r="P60" s="386"/>
    </row>
    <row r="61" spans="1:16" s="372" customFormat="1" ht="14" outlineLevel="4">
      <c r="A61" s="400" t="s">
        <v>8</v>
      </c>
      <c r="B61" s="347" t="s">
        <v>639</v>
      </c>
      <c r="C61" s="397" t="s">
        <v>31</v>
      </c>
      <c r="D61" s="404"/>
      <c r="E61" s="404"/>
      <c r="F61" s="398"/>
      <c r="G61" s="398">
        <f t="shared" ref="G61:G64" si="15">F61*D61</f>
        <v>0</v>
      </c>
      <c r="H61" s="398">
        <f t="shared" ref="H61:H64" si="16">F61*E61</f>
        <v>0</v>
      </c>
      <c r="I61" s="399"/>
      <c r="J61" s="362" t="s">
        <v>7</v>
      </c>
      <c r="K61" s="362" t="s">
        <v>128</v>
      </c>
      <c r="L61" s="362" t="s">
        <v>112</v>
      </c>
      <c r="M61" s="362"/>
      <c r="P61" s="371"/>
    </row>
    <row r="62" spans="1:16" s="372" customFormat="1" ht="14" outlineLevel="4">
      <c r="A62" s="400" t="s">
        <v>8</v>
      </c>
      <c r="B62" s="347" t="s">
        <v>640</v>
      </c>
      <c r="C62" s="397" t="s">
        <v>31</v>
      </c>
      <c r="D62" s="398"/>
      <c r="E62" s="398"/>
      <c r="F62" s="398"/>
      <c r="G62" s="398">
        <f t="shared" si="15"/>
        <v>0</v>
      </c>
      <c r="H62" s="398">
        <f t="shared" si="16"/>
        <v>0</v>
      </c>
      <c r="I62" s="399"/>
      <c r="J62" s="362" t="s">
        <v>7</v>
      </c>
      <c r="K62" s="362" t="s">
        <v>128</v>
      </c>
      <c r="L62" s="362" t="s">
        <v>112</v>
      </c>
      <c r="M62" s="362"/>
      <c r="N62" s="362"/>
      <c r="P62" s="371"/>
    </row>
    <row r="63" spans="1:16" s="372" customFormat="1" ht="14" outlineLevel="4">
      <c r="A63" s="400" t="s">
        <v>8</v>
      </c>
      <c r="B63" s="396" t="s">
        <v>97</v>
      </c>
      <c r="C63" s="397" t="s">
        <v>34</v>
      </c>
      <c r="D63" s="398"/>
      <c r="E63" s="398"/>
      <c r="F63" s="398"/>
      <c r="G63" s="398">
        <f t="shared" si="15"/>
        <v>0</v>
      </c>
      <c r="H63" s="398">
        <f t="shared" si="16"/>
        <v>0</v>
      </c>
      <c r="I63" s="399"/>
      <c r="J63" s="362" t="s">
        <v>7</v>
      </c>
      <c r="K63" s="362" t="s">
        <v>128</v>
      </c>
      <c r="L63" s="362" t="s">
        <v>112</v>
      </c>
      <c r="M63" s="362"/>
      <c r="N63" s="362"/>
      <c r="P63" s="371"/>
    </row>
    <row r="64" spans="1:16" s="372" customFormat="1" ht="14" outlineLevel="4">
      <c r="A64" s="400" t="s">
        <v>8</v>
      </c>
      <c r="B64" s="347" t="s">
        <v>96</v>
      </c>
      <c r="C64" s="397" t="s">
        <v>34</v>
      </c>
      <c r="D64" s="398"/>
      <c r="E64" s="398"/>
      <c r="F64" s="398"/>
      <c r="G64" s="398">
        <f t="shared" si="15"/>
        <v>0</v>
      </c>
      <c r="H64" s="398">
        <f t="shared" si="16"/>
        <v>0</v>
      </c>
      <c r="I64" s="399"/>
      <c r="J64" s="362" t="s">
        <v>7</v>
      </c>
      <c r="K64" s="362" t="s">
        <v>128</v>
      </c>
      <c r="L64" s="362" t="s">
        <v>112</v>
      </c>
      <c r="M64" s="362"/>
      <c r="N64" s="362"/>
      <c r="P64" s="371"/>
    </row>
    <row r="65" spans="1:16" s="372" customFormat="1" ht="14" outlineLevel="4">
      <c r="A65" s="405" t="s">
        <v>8</v>
      </c>
      <c r="B65" s="347" t="s">
        <v>633</v>
      </c>
      <c r="C65" s="397" t="s">
        <v>34</v>
      </c>
      <c r="D65" s="398"/>
      <c r="E65" s="398"/>
      <c r="F65" s="406"/>
      <c r="G65" s="398">
        <f t="shared" ref="G65:G66" si="17">F65*D65</f>
        <v>0</v>
      </c>
      <c r="H65" s="398">
        <f t="shared" ref="H65:H66" si="18">F65*E65</f>
        <v>0</v>
      </c>
      <c r="I65" s="399"/>
      <c r="J65" s="362" t="s">
        <v>7</v>
      </c>
      <c r="K65" s="362" t="s">
        <v>128</v>
      </c>
      <c r="L65" s="362" t="s">
        <v>112</v>
      </c>
      <c r="M65" s="362"/>
      <c r="N65" s="362"/>
      <c r="P65" s="371"/>
    </row>
    <row r="66" spans="1:16" s="372" customFormat="1" ht="14" outlineLevel="4">
      <c r="A66" s="405" t="s">
        <v>8</v>
      </c>
      <c r="B66" s="347" t="s">
        <v>634</v>
      </c>
      <c r="C66" s="397" t="s">
        <v>34</v>
      </c>
      <c r="D66" s="398"/>
      <c r="E66" s="398"/>
      <c r="F66" s="406"/>
      <c r="G66" s="398">
        <f t="shared" si="17"/>
        <v>0</v>
      </c>
      <c r="H66" s="398">
        <f t="shared" si="18"/>
        <v>0</v>
      </c>
      <c r="I66" s="399"/>
      <c r="J66" s="362" t="s">
        <v>7</v>
      </c>
      <c r="K66" s="362" t="s">
        <v>128</v>
      </c>
      <c r="L66" s="362" t="s">
        <v>112</v>
      </c>
      <c r="M66" s="362"/>
      <c r="N66" s="362"/>
      <c r="P66" s="371"/>
    </row>
    <row r="67" spans="1:16" s="385" customFormat="1" ht="14" outlineLevel="3">
      <c r="A67" s="388">
        <v>3</v>
      </c>
      <c r="B67" s="350" t="s">
        <v>636</v>
      </c>
      <c r="C67" s="403"/>
      <c r="D67" s="391"/>
      <c r="E67" s="391"/>
      <c r="F67" s="391"/>
      <c r="G67" s="391">
        <f>SUBTOTAL(9,G68:G73)</f>
        <v>0</v>
      </c>
      <c r="H67" s="391">
        <f>SUBTOTAL(9,H68:H73)</f>
        <v>0</v>
      </c>
      <c r="I67" s="391"/>
      <c r="J67" s="383"/>
      <c r="K67" s="383"/>
      <c r="L67" s="383"/>
      <c r="M67" s="383"/>
      <c r="N67" s="383"/>
      <c r="P67" s="386"/>
    </row>
    <row r="68" spans="1:16" s="372" customFormat="1" ht="14" outlineLevel="4">
      <c r="A68" s="400" t="s">
        <v>8</v>
      </c>
      <c r="B68" s="347" t="s">
        <v>1226</v>
      </c>
      <c r="C68" s="397" t="s">
        <v>31</v>
      </c>
      <c r="D68" s="404"/>
      <c r="E68" s="404"/>
      <c r="F68" s="406"/>
      <c r="G68" s="398">
        <f t="shared" ref="G68:G72" si="19">F68*D68</f>
        <v>0</v>
      </c>
      <c r="H68" s="398">
        <f t="shared" ref="H68:H72" si="20">F68*E68</f>
        <v>0</v>
      </c>
      <c r="I68" s="399"/>
      <c r="J68" s="362" t="s">
        <v>7</v>
      </c>
      <c r="K68" s="362" t="s">
        <v>128</v>
      </c>
      <c r="L68" s="362" t="s">
        <v>112</v>
      </c>
      <c r="M68" s="362"/>
      <c r="P68" s="371"/>
    </row>
    <row r="69" spans="1:16" s="372" customFormat="1" ht="14" outlineLevel="4">
      <c r="A69" s="400" t="s">
        <v>8</v>
      </c>
      <c r="B69" s="347" t="s">
        <v>1227</v>
      </c>
      <c r="C69" s="397" t="s">
        <v>31</v>
      </c>
      <c r="D69" s="404"/>
      <c r="E69" s="404"/>
      <c r="F69" s="406"/>
      <c r="G69" s="398">
        <f t="shared" ref="G69" si="21">F69*D69</f>
        <v>0</v>
      </c>
      <c r="H69" s="398">
        <f t="shared" ref="H69" si="22">F69*E69</f>
        <v>0</v>
      </c>
      <c r="I69" s="399"/>
      <c r="J69" s="362" t="s">
        <v>7</v>
      </c>
      <c r="K69" s="362" t="s">
        <v>128</v>
      </c>
      <c r="L69" s="362" t="s">
        <v>112</v>
      </c>
      <c r="M69" s="362"/>
      <c r="P69" s="371"/>
    </row>
    <row r="70" spans="1:16" s="372" customFormat="1" ht="14" outlineLevel="4">
      <c r="A70" s="400" t="s">
        <v>8</v>
      </c>
      <c r="B70" s="347" t="s">
        <v>638</v>
      </c>
      <c r="C70" s="397" t="s">
        <v>31</v>
      </c>
      <c r="D70" s="398"/>
      <c r="E70" s="398"/>
      <c r="F70" s="406"/>
      <c r="G70" s="398">
        <f t="shared" si="19"/>
        <v>0</v>
      </c>
      <c r="H70" s="398">
        <f t="shared" si="20"/>
        <v>0</v>
      </c>
      <c r="I70" s="399"/>
      <c r="J70" s="362" t="s">
        <v>7</v>
      </c>
      <c r="K70" s="362" t="s">
        <v>128</v>
      </c>
      <c r="L70" s="362" t="s">
        <v>112</v>
      </c>
      <c r="M70" s="362"/>
      <c r="N70" s="362"/>
      <c r="P70" s="371"/>
    </row>
    <row r="71" spans="1:16" s="372" customFormat="1" ht="14" outlineLevel="4">
      <c r="A71" s="400" t="s">
        <v>8</v>
      </c>
      <c r="B71" s="347" t="s">
        <v>96</v>
      </c>
      <c r="C71" s="397" t="s">
        <v>34</v>
      </c>
      <c r="D71" s="398"/>
      <c r="E71" s="398"/>
      <c r="F71" s="406"/>
      <c r="G71" s="398">
        <f t="shared" si="19"/>
        <v>0</v>
      </c>
      <c r="H71" s="398">
        <f t="shared" si="20"/>
        <v>0</v>
      </c>
      <c r="I71" s="399"/>
      <c r="J71" s="362" t="s">
        <v>7</v>
      </c>
      <c r="K71" s="362" t="s">
        <v>128</v>
      </c>
      <c r="L71" s="362" t="s">
        <v>112</v>
      </c>
      <c r="M71" s="362"/>
      <c r="N71" s="362"/>
      <c r="P71" s="371"/>
    </row>
    <row r="72" spans="1:16" s="372" customFormat="1" ht="14" outlineLevel="4">
      <c r="A72" s="400" t="s">
        <v>8</v>
      </c>
      <c r="B72" s="347" t="s">
        <v>633</v>
      </c>
      <c r="C72" s="397" t="s">
        <v>34</v>
      </c>
      <c r="D72" s="398"/>
      <c r="E72" s="398"/>
      <c r="F72" s="406"/>
      <c r="G72" s="398">
        <f t="shared" si="19"/>
        <v>0</v>
      </c>
      <c r="H72" s="398">
        <f t="shared" si="20"/>
        <v>0</v>
      </c>
      <c r="I72" s="399"/>
      <c r="J72" s="362" t="s">
        <v>7</v>
      </c>
      <c r="K72" s="362" t="s">
        <v>128</v>
      </c>
      <c r="L72" s="362" t="s">
        <v>112</v>
      </c>
      <c r="M72" s="362"/>
      <c r="N72" s="362"/>
      <c r="P72" s="371"/>
    </row>
    <row r="73" spans="1:16" s="372" customFormat="1" ht="14" outlineLevel="4">
      <c r="A73" s="405" t="s">
        <v>8</v>
      </c>
      <c r="B73" s="347" t="s">
        <v>634</v>
      </c>
      <c r="C73" s="397" t="s">
        <v>34</v>
      </c>
      <c r="D73" s="398"/>
      <c r="E73" s="398"/>
      <c r="F73" s="406"/>
      <c r="G73" s="398">
        <f t="shared" ref="G73" si="23">F73*D73</f>
        <v>0</v>
      </c>
      <c r="H73" s="398">
        <f t="shared" ref="H73" si="24">F73*E73</f>
        <v>0</v>
      </c>
      <c r="I73" s="399"/>
      <c r="J73" s="362" t="s">
        <v>7</v>
      </c>
      <c r="K73" s="362" t="s">
        <v>128</v>
      </c>
      <c r="L73" s="362" t="s">
        <v>112</v>
      </c>
      <c r="M73" s="362"/>
      <c r="N73" s="362"/>
      <c r="P73" s="371"/>
    </row>
    <row r="74" spans="1:16" s="385" customFormat="1" ht="14" outlineLevel="2">
      <c r="A74" s="388" t="s">
        <v>12</v>
      </c>
      <c r="B74" s="389" t="s">
        <v>358</v>
      </c>
      <c r="C74" s="390"/>
      <c r="D74" s="391"/>
      <c r="E74" s="391"/>
      <c r="F74" s="391"/>
      <c r="G74" s="391">
        <f>SUBTOTAL(9,G75:G76)</f>
        <v>0</v>
      </c>
      <c r="H74" s="391">
        <f>SUBTOTAL(9,H75:H76)</f>
        <v>0</v>
      </c>
      <c r="I74" s="392"/>
      <c r="J74" s="362"/>
      <c r="K74" s="362"/>
      <c r="L74" s="362"/>
      <c r="M74" s="383"/>
      <c r="N74" s="383"/>
      <c r="P74" s="386"/>
    </row>
    <row r="75" spans="1:16" s="372" customFormat="1" ht="14" outlineLevel="4">
      <c r="A75" s="400" t="s">
        <v>8</v>
      </c>
      <c r="B75" s="347" t="s">
        <v>642</v>
      </c>
      <c r="C75" s="397" t="s">
        <v>24</v>
      </c>
      <c r="D75" s="398"/>
      <c r="E75" s="398"/>
      <c r="F75" s="398"/>
      <c r="G75" s="398">
        <f t="shared" ref="G75:G76" si="25">F75*D75</f>
        <v>0</v>
      </c>
      <c r="H75" s="398">
        <f t="shared" ref="H75:H76" si="26">F75*E75</f>
        <v>0</v>
      </c>
      <c r="I75" s="399"/>
      <c r="J75" s="362" t="s">
        <v>7</v>
      </c>
      <c r="K75" s="362" t="s">
        <v>145</v>
      </c>
      <c r="L75" s="362" t="s">
        <v>112</v>
      </c>
      <c r="M75" s="362"/>
      <c r="N75" s="362"/>
      <c r="P75" s="371"/>
    </row>
    <row r="76" spans="1:16" s="372" customFormat="1" ht="14" outlineLevel="4">
      <c r="A76" s="400" t="s">
        <v>8</v>
      </c>
      <c r="B76" s="347" t="s">
        <v>96</v>
      </c>
      <c r="C76" s="397" t="s">
        <v>34</v>
      </c>
      <c r="D76" s="398"/>
      <c r="E76" s="398"/>
      <c r="F76" s="398"/>
      <c r="G76" s="398">
        <f t="shared" si="25"/>
        <v>0</v>
      </c>
      <c r="H76" s="398">
        <f t="shared" si="26"/>
        <v>0</v>
      </c>
      <c r="I76" s="399"/>
      <c r="J76" s="362" t="s">
        <v>7</v>
      </c>
      <c r="K76" s="362" t="s">
        <v>145</v>
      </c>
      <c r="L76" s="362" t="s">
        <v>112</v>
      </c>
      <c r="M76" s="362"/>
      <c r="N76" s="362"/>
      <c r="P76" s="371"/>
    </row>
    <row r="77" spans="1:16" s="385" customFormat="1" ht="14" outlineLevel="2">
      <c r="A77" s="388" t="s">
        <v>19</v>
      </c>
      <c r="B77" s="408" t="s">
        <v>359</v>
      </c>
      <c r="C77" s="390"/>
      <c r="D77" s="391"/>
      <c r="E77" s="391"/>
      <c r="F77" s="391"/>
      <c r="G77" s="391">
        <f>SUBTOTAL(9,G78:G88)</f>
        <v>311621</v>
      </c>
      <c r="H77" s="391">
        <f>SUBTOTAL(9,H78:H88)</f>
        <v>477500</v>
      </c>
      <c r="I77" s="399"/>
      <c r="J77" s="362"/>
      <c r="K77" s="362"/>
      <c r="L77" s="362"/>
      <c r="M77" s="383"/>
      <c r="N77" s="383"/>
      <c r="P77" s="386"/>
    </row>
    <row r="78" spans="1:16" s="385" customFormat="1" ht="14" outlineLevel="3">
      <c r="A78" s="388">
        <v>1</v>
      </c>
      <c r="B78" s="389" t="s">
        <v>360</v>
      </c>
      <c r="C78" s="390"/>
      <c r="D78" s="391"/>
      <c r="E78" s="391"/>
      <c r="F78" s="391"/>
      <c r="G78" s="391">
        <f>SUBTOTAL(9,G79:G80)</f>
        <v>0</v>
      </c>
      <c r="H78" s="391"/>
      <c r="I78" s="392"/>
      <c r="J78" s="383"/>
      <c r="K78" s="383"/>
      <c r="L78" s="383"/>
      <c r="M78" s="383"/>
      <c r="N78" s="383"/>
      <c r="P78" s="386"/>
    </row>
    <row r="79" spans="1:16" s="372" customFormat="1" ht="14" outlineLevel="4">
      <c r="A79" s="388" t="s">
        <v>8</v>
      </c>
      <c r="B79" s="396" t="s">
        <v>1407</v>
      </c>
      <c r="C79" s="397" t="s">
        <v>1414</v>
      </c>
      <c r="D79" s="398"/>
      <c r="E79" s="398">
        <v>1</v>
      </c>
      <c r="F79" s="398">
        <v>60000</v>
      </c>
      <c r="G79" s="398">
        <f t="shared" ref="G79:G80" si="27">F79*D79</f>
        <v>0</v>
      </c>
      <c r="H79" s="398">
        <f t="shared" ref="H79:H80" si="28">F79*E79</f>
        <v>60000</v>
      </c>
      <c r="I79" s="399"/>
      <c r="J79" s="362" t="s">
        <v>7</v>
      </c>
      <c r="K79" s="362" t="s">
        <v>145</v>
      </c>
      <c r="L79" s="362" t="s">
        <v>112</v>
      </c>
      <c r="M79" s="362"/>
      <c r="N79" s="362"/>
      <c r="P79" s="371"/>
    </row>
    <row r="80" spans="1:16" s="372" customFormat="1" ht="14" outlineLevel="4">
      <c r="A80" s="388" t="s">
        <v>8</v>
      </c>
      <c r="B80" s="396" t="s">
        <v>1408</v>
      </c>
      <c r="C80" s="397" t="s">
        <v>1414</v>
      </c>
      <c r="D80" s="398"/>
      <c r="E80" s="398">
        <v>1</v>
      </c>
      <c r="F80" s="398">
        <v>300000</v>
      </c>
      <c r="G80" s="398">
        <f t="shared" si="27"/>
        <v>0</v>
      </c>
      <c r="H80" s="398">
        <f t="shared" si="28"/>
        <v>300000</v>
      </c>
      <c r="I80" s="399"/>
      <c r="J80" s="362" t="s">
        <v>7</v>
      </c>
      <c r="K80" s="362" t="s">
        <v>145</v>
      </c>
      <c r="L80" s="362" t="s">
        <v>112</v>
      </c>
      <c r="M80" s="362"/>
      <c r="N80" s="362"/>
      <c r="P80" s="371"/>
    </row>
    <row r="81" spans="1:17" s="372" customFormat="1" ht="14" outlineLevel="4">
      <c r="A81" s="388" t="s">
        <v>8</v>
      </c>
      <c r="B81" s="396" t="s">
        <v>1409</v>
      </c>
      <c r="C81" s="397" t="s">
        <v>1414</v>
      </c>
      <c r="D81" s="398">
        <v>1</v>
      </c>
      <c r="E81" s="398">
        <v>1</v>
      </c>
      <c r="F81" s="398">
        <v>100000</v>
      </c>
      <c r="G81" s="398">
        <f t="shared" ref="G81:G84" si="29">F81*D81</f>
        <v>100000</v>
      </c>
      <c r="H81" s="398">
        <f t="shared" ref="H81:H84" si="30">F81*E81</f>
        <v>100000</v>
      </c>
      <c r="I81" s="399"/>
      <c r="J81" s="362" t="s">
        <v>7</v>
      </c>
      <c r="K81" s="362" t="s">
        <v>145</v>
      </c>
      <c r="L81" s="362" t="s">
        <v>112</v>
      </c>
      <c r="M81" s="362"/>
      <c r="N81" s="362"/>
      <c r="P81" s="371"/>
    </row>
    <row r="82" spans="1:17" s="372" customFormat="1" ht="14" outlineLevel="4">
      <c r="A82" s="388" t="s">
        <v>8</v>
      </c>
      <c r="B82" s="396" t="s">
        <v>1410</v>
      </c>
      <c r="C82" s="397" t="s">
        <v>1414</v>
      </c>
      <c r="D82" s="398">
        <v>1</v>
      </c>
      <c r="E82" s="398">
        <v>1</v>
      </c>
      <c r="F82" s="398">
        <v>2500</v>
      </c>
      <c r="G82" s="398">
        <f t="shared" si="29"/>
        <v>2500</v>
      </c>
      <c r="H82" s="398">
        <f t="shared" si="30"/>
        <v>2500</v>
      </c>
      <c r="I82" s="399"/>
      <c r="J82" s="362" t="s">
        <v>7</v>
      </c>
      <c r="K82" s="362" t="s">
        <v>145</v>
      </c>
      <c r="L82" s="362" t="s">
        <v>112</v>
      </c>
      <c r="M82" s="362"/>
      <c r="N82" s="362"/>
      <c r="P82" s="371"/>
    </row>
    <row r="83" spans="1:17" s="372" customFormat="1" ht="14" outlineLevel="4">
      <c r="A83" s="388" t="s">
        <v>8</v>
      </c>
      <c r="B83" s="396" t="s">
        <v>1411</v>
      </c>
      <c r="C83" s="397" t="s">
        <v>1414</v>
      </c>
      <c r="D83" s="398"/>
      <c r="E83" s="398">
        <v>1</v>
      </c>
      <c r="F83" s="398">
        <v>15000</v>
      </c>
      <c r="G83" s="398">
        <f t="shared" si="29"/>
        <v>0</v>
      </c>
      <c r="H83" s="398">
        <f t="shared" si="30"/>
        <v>15000</v>
      </c>
      <c r="I83" s="399"/>
      <c r="J83" s="362" t="s">
        <v>7</v>
      </c>
      <c r="K83" s="362" t="s">
        <v>145</v>
      </c>
      <c r="L83" s="362" t="s">
        <v>112</v>
      </c>
      <c r="M83" s="362"/>
      <c r="N83" s="362"/>
      <c r="P83" s="371"/>
    </row>
    <row r="84" spans="1:17" s="372" customFormat="1" ht="14" outlineLevel="4">
      <c r="A84" s="388" t="s">
        <v>8</v>
      </c>
      <c r="B84" s="396" t="s">
        <v>1412</v>
      </c>
      <c r="C84" s="397" t="s">
        <v>1414</v>
      </c>
      <c r="D84" s="398">
        <v>1</v>
      </c>
      <c r="E84" s="398"/>
      <c r="F84" s="398">
        <v>74121</v>
      </c>
      <c r="G84" s="398">
        <f t="shared" si="29"/>
        <v>74121</v>
      </c>
      <c r="H84" s="398">
        <f t="shared" si="30"/>
        <v>0</v>
      </c>
      <c r="I84" s="399"/>
      <c r="J84" s="362" t="s">
        <v>7</v>
      </c>
      <c r="K84" s="362" t="s">
        <v>145</v>
      </c>
      <c r="L84" s="362" t="s">
        <v>112</v>
      </c>
      <c r="M84" s="362"/>
      <c r="N84" s="362"/>
      <c r="P84" s="371"/>
    </row>
    <row r="85" spans="1:17" s="372" customFormat="1" ht="14" outlineLevel="4">
      <c r="A85" s="388" t="s">
        <v>8</v>
      </c>
      <c r="B85" s="396" t="s">
        <v>1413</v>
      </c>
      <c r="C85" s="397" t="s">
        <v>1406</v>
      </c>
      <c r="D85" s="398">
        <v>1</v>
      </c>
      <c r="E85" s="398"/>
      <c r="F85" s="398">
        <v>135000</v>
      </c>
      <c r="G85" s="398">
        <f t="shared" ref="G85" si="31">F85*D85</f>
        <v>135000</v>
      </c>
      <c r="H85" s="398">
        <f t="shared" ref="H85" si="32">F85*E85</f>
        <v>0</v>
      </c>
      <c r="I85" s="399"/>
      <c r="J85" s="362" t="s">
        <v>7</v>
      </c>
      <c r="K85" s="362" t="s">
        <v>145</v>
      </c>
      <c r="L85" s="362" t="s">
        <v>112</v>
      </c>
      <c r="M85" s="362"/>
      <c r="N85" s="362"/>
      <c r="P85" s="371"/>
    </row>
    <row r="86" spans="1:17" s="385" customFormat="1" ht="14" outlineLevel="3">
      <c r="A86" s="388">
        <v>2</v>
      </c>
      <c r="B86" s="389" t="s">
        <v>361</v>
      </c>
      <c r="C86" s="403"/>
      <c r="D86" s="391"/>
      <c r="E86" s="391"/>
      <c r="F86" s="409"/>
      <c r="G86" s="391">
        <f>SUBTOTAL(9,G87:G88)</f>
        <v>0</v>
      </c>
      <c r="H86" s="391">
        <f>SUBTOTAL(9,H87:H88)</f>
        <v>0</v>
      </c>
      <c r="I86" s="392"/>
      <c r="J86" s="383"/>
      <c r="K86" s="383"/>
      <c r="L86" s="383"/>
      <c r="M86" s="383"/>
      <c r="N86" s="383"/>
      <c r="P86" s="386"/>
    </row>
    <row r="87" spans="1:17" s="372" customFormat="1" ht="14" outlineLevel="4">
      <c r="A87" s="388" t="s">
        <v>8</v>
      </c>
      <c r="B87" s="396" t="s">
        <v>366</v>
      </c>
      <c r="C87" s="397" t="s">
        <v>34</v>
      </c>
      <c r="D87" s="398"/>
      <c r="E87" s="398"/>
      <c r="F87" s="398"/>
      <c r="G87" s="398">
        <f t="shared" ref="G87:G88" si="33">F87*D87</f>
        <v>0</v>
      </c>
      <c r="H87" s="398">
        <f t="shared" ref="H87:H88" si="34">F87*E87</f>
        <v>0</v>
      </c>
      <c r="I87" s="399"/>
      <c r="J87" s="362" t="s">
        <v>7</v>
      </c>
      <c r="K87" s="362" t="s">
        <v>127</v>
      </c>
      <c r="L87" s="362" t="s">
        <v>112</v>
      </c>
      <c r="M87" s="362"/>
      <c r="N87" s="362"/>
      <c r="P87" s="371"/>
    </row>
    <row r="88" spans="1:17" s="372" customFormat="1" ht="28" outlineLevel="4">
      <c r="A88" s="388" t="s">
        <v>8</v>
      </c>
      <c r="B88" s="396" t="s">
        <v>362</v>
      </c>
      <c r="C88" s="397" t="s">
        <v>34</v>
      </c>
      <c r="D88" s="398"/>
      <c r="E88" s="398"/>
      <c r="F88" s="398"/>
      <c r="G88" s="398">
        <f t="shared" si="33"/>
        <v>0</v>
      </c>
      <c r="H88" s="398">
        <f t="shared" si="34"/>
        <v>0</v>
      </c>
      <c r="I88" s="399"/>
      <c r="J88" s="362" t="s">
        <v>7</v>
      </c>
      <c r="K88" s="362" t="s">
        <v>213</v>
      </c>
      <c r="L88" s="362" t="s">
        <v>112</v>
      </c>
      <c r="M88" s="362"/>
      <c r="N88" s="362"/>
      <c r="P88" s="371"/>
    </row>
    <row r="89" spans="1:17" s="413" customFormat="1" ht="14" outlineLevel="1">
      <c r="A89" s="392" t="s">
        <v>412</v>
      </c>
      <c r="B89" s="350" t="s">
        <v>401</v>
      </c>
      <c r="C89" s="390"/>
      <c r="D89" s="391"/>
      <c r="E89" s="391"/>
      <c r="F89" s="391"/>
      <c r="G89" s="391">
        <f>SUBTOTAL(9,G90:G93)</f>
        <v>223800</v>
      </c>
      <c r="H89" s="391">
        <f>SUBTOTAL(9,H90:H93)</f>
        <v>223800</v>
      </c>
      <c r="I89" s="391"/>
      <c r="J89" s="410"/>
      <c r="K89" s="411"/>
      <c r="L89" s="411"/>
      <c r="M89" s="412"/>
      <c r="N89" s="412"/>
      <c r="P89" s="414"/>
    </row>
    <row r="90" spans="1:17" s="416" customFormat="1" ht="14" outlineLevel="2">
      <c r="A90" s="405">
        <v>1</v>
      </c>
      <c r="B90" s="415" t="s">
        <v>1415</v>
      </c>
      <c r="C90" s="397" t="s">
        <v>34</v>
      </c>
      <c r="D90" s="398">
        <v>12</v>
      </c>
      <c r="E90" s="398">
        <v>12</v>
      </c>
      <c r="F90" s="398">
        <v>4700</v>
      </c>
      <c r="G90" s="398">
        <f t="shared" ref="G90:G93" si="35">F90*D90</f>
        <v>56400</v>
      </c>
      <c r="H90" s="398">
        <f t="shared" ref="H90:H93" si="36">F90*E90</f>
        <v>56400</v>
      </c>
      <c r="I90" s="399"/>
      <c r="J90" s="362" t="s">
        <v>7</v>
      </c>
      <c r="K90" s="411" t="s">
        <v>402</v>
      </c>
      <c r="L90" s="411" t="s">
        <v>112</v>
      </c>
      <c r="M90" s="411"/>
      <c r="N90" s="411"/>
      <c r="P90" s="417"/>
    </row>
    <row r="91" spans="1:17" s="416" customFormat="1" ht="14" outlineLevel="2">
      <c r="A91" s="405">
        <v>2</v>
      </c>
      <c r="B91" s="415" t="s">
        <v>1416</v>
      </c>
      <c r="C91" s="397" t="s">
        <v>34</v>
      </c>
      <c r="D91" s="398">
        <v>15</v>
      </c>
      <c r="E91" s="398">
        <v>15</v>
      </c>
      <c r="F91" s="398">
        <v>3700</v>
      </c>
      <c r="G91" s="398">
        <f t="shared" si="35"/>
        <v>55500</v>
      </c>
      <c r="H91" s="398">
        <f t="shared" si="36"/>
        <v>55500</v>
      </c>
      <c r="I91" s="399"/>
      <c r="J91" s="362" t="s">
        <v>7</v>
      </c>
      <c r="K91" s="411" t="s">
        <v>402</v>
      </c>
      <c r="L91" s="411" t="s">
        <v>112</v>
      </c>
      <c r="M91" s="411"/>
      <c r="N91" s="411"/>
      <c r="P91" s="417"/>
    </row>
    <row r="92" spans="1:17" s="416" customFormat="1" ht="14" outlineLevel="2">
      <c r="A92" s="405">
        <v>3</v>
      </c>
      <c r="B92" s="415" t="s">
        <v>1417</v>
      </c>
      <c r="C92" s="397" t="s">
        <v>34</v>
      </c>
      <c r="D92" s="398">
        <v>12</v>
      </c>
      <c r="E92" s="398">
        <v>12</v>
      </c>
      <c r="F92" s="398">
        <v>4700</v>
      </c>
      <c r="G92" s="398">
        <f t="shared" si="35"/>
        <v>56400</v>
      </c>
      <c r="H92" s="398">
        <f t="shared" si="36"/>
        <v>56400</v>
      </c>
      <c r="I92" s="399"/>
      <c r="J92" s="362" t="s">
        <v>7</v>
      </c>
      <c r="K92" s="411" t="s">
        <v>402</v>
      </c>
      <c r="L92" s="411" t="s">
        <v>112</v>
      </c>
      <c r="M92" s="411"/>
      <c r="N92" s="411"/>
      <c r="P92" s="417"/>
    </row>
    <row r="93" spans="1:17" s="416" customFormat="1" ht="14" outlineLevel="2">
      <c r="A93" s="405">
        <v>4</v>
      </c>
      <c r="B93" s="415" t="s">
        <v>1418</v>
      </c>
      <c r="C93" s="397" t="s">
        <v>34</v>
      </c>
      <c r="D93" s="398">
        <v>15</v>
      </c>
      <c r="E93" s="398">
        <v>15</v>
      </c>
      <c r="F93" s="398">
        <v>3700</v>
      </c>
      <c r="G93" s="398">
        <f t="shared" si="35"/>
        <v>55500</v>
      </c>
      <c r="H93" s="398">
        <f t="shared" si="36"/>
        <v>55500</v>
      </c>
      <c r="I93" s="399"/>
      <c r="J93" s="362" t="s">
        <v>7</v>
      </c>
      <c r="K93" s="411" t="s">
        <v>402</v>
      </c>
      <c r="L93" s="411" t="s">
        <v>112</v>
      </c>
      <c r="M93" s="411"/>
      <c r="N93" s="411"/>
      <c r="P93" s="417"/>
    </row>
    <row r="94" spans="1:17" s="425" customFormat="1" ht="14">
      <c r="A94" s="418" t="s">
        <v>42</v>
      </c>
      <c r="B94" s="419" t="s">
        <v>17</v>
      </c>
      <c r="C94" s="420"/>
      <c r="D94" s="421"/>
      <c r="E94" s="421"/>
      <c r="F94" s="422"/>
      <c r="G94" s="421">
        <f>SUBTOTAL(9,G95:G250)</f>
        <v>4410329.7771428572</v>
      </c>
      <c r="H94" s="421">
        <f>SUBTOTAL(9,H95:H250)</f>
        <v>1262940</v>
      </c>
      <c r="I94" s="423"/>
      <c r="J94" s="410"/>
      <c r="K94" s="424"/>
      <c r="L94" s="424"/>
      <c r="M94" s="424"/>
      <c r="N94" s="424"/>
      <c r="O94" s="413"/>
      <c r="P94" s="414"/>
      <c r="Q94" s="413"/>
    </row>
    <row r="95" spans="1:17" s="425" customFormat="1" ht="14" outlineLevel="1">
      <c r="A95" s="426" t="s">
        <v>4</v>
      </c>
      <c r="B95" s="427" t="s">
        <v>22</v>
      </c>
      <c r="C95" s="390"/>
      <c r="D95" s="391"/>
      <c r="E95" s="391"/>
      <c r="F95" s="391"/>
      <c r="G95" s="391">
        <f>SUBTOTAL(9,G96:G163)</f>
        <v>3568367.8571428573</v>
      </c>
      <c r="H95" s="391">
        <f>SUBTOTAL(9,H96:H163)</f>
        <v>291900</v>
      </c>
      <c r="I95" s="428"/>
      <c r="J95" s="410"/>
      <c r="K95" s="410"/>
      <c r="L95" s="410"/>
      <c r="M95" s="424"/>
      <c r="N95" s="424"/>
      <c r="O95" s="413"/>
      <c r="P95" s="414"/>
      <c r="Q95" s="413"/>
    </row>
    <row r="96" spans="1:17" s="416" customFormat="1" ht="14" outlineLevel="2">
      <c r="A96" s="388">
        <v>1</v>
      </c>
      <c r="B96" s="389" t="s">
        <v>261</v>
      </c>
      <c r="C96" s="390" t="s">
        <v>24</v>
      </c>
      <c r="D96" s="391"/>
      <c r="E96" s="391"/>
      <c r="F96" s="391"/>
      <c r="G96" s="391">
        <f t="shared" ref="G96:G113" si="37">F96*D96</f>
        <v>0</v>
      </c>
      <c r="H96" s="391">
        <f t="shared" ref="H96:H113" si="38">F96*E96</f>
        <v>0</v>
      </c>
      <c r="I96" s="392"/>
      <c r="J96" s="410" t="s">
        <v>18</v>
      </c>
      <c r="K96" s="410" t="s">
        <v>251</v>
      </c>
      <c r="L96" s="411" t="s">
        <v>112</v>
      </c>
      <c r="M96" s="411"/>
      <c r="N96" s="411"/>
      <c r="P96" s="417"/>
    </row>
    <row r="97" spans="1:16" s="416" customFormat="1" ht="14" outlineLevel="2">
      <c r="A97" s="388">
        <v>2</v>
      </c>
      <c r="B97" s="429" t="s">
        <v>421</v>
      </c>
      <c r="C97" s="390" t="s">
        <v>262</v>
      </c>
      <c r="D97" s="391"/>
      <c r="E97" s="391"/>
      <c r="F97" s="391"/>
      <c r="G97" s="391">
        <f t="shared" ref="G97:G103" si="39">F97*D97</f>
        <v>0</v>
      </c>
      <c r="H97" s="391">
        <f t="shared" ref="H97:H103" si="40">F97*E97</f>
        <v>0</v>
      </c>
      <c r="I97" s="392"/>
      <c r="J97" s="410" t="s">
        <v>18</v>
      </c>
      <c r="K97" s="410" t="s">
        <v>128</v>
      </c>
      <c r="L97" s="411" t="s">
        <v>112</v>
      </c>
      <c r="M97" s="411"/>
      <c r="N97" s="411"/>
      <c r="P97" s="417"/>
    </row>
    <row r="98" spans="1:16" s="416" customFormat="1" ht="14" outlineLevel="2">
      <c r="A98" s="405" t="s">
        <v>8</v>
      </c>
      <c r="B98" s="430" t="s">
        <v>488</v>
      </c>
      <c r="C98" s="397" t="s">
        <v>46</v>
      </c>
      <c r="D98" s="431">
        <v>571428.57142857148</v>
      </c>
      <c r="E98" s="398"/>
      <c r="F98" s="432">
        <v>0.45</v>
      </c>
      <c r="G98" s="398">
        <f t="shared" si="39"/>
        <v>257142.85714285716</v>
      </c>
      <c r="H98" s="398">
        <f t="shared" si="40"/>
        <v>0</v>
      </c>
      <c r="I98" s="399"/>
      <c r="J98" s="410" t="s">
        <v>18</v>
      </c>
      <c r="K98" s="410" t="s">
        <v>128</v>
      </c>
      <c r="L98" s="411" t="s">
        <v>112</v>
      </c>
      <c r="M98" s="411"/>
      <c r="N98" s="411"/>
      <c r="P98" s="417"/>
    </row>
    <row r="99" spans="1:16" s="416" customFormat="1" ht="14" outlineLevel="2">
      <c r="A99" s="405" t="s">
        <v>8</v>
      </c>
      <c r="B99" s="430" t="s">
        <v>1285</v>
      </c>
      <c r="C99" s="397" t="s">
        <v>46</v>
      </c>
      <c r="D99" s="431">
        <v>800000</v>
      </c>
      <c r="E99" s="398"/>
      <c r="F99" s="432"/>
      <c r="G99" s="398">
        <f t="shared" ref="G99" si="41">F99*D99</f>
        <v>0</v>
      </c>
      <c r="H99" s="398">
        <f t="shared" ref="H99" si="42">F99*E99</f>
        <v>0</v>
      </c>
      <c r="I99" s="399"/>
      <c r="J99" s="410" t="s">
        <v>18</v>
      </c>
      <c r="K99" s="410" t="s">
        <v>128</v>
      </c>
      <c r="L99" s="411" t="s">
        <v>112</v>
      </c>
      <c r="M99" s="411"/>
      <c r="N99" s="411"/>
      <c r="P99" s="417"/>
    </row>
    <row r="100" spans="1:16" s="416" customFormat="1" ht="14" outlineLevel="2">
      <c r="A100" s="405" t="s">
        <v>8</v>
      </c>
      <c r="B100" s="430" t="s">
        <v>490</v>
      </c>
      <c r="C100" s="397" t="s">
        <v>46</v>
      </c>
      <c r="D100" s="431">
        <v>1072000</v>
      </c>
      <c r="E100" s="398"/>
      <c r="F100" s="432">
        <v>0.3</v>
      </c>
      <c r="G100" s="398">
        <f t="shared" si="39"/>
        <v>321600</v>
      </c>
      <c r="H100" s="398">
        <f t="shared" si="40"/>
        <v>0</v>
      </c>
      <c r="I100" s="399"/>
      <c r="J100" s="410" t="s">
        <v>18</v>
      </c>
      <c r="K100" s="410" t="s">
        <v>128</v>
      </c>
      <c r="L100" s="411" t="s">
        <v>112</v>
      </c>
      <c r="M100" s="411"/>
      <c r="N100" s="411"/>
      <c r="P100" s="417"/>
    </row>
    <row r="101" spans="1:16" s="416" customFormat="1" ht="14" outlineLevel="2">
      <c r="A101" s="405" t="s">
        <v>8</v>
      </c>
      <c r="B101" s="430" t="s">
        <v>1286</v>
      </c>
      <c r="C101" s="397" t="s">
        <v>46</v>
      </c>
      <c r="D101" s="431">
        <v>1500000</v>
      </c>
      <c r="E101" s="398"/>
      <c r="F101" s="432"/>
      <c r="G101" s="398">
        <f t="shared" ref="G101" si="43">F101*D101</f>
        <v>0</v>
      </c>
      <c r="H101" s="398">
        <f t="shared" ref="H101" si="44">F101*E101</f>
        <v>0</v>
      </c>
      <c r="I101" s="399"/>
      <c r="J101" s="410" t="s">
        <v>18</v>
      </c>
      <c r="K101" s="410" t="s">
        <v>128</v>
      </c>
      <c r="L101" s="411" t="s">
        <v>112</v>
      </c>
      <c r="M101" s="411"/>
      <c r="N101" s="411"/>
      <c r="P101" s="417"/>
    </row>
    <row r="102" spans="1:16" s="416" customFormat="1" ht="14" outlineLevel="2">
      <c r="A102" s="405" t="s">
        <v>8</v>
      </c>
      <c r="B102" s="430" t="s">
        <v>489</v>
      </c>
      <c r="C102" s="397" t="s">
        <v>46</v>
      </c>
      <c r="D102" s="431">
        <v>1000000</v>
      </c>
      <c r="E102" s="398"/>
      <c r="F102" s="432">
        <v>0.05</v>
      </c>
      <c r="G102" s="398">
        <f t="shared" si="39"/>
        <v>50000</v>
      </c>
      <c r="H102" s="398">
        <f t="shared" si="40"/>
        <v>0</v>
      </c>
      <c r="I102" s="399"/>
      <c r="J102" s="410" t="s">
        <v>18</v>
      </c>
      <c r="K102" s="410" t="s">
        <v>128</v>
      </c>
      <c r="L102" s="411" t="s">
        <v>112</v>
      </c>
      <c r="M102" s="411"/>
      <c r="N102" s="411"/>
      <c r="P102" s="417"/>
    </row>
    <row r="103" spans="1:16" s="416" customFormat="1" ht="14" outlineLevel="2">
      <c r="A103" s="405" t="s">
        <v>8</v>
      </c>
      <c r="B103" s="430" t="s">
        <v>544</v>
      </c>
      <c r="C103" s="397" t="s">
        <v>9</v>
      </c>
      <c r="D103" s="398">
        <v>1</v>
      </c>
      <c r="E103" s="398"/>
      <c r="F103" s="398">
        <v>160000</v>
      </c>
      <c r="G103" s="398">
        <f t="shared" si="39"/>
        <v>160000</v>
      </c>
      <c r="H103" s="398">
        <f t="shared" si="40"/>
        <v>0</v>
      </c>
      <c r="I103" s="399"/>
      <c r="J103" s="410" t="s">
        <v>18</v>
      </c>
      <c r="K103" s="410" t="s">
        <v>128</v>
      </c>
      <c r="L103" s="411" t="s">
        <v>112</v>
      </c>
      <c r="M103" s="411"/>
      <c r="N103" s="411"/>
      <c r="P103" s="417"/>
    </row>
    <row r="104" spans="1:16" s="416" customFormat="1" ht="14" outlineLevel="2">
      <c r="A104" s="405" t="s">
        <v>8</v>
      </c>
      <c r="B104" s="430" t="s">
        <v>491</v>
      </c>
      <c r="C104" s="397" t="s">
        <v>9</v>
      </c>
      <c r="D104" s="398">
        <v>1</v>
      </c>
      <c r="E104" s="398"/>
      <c r="F104" s="398">
        <v>110000</v>
      </c>
      <c r="G104" s="398">
        <f t="shared" ref="G104" si="45">F104*D104</f>
        <v>110000</v>
      </c>
      <c r="H104" s="398">
        <f t="shared" ref="H104" si="46">F104*E104</f>
        <v>0</v>
      </c>
      <c r="I104" s="399"/>
      <c r="J104" s="410" t="s">
        <v>18</v>
      </c>
      <c r="K104" s="410" t="s">
        <v>128</v>
      </c>
      <c r="L104" s="411" t="s">
        <v>112</v>
      </c>
      <c r="M104" s="411"/>
      <c r="N104" s="411"/>
      <c r="P104" s="417"/>
    </row>
    <row r="105" spans="1:16" s="416" customFormat="1" ht="14" outlineLevel="2">
      <c r="A105" s="405" t="s">
        <v>8</v>
      </c>
      <c r="B105" s="430" t="s">
        <v>422</v>
      </c>
      <c r="C105" s="397" t="s">
        <v>9</v>
      </c>
      <c r="D105" s="398">
        <v>1</v>
      </c>
      <c r="E105" s="398"/>
      <c r="F105" s="398">
        <v>50000</v>
      </c>
      <c r="G105" s="398">
        <f t="shared" ref="G105" si="47">F105*D105</f>
        <v>50000</v>
      </c>
      <c r="H105" s="398">
        <f t="shared" ref="H105" si="48">F105*E105</f>
        <v>0</v>
      </c>
      <c r="I105" s="399"/>
      <c r="J105" s="410" t="s">
        <v>18</v>
      </c>
      <c r="K105" s="410" t="s">
        <v>128</v>
      </c>
      <c r="L105" s="411" t="s">
        <v>112</v>
      </c>
      <c r="M105" s="411"/>
      <c r="N105" s="411"/>
      <c r="P105" s="417"/>
    </row>
    <row r="106" spans="1:16" s="416" customFormat="1" ht="14" outlineLevel="2">
      <c r="A106" s="405" t="s">
        <v>8</v>
      </c>
      <c r="B106" s="430" t="s">
        <v>423</v>
      </c>
      <c r="C106" s="397" t="s">
        <v>9</v>
      </c>
      <c r="D106" s="398"/>
      <c r="E106" s="398"/>
      <c r="F106" s="398"/>
      <c r="G106" s="398">
        <f t="shared" si="37"/>
        <v>0</v>
      </c>
      <c r="H106" s="398">
        <f t="shared" si="38"/>
        <v>0</v>
      </c>
      <c r="I106" s="399"/>
      <c r="J106" s="410" t="s">
        <v>18</v>
      </c>
      <c r="K106" s="410" t="s">
        <v>128</v>
      </c>
      <c r="L106" s="411" t="s">
        <v>112</v>
      </c>
      <c r="M106" s="411"/>
      <c r="N106" s="411"/>
      <c r="P106" s="417"/>
    </row>
    <row r="107" spans="1:16" s="416" customFormat="1" ht="14" outlineLevel="2">
      <c r="A107" s="388">
        <v>3</v>
      </c>
      <c r="B107" s="429" t="s">
        <v>494</v>
      </c>
      <c r="C107" s="397" t="s">
        <v>262</v>
      </c>
      <c r="D107" s="398"/>
      <c r="E107" s="398"/>
      <c r="F107" s="398"/>
      <c r="G107" s="398">
        <f t="shared" si="37"/>
        <v>0</v>
      </c>
      <c r="H107" s="398">
        <f t="shared" si="38"/>
        <v>0</v>
      </c>
      <c r="I107" s="399"/>
      <c r="J107" s="410" t="s">
        <v>18</v>
      </c>
      <c r="K107" s="410" t="s">
        <v>128</v>
      </c>
      <c r="L107" s="411" t="s">
        <v>112</v>
      </c>
      <c r="N107" s="411"/>
      <c r="P107" s="433"/>
    </row>
    <row r="108" spans="1:16" s="416" customFormat="1" ht="14" outlineLevel="2">
      <c r="A108" s="405" t="s">
        <v>8</v>
      </c>
      <c r="B108" s="434" t="s">
        <v>495</v>
      </c>
      <c r="C108" s="397" t="s">
        <v>46</v>
      </c>
      <c r="D108" s="346">
        <v>200000</v>
      </c>
      <c r="E108" s="431">
        <v>300000</v>
      </c>
      <c r="F108" s="435">
        <v>4.8000000000000001E-2</v>
      </c>
      <c r="G108" s="398">
        <f t="shared" si="37"/>
        <v>9600</v>
      </c>
      <c r="H108" s="398">
        <f t="shared" si="38"/>
        <v>14400</v>
      </c>
      <c r="I108" s="399"/>
      <c r="J108" s="410" t="s">
        <v>18</v>
      </c>
      <c r="K108" s="410" t="s">
        <v>128</v>
      </c>
      <c r="L108" s="411" t="s">
        <v>112</v>
      </c>
      <c r="M108" s="411"/>
      <c r="N108" s="411"/>
      <c r="P108" s="417"/>
    </row>
    <row r="109" spans="1:16" s="416" customFormat="1" ht="14" outlineLevel="2">
      <c r="A109" s="405" t="s">
        <v>8</v>
      </c>
      <c r="B109" s="434" t="s">
        <v>503</v>
      </c>
      <c r="C109" s="397" t="s">
        <v>46</v>
      </c>
      <c r="D109" s="346">
        <v>400000</v>
      </c>
      <c r="E109" s="398">
        <v>500000</v>
      </c>
      <c r="F109" s="435">
        <v>1.2E-2</v>
      </c>
      <c r="G109" s="398">
        <f t="shared" si="37"/>
        <v>4800</v>
      </c>
      <c r="H109" s="398">
        <f t="shared" si="38"/>
        <v>6000</v>
      </c>
      <c r="I109" s="399"/>
      <c r="J109" s="410" t="s">
        <v>18</v>
      </c>
      <c r="K109" s="410" t="s">
        <v>128</v>
      </c>
      <c r="L109" s="411" t="s">
        <v>112</v>
      </c>
      <c r="M109" s="411"/>
      <c r="N109" s="411"/>
      <c r="P109" s="417"/>
    </row>
    <row r="110" spans="1:16" s="416" customFormat="1" ht="14" outlineLevel="2">
      <c r="A110" s="405" t="s">
        <v>8</v>
      </c>
      <c r="B110" s="434" t="s">
        <v>497</v>
      </c>
      <c r="C110" s="397" t="s">
        <v>46</v>
      </c>
      <c r="D110" s="346">
        <v>300000</v>
      </c>
      <c r="E110" s="398">
        <v>400000</v>
      </c>
      <c r="F110" s="435">
        <v>4.8000000000000001E-2</v>
      </c>
      <c r="G110" s="398">
        <f t="shared" si="37"/>
        <v>14400</v>
      </c>
      <c r="H110" s="398">
        <f t="shared" si="38"/>
        <v>19200</v>
      </c>
      <c r="I110" s="399"/>
      <c r="J110" s="410" t="s">
        <v>18</v>
      </c>
      <c r="K110" s="410" t="s">
        <v>128</v>
      </c>
      <c r="L110" s="411" t="s">
        <v>112</v>
      </c>
      <c r="M110" s="411"/>
      <c r="N110" s="411"/>
      <c r="P110" s="417"/>
    </row>
    <row r="111" spans="1:16" s="416" customFormat="1" ht="14" outlineLevel="2">
      <c r="A111" s="405" t="s">
        <v>8</v>
      </c>
      <c r="B111" s="434" t="s">
        <v>505</v>
      </c>
      <c r="C111" s="397" t="s">
        <v>46</v>
      </c>
      <c r="D111" s="346">
        <v>2900000</v>
      </c>
      <c r="E111" s="398">
        <v>1900000</v>
      </c>
      <c r="F111" s="435">
        <v>1.2E-2</v>
      </c>
      <c r="G111" s="398">
        <f t="shared" si="37"/>
        <v>34800</v>
      </c>
      <c r="H111" s="398">
        <f t="shared" si="38"/>
        <v>22800</v>
      </c>
      <c r="I111" s="399"/>
      <c r="J111" s="410" t="s">
        <v>18</v>
      </c>
      <c r="K111" s="410" t="s">
        <v>128</v>
      </c>
      <c r="L111" s="411" t="s">
        <v>112</v>
      </c>
      <c r="M111" s="411"/>
      <c r="N111" s="411"/>
      <c r="P111" s="417"/>
    </row>
    <row r="112" spans="1:16" s="416" customFormat="1" ht="14" outlineLevel="2">
      <c r="A112" s="405" t="s">
        <v>8</v>
      </c>
      <c r="B112" s="434" t="s">
        <v>501</v>
      </c>
      <c r="C112" s="397" t="s">
        <v>46</v>
      </c>
      <c r="D112" s="346"/>
      <c r="E112" s="398"/>
      <c r="F112" s="435"/>
      <c r="G112" s="398">
        <f t="shared" si="37"/>
        <v>0</v>
      </c>
      <c r="H112" s="398">
        <f t="shared" si="38"/>
        <v>0</v>
      </c>
      <c r="I112" s="399"/>
      <c r="J112" s="410" t="s">
        <v>18</v>
      </c>
      <c r="K112" s="410" t="s">
        <v>128</v>
      </c>
      <c r="L112" s="411" t="s">
        <v>112</v>
      </c>
      <c r="M112" s="411"/>
      <c r="N112" s="411"/>
      <c r="P112" s="417"/>
    </row>
    <row r="113" spans="1:16" s="416" customFormat="1" ht="14" outlineLevel="2">
      <c r="A113" s="405" t="s">
        <v>8</v>
      </c>
      <c r="B113" s="434" t="s">
        <v>507</v>
      </c>
      <c r="C113" s="397" t="s">
        <v>46</v>
      </c>
      <c r="D113" s="346"/>
      <c r="E113" s="398"/>
      <c r="F113" s="435"/>
      <c r="G113" s="398">
        <f t="shared" si="37"/>
        <v>0</v>
      </c>
      <c r="H113" s="398">
        <f t="shared" si="38"/>
        <v>0</v>
      </c>
      <c r="I113" s="399"/>
      <c r="J113" s="410" t="s">
        <v>18</v>
      </c>
      <c r="K113" s="410" t="s">
        <v>128</v>
      </c>
      <c r="L113" s="411" t="s">
        <v>112</v>
      </c>
      <c r="M113" s="411"/>
      <c r="N113" s="411"/>
      <c r="P113" s="417"/>
    </row>
    <row r="114" spans="1:16" s="416" customFormat="1" ht="14" outlineLevel="2">
      <c r="A114" s="405" t="s">
        <v>8</v>
      </c>
      <c r="B114" s="434" t="s">
        <v>499</v>
      </c>
      <c r="C114" s="397" t="s">
        <v>46</v>
      </c>
      <c r="D114" s="346"/>
      <c r="E114" s="398"/>
      <c r="F114" s="435"/>
      <c r="G114" s="398">
        <f t="shared" ref="G114:G121" si="49">F114*D114</f>
        <v>0</v>
      </c>
      <c r="H114" s="398">
        <f t="shared" ref="H114:H121" si="50">F114*E114</f>
        <v>0</v>
      </c>
      <c r="I114" s="399"/>
      <c r="J114" s="410" t="s">
        <v>18</v>
      </c>
      <c r="K114" s="410" t="s">
        <v>93</v>
      </c>
      <c r="L114" s="411" t="s">
        <v>112</v>
      </c>
      <c r="M114" s="411"/>
      <c r="N114" s="411"/>
      <c r="P114" s="417"/>
    </row>
    <row r="115" spans="1:16" s="416" customFormat="1" ht="14" outlineLevel="2">
      <c r="A115" s="405" t="s">
        <v>8</v>
      </c>
      <c r="B115" s="434" t="s">
        <v>506</v>
      </c>
      <c r="C115" s="397" t="s">
        <v>46</v>
      </c>
      <c r="D115" s="346"/>
      <c r="E115" s="398"/>
      <c r="F115" s="435"/>
      <c r="G115" s="398">
        <f t="shared" si="49"/>
        <v>0</v>
      </c>
      <c r="H115" s="398">
        <f t="shared" si="50"/>
        <v>0</v>
      </c>
      <c r="I115" s="399"/>
      <c r="J115" s="410" t="s">
        <v>18</v>
      </c>
      <c r="K115" s="410" t="s">
        <v>93</v>
      </c>
      <c r="L115" s="411" t="s">
        <v>112</v>
      </c>
      <c r="M115" s="411"/>
      <c r="N115" s="411"/>
      <c r="P115" s="417"/>
    </row>
    <row r="116" spans="1:16" s="416" customFormat="1" ht="14" outlineLevel="2">
      <c r="A116" s="405" t="s">
        <v>8</v>
      </c>
      <c r="B116" s="434" t="s">
        <v>496</v>
      </c>
      <c r="C116" s="397" t="s">
        <v>46</v>
      </c>
      <c r="D116" s="436"/>
      <c r="E116" s="431"/>
      <c r="F116" s="435"/>
      <c r="G116" s="398">
        <f t="shared" si="49"/>
        <v>0</v>
      </c>
      <c r="H116" s="398">
        <f t="shared" si="50"/>
        <v>0</v>
      </c>
      <c r="I116" s="399"/>
      <c r="J116" s="410" t="s">
        <v>18</v>
      </c>
      <c r="K116" s="410" t="s">
        <v>128</v>
      </c>
      <c r="L116" s="411" t="s">
        <v>112</v>
      </c>
      <c r="M116" s="411"/>
      <c r="N116" s="411"/>
      <c r="P116" s="417"/>
    </row>
    <row r="117" spans="1:16" s="416" customFormat="1" ht="14" outlineLevel="2">
      <c r="A117" s="405" t="s">
        <v>8</v>
      </c>
      <c r="B117" s="434" t="s">
        <v>504</v>
      </c>
      <c r="C117" s="397" t="s">
        <v>46</v>
      </c>
      <c r="D117" s="398"/>
      <c r="E117" s="398"/>
      <c r="F117" s="435"/>
      <c r="G117" s="398">
        <f t="shared" si="49"/>
        <v>0</v>
      </c>
      <c r="H117" s="398">
        <f t="shared" si="50"/>
        <v>0</v>
      </c>
      <c r="I117" s="399"/>
      <c r="J117" s="410" t="s">
        <v>18</v>
      </c>
      <c r="K117" s="410" t="s">
        <v>128</v>
      </c>
      <c r="L117" s="411" t="s">
        <v>112</v>
      </c>
      <c r="M117" s="411"/>
      <c r="N117" s="411"/>
      <c r="P117" s="417"/>
    </row>
    <row r="118" spans="1:16" s="416" customFormat="1" ht="14" outlineLevel="2">
      <c r="A118" s="405" t="s">
        <v>8</v>
      </c>
      <c r="B118" s="434" t="s">
        <v>539</v>
      </c>
      <c r="C118" s="397" t="s">
        <v>46</v>
      </c>
      <c r="D118" s="398"/>
      <c r="E118" s="398"/>
      <c r="F118" s="435"/>
      <c r="G118" s="398">
        <f t="shared" si="49"/>
        <v>0</v>
      </c>
      <c r="H118" s="398">
        <f t="shared" si="50"/>
        <v>0</v>
      </c>
      <c r="I118" s="399"/>
      <c r="J118" s="410" t="s">
        <v>18</v>
      </c>
      <c r="K118" s="410" t="s">
        <v>128</v>
      </c>
      <c r="L118" s="411" t="s">
        <v>112</v>
      </c>
      <c r="M118" s="411"/>
      <c r="N118" s="411"/>
      <c r="P118" s="417"/>
    </row>
    <row r="119" spans="1:16" s="416" customFormat="1" ht="14" outlineLevel="2">
      <c r="A119" s="405" t="s">
        <v>8</v>
      </c>
      <c r="B119" s="434" t="s">
        <v>498</v>
      </c>
      <c r="C119" s="397" t="s">
        <v>46</v>
      </c>
      <c r="D119" s="398"/>
      <c r="E119" s="398"/>
      <c r="F119" s="435"/>
      <c r="G119" s="398">
        <f t="shared" si="49"/>
        <v>0</v>
      </c>
      <c r="H119" s="398">
        <f t="shared" si="50"/>
        <v>0</v>
      </c>
      <c r="I119" s="399"/>
      <c r="J119" s="410" t="s">
        <v>18</v>
      </c>
      <c r="K119" s="410" t="s">
        <v>128</v>
      </c>
      <c r="L119" s="411" t="s">
        <v>112</v>
      </c>
      <c r="M119" s="411"/>
      <c r="N119" s="411"/>
      <c r="P119" s="417"/>
    </row>
    <row r="120" spans="1:16" s="416" customFormat="1" ht="14" outlineLevel="2">
      <c r="A120" s="405" t="s">
        <v>8</v>
      </c>
      <c r="B120" s="434" t="s">
        <v>502</v>
      </c>
      <c r="C120" s="397" t="s">
        <v>46</v>
      </c>
      <c r="D120" s="398"/>
      <c r="E120" s="398"/>
      <c r="F120" s="435"/>
      <c r="G120" s="398">
        <f t="shared" si="49"/>
        <v>0</v>
      </c>
      <c r="H120" s="398">
        <f t="shared" si="50"/>
        <v>0</v>
      </c>
      <c r="I120" s="399"/>
      <c r="J120" s="410" t="s">
        <v>18</v>
      </c>
      <c r="K120" s="410" t="s">
        <v>128</v>
      </c>
      <c r="L120" s="411" t="s">
        <v>112</v>
      </c>
      <c r="M120" s="411"/>
      <c r="N120" s="411"/>
      <c r="P120" s="417"/>
    </row>
    <row r="121" spans="1:16" s="416" customFormat="1" ht="14" outlineLevel="2">
      <c r="A121" s="405" t="s">
        <v>8</v>
      </c>
      <c r="B121" s="434" t="s">
        <v>508</v>
      </c>
      <c r="C121" s="397" t="s">
        <v>46</v>
      </c>
      <c r="D121" s="398"/>
      <c r="E121" s="398"/>
      <c r="F121" s="435"/>
      <c r="G121" s="398">
        <f t="shared" si="49"/>
        <v>0</v>
      </c>
      <c r="H121" s="398">
        <f t="shared" si="50"/>
        <v>0</v>
      </c>
      <c r="I121" s="399"/>
      <c r="J121" s="410" t="s">
        <v>18</v>
      </c>
      <c r="K121" s="410" t="s">
        <v>128</v>
      </c>
      <c r="L121" s="411" t="s">
        <v>112</v>
      </c>
      <c r="M121" s="411"/>
      <c r="N121" s="411"/>
      <c r="P121" s="417"/>
    </row>
    <row r="122" spans="1:16" s="416" customFormat="1" ht="14" outlineLevel="2">
      <c r="A122" s="405" t="s">
        <v>8</v>
      </c>
      <c r="B122" s="434" t="s">
        <v>540</v>
      </c>
      <c r="C122" s="397" t="s">
        <v>46</v>
      </c>
      <c r="D122" s="398"/>
      <c r="E122" s="398"/>
      <c r="F122" s="435"/>
      <c r="G122" s="398">
        <f t="shared" ref="G122:G123" si="51">F122*D122</f>
        <v>0</v>
      </c>
      <c r="H122" s="398">
        <f t="shared" ref="H122:H123" si="52">F122*E122</f>
        <v>0</v>
      </c>
      <c r="I122" s="399"/>
      <c r="J122" s="410" t="s">
        <v>18</v>
      </c>
      <c r="K122" s="410" t="s">
        <v>93</v>
      </c>
      <c r="L122" s="411" t="s">
        <v>112</v>
      </c>
      <c r="M122" s="411"/>
      <c r="N122" s="411"/>
      <c r="P122" s="417"/>
    </row>
    <row r="123" spans="1:16" s="416" customFormat="1" ht="14" outlineLevel="2">
      <c r="A123" s="405" t="s">
        <v>8</v>
      </c>
      <c r="B123" s="434" t="s">
        <v>500</v>
      </c>
      <c r="C123" s="397" t="s">
        <v>46</v>
      </c>
      <c r="D123" s="398"/>
      <c r="E123" s="398"/>
      <c r="F123" s="435"/>
      <c r="G123" s="398">
        <f t="shared" si="51"/>
        <v>0</v>
      </c>
      <c r="H123" s="398">
        <f t="shared" si="52"/>
        <v>0</v>
      </c>
      <c r="I123" s="399"/>
      <c r="J123" s="410" t="s">
        <v>18</v>
      </c>
      <c r="K123" s="410" t="s">
        <v>93</v>
      </c>
      <c r="L123" s="411" t="s">
        <v>112</v>
      </c>
      <c r="M123" s="411"/>
      <c r="N123" s="411"/>
      <c r="P123" s="417"/>
    </row>
    <row r="124" spans="1:16" s="416" customFormat="1" ht="14" outlineLevel="2">
      <c r="A124" s="388">
        <v>4</v>
      </c>
      <c r="B124" s="429" t="s">
        <v>424</v>
      </c>
      <c r="C124" s="397" t="s">
        <v>46</v>
      </c>
      <c r="D124" s="398"/>
      <c r="E124" s="398"/>
      <c r="F124" s="398"/>
      <c r="G124" s="398">
        <f t="shared" ref="G124:G163" si="53">F124*D124</f>
        <v>0</v>
      </c>
      <c r="H124" s="398">
        <f t="shared" ref="H124:H163" si="54">F124*E124</f>
        <v>0</v>
      </c>
      <c r="I124" s="399"/>
      <c r="J124" s="410" t="s">
        <v>18</v>
      </c>
      <c r="K124" s="410" t="s">
        <v>128</v>
      </c>
      <c r="L124" s="411" t="s">
        <v>112</v>
      </c>
      <c r="N124" s="411"/>
      <c r="P124" s="433"/>
    </row>
    <row r="125" spans="1:16" s="416" customFormat="1" ht="14" outlineLevel="2">
      <c r="A125" s="405" t="s">
        <v>8</v>
      </c>
      <c r="B125" s="434" t="s">
        <v>425</v>
      </c>
      <c r="C125" s="397" t="s">
        <v>46</v>
      </c>
      <c r="D125" s="436">
        <v>200000</v>
      </c>
      <c r="E125" s="398"/>
      <c r="F125" s="432">
        <v>0.6</v>
      </c>
      <c r="G125" s="398">
        <f t="shared" si="53"/>
        <v>120000</v>
      </c>
      <c r="H125" s="398">
        <f t="shared" si="54"/>
        <v>0</v>
      </c>
      <c r="I125" s="399"/>
      <c r="J125" s="410" t="s">
        <v>18</v>
      </c>
      <c r="K125" s="410" t="s">
        <v>128</v>
      </c>
      <c r="L125" s="411" t="s">
        <v>112</v>
      </c>
      <c r="M125" s="411"/>
      <c r="N125" s="411"/>
      <c r="P125" s="417"/>
    </row>
    <row r="126" spans="1:16" s="416" customFormat="1" ht="14" outlineLevel="2">
      <c r="A126" s="405" t="s">
        <v>8</v>
      </c>
      <c r="B126" s="434" t="s">
        <v>426</v>
      </c>
      <c r="C126" s="397" t="s">
        <v>46</v>
      </c>
      <c r="D126" s="436">
        <v>1000000</v>
      </c>
      <c r="E126" s="398"/>
      <c r="F126" s="432">
        <v>0.4</v>
      </c>
      <c r="G126" s="398">
        <f t="shared" si="53"/>
        <v>400000</v>
      </c>
      <c r="H126" s="398">
        <f t="shared" si="54"/>
        <v>0</v>
      </c>
      <c r="I126" s="399"/>
      <c r="J126" s="410" t="s">
        <v>18</v>
      </c>
      <c r="K126" s="410" t="s">
        <v>128</v>
      </c>
      <c r="L126" s="411" t="s">
        <v>112</v>
      </c>
      <c r="M126" s="411"/>
      <c r="N126" s="411"/>
      <c r="P126" s="417"/>
    </row>
    <row r="127" spans="1:16" s="416" customFormat="1" ht="14" outlineLevel="2">
      <c r="A127" s="405" t="s">
        <v>8</v>
      </c>
      <c r="B127" s="434" t="s">
        <v>427</v>
      </c>
      <c r="C127" s="397" t="s">
        <v>9</v>
      </c>
      <c r="D127" s="398"/>
      <c r="E127" s="398"/>
      <c r="F127" s="398"/>
      <c r="G127" s="398">
        <f t="shared" ref="G127:G128" si="55">F127*D127</f>
        <v>0</v>
      </c>
      <c r="H127" s="398">
        <f t="shared" ref="H127:H128" si="56">F127*E127</f>
        <v>0</v>
      </c>
      <c r="I127" s="399"/>
      <c r="J127" s="410" t="s">
        <v>18</v>
      </c>
      <c r="K127" s="410" t="s">
        <v>128</v>
      </c>
      <c r="L127" s="411" t="s">
        <v>112</v>
      </c>
      <c r="M127" s="411"/>
      <c r="N127" s="411"/>
      <c r="P127" s="417"/>
    </row>
    <row r="128" spans="1:16" s="416" customFormat="1" ht="14" outlineLevel="2">
      <c r="A128" s="405" t="s">
        <v>8</v>
      </c>
      <c r="B128" s="434" t="s">
        <v>428</v>
      </c>
      <c r="C128" s="397" t="s">
        <v>9</v>
      </c>
      <c r="D128" s="398">
        <v>2</v>
      </c>
      <c r="E128" s="398"/>
      <c r="F128" s="398">
        <v>150000</v>
      </c>
      <c r="G128" s="398">
        <f t="shared" si="55"/>
        <v>300000</v>
      </c>
      <c r="H128" s="398">
        <f t="shared" si="56"/>
        <v>0</v>
      </c>
      <c r="I128" s="399"/>
      <c r="J128" s="410" t="s">
        <v>18</v>
      </c>
      <c r="K128" s="410" t="s">
        <v>128</v>
      </c>
      <c r="L128" s="411" t="s">
        <v>112</v>
      </c>
      <c r="M128" s="411"/>
      <c r="N128" s="411"/>
      <c r="P128" s="417"/>
    </row>
    <row r="129" spans="1:16" s="416" customFormat="1" ht="14" outlineLevel="2">
      <c r="A129" s="388">
        <v>5</v>
      </c>
      <c r="B129" s="429" t="s">
        <v>429</v>
      </c>
      <c r="C129" s="390" t="s">
        <v>44</v>
      </c>
      <c r="D129" s="391"/>
      <c r="E129" s="391"/>
      <c r="F129" s="391"/>
      <c r="G129" s="391">
        <f t="shared" si="53"/>
        <v>0</v>
      </c>
      <c r="H129" s="391">
        <f t="shared" si="54"/>
        <v>0</v>
      </c>
      <c r="I129" s="392"/>
      <c r="J129" s="410" t="s">
        <v>18</v>
      </c>
      <c r="K129" s="410" t="s">
        <v>128</v>
      </c>
      <c r="L129" s="411" t="s">
        <v>112</v>
      </c>
      <c r="N129" s="411"/>
      <c r="P129" s="433"/>
    </row>
    <row r="130" spans="1:16" s="416" customFormat="1" ht="14" outlineLevel="2">
      <c r="A130" s="405" t="s">
        <v>8</v>
      </c>
      <c r="B130" s="437" t="s">
        <v>1188</v>
      </c>
      <c r="C130" s="397" t="s">
        <v>46</v>
      </c>
      <c r="D130" s="346">
        <v>1000000</v>
      </c>
      <c r="E130" s="398"/>
      <c r="F130" s="438">
        <v>0.6</v>
      </c>
      <c r="G130" s="398">
        <f t="shared" si="53"/>
        <v>600000</v>
      </c>
      <c r="H130" s="398">
        <f t="shared" si="54"/>
        <v>0</v>
      </c>
      <c r="I130" s="399"/>
      <c r="J130" s="410" t="s">
        <v>18</v>
      </c>
      <c r="K130" s="410" t="s">
        <v>128</v>
      </c>
      <c r="L130" s="411" t="s">
        <v>112</v>
      </c>
      <c r="M130" s="411"/>
      <c r="N130" s="411"/>
      <c r="P130" s="417"/>
    </row>
    <row r="131" spans="1:16" s="416" customFormat="1" ht="14" outlineLevel="2">
      <c r="A131" s="405" t="s">
        <v>8</v>
      </c>
      <c r="B131" s="437" t="s">
        <v>1189</v>
      </c>
      <c r="C131" s="397" t="s">
        <v>1191</v>
      </c>
      <c r="D131" s="346">
        <v>1500000</v>
      </c>
      <c r="E131" s="398"/>
      <c r="F131" s="438"/>
      <c r="G131" s="398">
        <f t="shared" ref="G131:G132" si="57">F131*D131</f>
        <v>0</v>
      </c>
      <c r="H131" s="398">
        <f t="shared" ref="H131:H132" si="58">F131*E131</f>
        <v>0</v>
      </c>
      <c r="I131" s="399"/>
      <c r="J131" s="410" t="s">
        <v>18</v>
      </c>
      <c r="K131" s="410" t="s">
        <v>128</v>
      </c>
      <c r="L131" s="411" t="s">
        <v>112</v>
      </c>
      <c r="M131" s="411"/>
      <c r="N131" s="411"/>
      <c r="P131" s="417"/>
    </row>
    <row r="132" spans="1:16" s="416" customFormat="1" ht="14" outlineLevel="2">
      <c r="A132" s="405" t="s">
        <v>8</v>
      </c>
      <c r="B132" s="437" t="s">
        <v>1190</v>
      </c>
      <c r="C132" s="397" t="s">
        <v>44</v>
      </c>
      <c r="D132" s="346">
        <v>60000</v>
      </c>
      <c r="E132" s="398"/>
      <c r="F132" s="438"/>
      <c r="G132" s="398">
        <f t="shared" si="57"/>
        <v>0</v>
      </c>
      <c r="H132" s="398">
        <f t="shared" si="58"/>
        <v>0</v>
      </c>
      <c r="I132" s="399"/>
      <c r="J132" s="410" t="s">
        <v>18</v>
      </c>
      <c r="K132" s="410" t="s">
        <v>128</v>
      </c>
      <c r="L132" s="411" t="s">
        <v>112</v>
      </c>
      <c r="M132" s="411"/>
      <c r="N132" s="411"/>
      <c r="P132" s="417"/>
    </row>
    <row r="133" spans="1:16" s="416" customFormat="1" ht="14" outlineLevel="2">
      <c r="A133" s="405" t="s">
        <v>8</v>
      </c>
      <c r="B133" s="430" t="s">
        <v>1192</v>
      </c>
      <c r="C133" s="397" t="s">
        <v>46</v>
      </c>
      <c r="D133" s="346"/>
      <c r="E133" s="398"/>
      <c r="F133" s="432"/>
      <c r="G133" s="398">
        <f t="shared" si="53"/>
        <v>0</v>
      </c>
      <c r="H133" s="398">
        <f t="shared" si="54"/>
        <v>0</v>
      </c>
      <c r="I133" s="399"/>
      <c r="J133" s="410" t="s">
        <v>18</v>
      </c>
      <c r="K133" s="410" t="s">
        <v>93</v>
      </c>
      <c r="L133" s="411" t="s">
        <v>112</v>
      </c>
      <c r="M133" s="411"/>
      <c r="N133" s="411"/>
      <c r="P133" s="417"/>
    </row>
    <row r="134" spans="1:16" s="416" customFormat="1" ht="14" outlineLevel="2">
      <c r="A134" s="405" t="s">
        <v>8</v>
      </c>
      <c r="B134" s="430" t="s">
        <v>1193</v>
      </c>
      <c r="C134" s="397" t="s">
        <v>1191</v>
      </c>
      <c r="D134" s="346"/>
      <c r="E134" s="398"/>
      <c r="F134" s="432"/>
      <c r="G134" s="398">
        <f t="shared" ref="G134:G135" si="59">F134*D134</f>
        <v>0</v>
      </c>
      <c r="H134" s="398">
        <f t="shared" ref="H134:H135" si="60">F134*E134</f>
        <v>0</v>
      </c>
      <c r="I134" s="399"/>
      <c r="J134" s="410" t="s">
        <v>18</v>
      </c>
      <c r="K134" s="410" t="s">
        <v>93</v>
      </c>
      <c r="L134" s="411" t="s">
        <v>112</v>
      </c>
      <c r="M134" s="411"/>
      <c r="N134" s="411"/>
      <c r="P134" s="417"/>
    </row>
    <row r="135" spans="1:16" s="416" customFormat="1" ht="14" outlineLevel="2">
      <c r="A135" s="405" t="s">
        <v>8</v>
      </c>
      <c r="B135" s="430" t="s">
        <v>1194</v>
      </c>
      <c r="C135" s="397" t="s">
        <v>44</v>
      </c>
      <c r="D135" s="346"/>
      <c r="E135" s="398"/>
      <c r="F135" s="432"/>
      <c r="G135" s="398">
        <f t="shared" si="59"/>
        <v>0</v>
      </c>
      <c r="H135" s="398">
        <f t="shared" si="60"/>
        <v>0</v>
      </c>
      <c r="I135" s="399"/>
      <c r="J135" s="410" t="s">
        <v>18</v>
      </c>
      <c r="K135" s="410" t="s">
        <v>93</v>
      </c>
      <c r="L135" s="411" t="s">
        <v>112</v>
      </c>
      <c r="M135" s="411"/>
      <c r="N135" s="411"/>
      <c r="P135" s="417"/>
    </row>
    <row r="136" spans="1:16" s="416" customFormat="1" ht="14" outlineLevel="2">
      <c r="A136" s="405" t="s">
        <v>8</v>
      </c>
      <c r="B136" s="430" t="s">
        <v>1195</v>
      </c>
      <c r="C136" s="397" t="s">
        <v>46</v>
      </c>
      <c r="D136" s="346">
        <v>1000000</v>
      </c>
      <c r="E136" s="398"/>
      <c r="F136" s="432">
        <v>0.4</v>
      </c>
      <c r="G136" s="398">
        <f t="shared" si="53"/>
        <v>400000</v>
      </c>
      <c r="H136" s="398">
        <f t="shared" si="54"/>
        <v>0</v>
      </c>
      <c r="I136" s="399"/>
      <c r="J136" s="410" t="s">
        <v>18</v>
      </c>
      <c r="K136" s="410" t="s">
        <v>128</v>
      </c>
      <c r="L136" s="411" t="s">
        <v>112</v>
      </c>
      <c r="M136" s="411"/>
      <c r="N136" s="411"/>
      <c r="P136" s="417"/>
    </row>
    <row r="137" spans="1:16" s="416" customFormat="1" ht="14" outlineLevel="2">
      <c r="A137" s="405" t="s">
        <v>8</v>
      </c>
      <c r="B137" s="430" t="s">
        <v>1196</v>
      </c>
      <c r="C137" s="397" t="s">
        <v>1191</v>
      </c>
      <c r="D137" s="346">
        <v>1500000</v>
      </c>
      <c r="E137" s="398"/>
      <c r="F137" s="432"/>
      <c r="G137" s="398">
        <f t="shared" ref="G137:G138" si="61">F137*D137</f>
        <v>0</v>
      </c>
      <c r="H137" s="398">
        <f t="shared" ref="H137:H138" si="62">F137*E137</f>
        <v>0</v>
      </c>
      <c r="I137" s="399"/>
      <c r="J137" s="410" t="s">
        <v>18</v>
      </c>
      <c r="K137" s="410" t="s">
        <v>128</v>
      </c>
      <c r="L137" s="411" t="s">
        <v>112</v>
      </c>
      <c r="M137" s="411"/>
      <c r="N137" s="411"/>
      <c r="P137" s="417"/>
    </row>
    <row r="138" spans="1:16" s="416" customFormat="1" ht="14" outlineLevel="2">
      <c r="A138" s="405" t="s">
        <v>8</v>
      </c>
      <c r="B138" s="430" t="s">
        <v>1197</v>
      </c>
      <c r="C138" s="397" t="s">
        <v>44</v>
      </c>
      <c r="D138" s="346">
        <v>60000</v>
      </c>
      <c r="E138" s="398"/>
      <c r="F138" s="432"/>
      <c r="G138" s="398">
        <f t="shared" si="61"/>
        <v>0</v>
      </c>
      <c r="H138" s="398">
        <f t="shared" si="62"/>
        <v>0</v>
      </c>
      <c r="I138" s="399"/>
      <c r="J138" s="410" t="s">
        <v>18</v>
      </c>
      <c r="K138" s="410" t="s">
        <v>128</v>
      </c>
      <c r="L138" s="411" t="s">
        <v>112</v>
      </c>
      <c r="M138" s="411"/>
      <c r="N138" s="411"/>
      <c r="P138" s="417"/>
    </row>
    <row r="139" spans="1:16" s="416" customFormat="1" ht="14" outlineLevel="2">
      <c r="A139" s="405" t="s">
        <v>8</v>
      </c>
      <c r="B139" s="430" t="s">
        <v>1219</v>
      </c>
      <c r="C139" s="397" t="s">
        <v>46</v>
      </c>
      <c r="D139" s="346"/>
      <c r="E139" s="398"/>
      <c r="F139" s="432"/>
      <c r="G139" s="398">
        <f t="shared" ref="G139:G141" si="63">F139*D139</f>
        <v>0</v>
      </c>
      <c r="H139" s="398">
        <f t="shared" ref="H139:H141" si="64">F139*E139</f>
        <v>0</v>
      </c>
      <c r="I139" s="399"/>
      <c r="J139" s="410" t="s">
        <v>18</v>
      </c>
      <c r="K139" s="410" t="s">
        <v>93</v>
      </c>
      <c r="L139" s="411" t="s">
        <v>112</v>
      </c>
      <c r="M139" s="411"/>
      <c r="N139" s="411"/>
      <c r="P139" s="417"/>
    </row>
    <row r="140" spans="1:16" s="416" customFormat="1" ht="14" outlineLevel="2">
      <c r="A140" s="405" t="s">
        <v>8</v>
      </c>
      <c r="B140" s="430" t="s">
        <v>1220</v>
      </c>
      <c r="C140" s="397" t="s">
        <v>1191</v>
      </c>
      <c r="D140" s="346"/>
      <c r="E140" s="398"/>
      <c r="F140" s="432"/>
      <c r="G140" s="398">
        <f t="shared" si="63"/>
        <v>0</v>
      </c>
      <c r="H140" s="398">
        <f t="shared" si="64"/>
        <v>0</v>
      </c>
      <c r="I140" s="399"/>
      <c r="J140" s="410" t="s">
        <v>18</v>
      </c>
      <c r="K140" s="410" t="s">
        <v>93</v>
      </c>
      <c r="L140" s="411" t="s">
        <v>112</v>
      </c>
      <c r="M140" s="411"/>
      <c r="N140" s="411"/>
      <c r="P140" s="417"/>
    </row>
    <row r="141" spans="1:16" s="416" customFormat="1" ht="14" outlineLevel="2">
      <c r="A141" s="405" t="s">
        <v>8</v>
      </c>
      <c r="B141" s="430" t="s">
        <v>1221</v>
      </c>
      <c r="C141" s="397" t="s">
        <v>44</v>
      </c>
      <c r="D141" s="346"/>
      <c r="E141" s="398"/>
      <c r="F141" s="432"/>
      <c r="G141" s="398">
        <f t="shared" si="63"/>
        <v>0</v>
      </c>
      <c r="H141" s="398">
        <f t="shared" si="64"/>
        <v>0</v>
      </c>
      <c r="I141" s="399"/>
      <c r="J141" s="410" t="s">
        <v>18</v>
      </c>
      <c r="K141" s="410" t="s">
        <v>93</v>
      </c>
      <c r="L141" s="411" t="s">
        <v>112</v>
      </c>
      <c r="M141" s="411"/>
      <c r="N141" s="411"/>
      <c r="P141" s="417"/>
    </row>
    <row r="142" spans="1:16" s="416" customFormat="1" ht="14" outlineLevel="2">
      <c r="A142" s="405" t="s">
        <v>8</v>
      </c>
      <c r="B142" s="430" t="s">
        <v>1223</v>
      </c>
      <c r="C142" s="397" t="s">
        <v>46</v>
      </c>
      <c r="D142" s="346"/>
      <c r="E142" s="398"/>
      <c r="F142" s="432"/>
      <c r="G142" s="398">
        <f t="shared" ref="G142:G144" si="65">F142*D142</f>
        <v>0</v>
      </c>
      <c r="H142" s="398">
        <f t="shared" ref="H142:H144" si="66">F142*E142</f>
        <v>0</v>
      </c>
      <c r="I142" s="399"/>
      <c r="J142" s="410" t="s">
        <v>18</v>
      </c>
      <c r="K142" s="410" t="s">
        <v>93</v>
      </c>
      <c r="L142" s="411" t="s">
        <v>112</v>
      </c>
      <c r="M142" s="411"/>
      <c r="N142" s="411"/>
      <c r="P142" s="417"/>
    </row>
    <row r="143" spans="1:16" s="416" customFormat="1" ht="14" outlineLevel="2">
      <c r="A143" s="405" t="s">
        <v>8</v>
      </c>
      <c r="B143" s="430" t="s">
        <v>1224</v>
      </c>
      <c r="C143" s="397" t="s">
        <v>1191</v>
      </c>
      <c r="D143" s="346"/>
      <c r="E143" s="398"/>
      <c r="F143" s="432"/>
      <c r="G143" s="398">
        <f t="shared" si="65"/>
        <v>0</v>
      </c>
      <c r="H143" s="398">
        <f t="shared" si="66"/>
        <v>0</v>
      </c>
      <c r="I143" s="399"/>
      <c r="J143" s="410" t="s">
        <v>18</v>
      </c>
      <c r="K143" s="410" t="s">
        <v>93</v>
      </c>
      <c r="L143" s="411" t="s">
        <v>112</v>
      </c>
      <c r="M143" s="411"/>
      <c r="N143" s="411"/>
      <c r="P143" s="417"/>
    </row>
    <row r="144" spans="1:16" s="416" customFormat="1" ht="14" outlineLevel="2">
      <c r="A144" s="405" t="s">
        <v>8</v>
      </c>
      <c r="B144" s="430" t="s">
        <v>1222</v>
      </c>
      <c r="C144" s="397" t="s">
        <v>44</v>
      </c>
      <c r="D144" s="346"/>
      <c r="E144" s="398"/>
      <c r="F144" s="432"/>
      <c r="G144" s="398">
        <f t="shared" si="65"/>
        <v>0</v>
      </c>
      <c r="H144" s="398">
        <f t="shared" si="66"/>
        <v>0</v>
      </c>
      <c r="I144" s="399"/>
      <c r="J144" s="410" t="s">
        <v>18</v>
      </c>
      <c r="K144" s="410" t="s">
        <v>93</v>
      </c>
      <c r="L144" s="411" t="s">
        <v>112</v>
      </c>
      <c r="M144" s="411"/>
      <c r="N144" s="411"/>
      <c r="P144" s="417"/>
    </row>
    <row r="145" spans="1:16" s="416" customFormat="1" ht="14" outlineLevel="2">
      <c r="A145" s="405" t="s">
        <v>8</v>
      </c>
      <c r="B145" s="430" t="s">
        <v>1225</v>
      </c>
      <c r="C145" s="397" t="s">
        <v>44</v>
      </c>
      <c r="D145" s="346"/>
      <c r="E145" s="398"/>
      <c r="F145" s="432"/>
      <c r="G145" s="398">
        <f t="shared" ref="G145:G147" si="67">F145*D145</f>
        <v>0</v>
      </c>
      <c r="H145" s="398">
        <f t="shared" ref="H145:H147" si="68">F145*E145</f>
        <v>0</v>
      </c>
      <c r="I145" s="399"/>
      <c r="J145" s="410" t="s">
        <v>18</v>
      </c>
      <c r="K145" s="410" t="s">
        <v>93</v>
      </c>
      <c r="L145" s="411" t="s">
        <v>112</v>
      </c>
      <c r="M145" s="411"/>
      <c r="N145" s="411"/>
      <c r="P145" s="417"/>
    </row>
    <row r="146" spans="1:16" s="416" customFormat="1" ht="14" outlineLevel="2">
      <c r="A146" s="405" t="s">
        <v>8</v>
      </c>
      <c r="B146" s="430" t="s">
        <v>1287</v>
      </c>
      <c r="C146" s="397" t="s">
        <v>46</v>
      </c>
      <c r="D146" s="398">
        <v>650000</v>
      </c>
      <c r="E146" s="398"/>
      <c r="F146" s="432">
        <v>0.23399999999999999</v>
      </c>
      <c r="G146" s="398">
        <f t="shared" si="67"/>
        <v>152100</v>
      </c>
      <c r="H146" s="398">
        <f t="shared" si="68"/>
        <v>0</v>
      </c>
      <c r="I146" s="399"/>
      <c r="J146" s="410" t="s">
        <v>18</v>
      </c>
      <c r="K146" s="410" t="s">
        <v>128</v>
      </c>
      <c r="L146" s="411" t="s">
        <v>112</v>
      </c>
      <c r="M146" s="411"/>
      <c r="N146" s="411"/>
      <c r="P146" s="417"/>
    </row>
    <row r="147" spans="1:16" s="416" customFormat="1" ht="14" outlineLevel="2">
      <c r="A147" s="405" t="s">
        <v>8</v>
      </c>
      <c r="B147" s="430" t="s">
        <v>1288</v>
      </c>
      <c r="C147" s="397" t="s">
        <v>46</v>
      </c>
      <c r="D147" s="398"/>
      <c r="E147" s="398"/>
      <c r="F147" s="432"/>
      <c r="G147" s="398">
        <f t="shared" si="67"/>
        <v>0</v>
      </c>
      <c r="H147" s="398">
        <f t="shared" si="68"/>
        <v>0</v>
      </c>
      <c r="I147" s="399"/>
      <c r="J147" s="410" t="s">
        <v>18</v>
      </c>
      <c r="K147" s="410" t="s">
        <v>128</v>
      </c>
      <c r="L147" s="411" t="s">
        <v>112</v>
      </c>
      <c r="M147" s="411"/>
      <c r="N147" s="411"/>
      <c r="P147" s="417"/>
    </row>
    <row r="148" spans="1:16" s="416" customFormat="1" ht="14" outlineLevel="2">
      <c r="A148" s="405" t="s">
        <v>8</v>
      </c>
      <c r="B148" s="430" t="s">
        <v>433</v>
      </c>
      <c r="C148" s="397" t="s">
        <v>1191</v>
      </c>
      <c r="D148" s="398">
        <v>975000</v>
      </c>
      <c r="E148" s="398"/>
      <c r="F148" s="432">
        <v>6.1799999999999994E-2</v>
      </c>
      <c r="G148" s="398">
        <f t="shared" si="53"/>
        <v>60254.999999999993</v>
      </c>
      <c r="H148" s="398">
        <f t="shared" si="54"/>
        <v>0</v>
      </c>
      <c r="I148" s="399"/>
      <c r="J148" s="410" t="s">
        <v>18</v>
      </c>
      <c r="K148" s="410" t="s">
        <v>128</v>
      </c>
      <c r="L148" s="411" t="s">
        <v>112</v>
      </c>
      <c r="M148" s="411"/>
      <c r="N148" s="411"/>
      <c r="P148" s="417"/>
    </row>
    <row r="149" spans="1:16" s="416" customFormat="1" ht="14" outlineLevel="2">
      <c r="A149" s="405" t="s">
        <v>8</v>
      </c>
      <c r="B149" s="430" t="s">
        <v>1210</v>
      </c>
      <c r="C149" s="397" t="s">
        <v>1191</v>
      </c>
      <c r="D149" s="398"/>
      <c r="E149" s="398"/>
      <c r="F149" s="432"/>
      <c r="G149" s="398">
        <f t="shared" si="53"/>
        <v>0</v>
      </c>
      <c r="H149" s="398">
        <f t="shared" si="54"/>
        <v>0</v>
      </c>
      <c r="I149" s="399"/>
      <c r="J149" s="410" t="s">
        <v>18</v>
      </c>
      <c r="K149" s="410" t="s">
        <v>128</v>
      </c>
      <c r="L149" s="411" t="s">
        <v>112</v>
      </c>
      <c r="M149" s="411"/>
      <c r="N149" s="411"/>
      <c r="P149" s="417"/>
    </row>
    <row r="150" spans="1:16" s="416" customFormat="1" ht="14" outlineLevel="2">
      <c r="A150" s="405" t="s">
        <v>8</v>
      </c>
      <c r="B150" s="430" t="s">
        <v>434</v>
      </c>
      <c r="C150" s="397" t="s">
        <v>44</v>
      </c>
      <c r="D150" s="346">
        <v>49400</v>
      </c>
      <c r="E150" s="398">
        <v>34000</v>
      </c>
      <c r="F150" s="432">
        <v>4.05</v>
      </c>
      <c r="G150" s="398">
        <f t="shared" si="53"/>
        <v>200070</v>
      </c>
      <c r="H150" s="398">
        <f t="shared" si="54"/>
        <v>137700</v>
      </c>
      <c r="I150" s="399"/>
      <c r="J150" s="410" t="s">
        <v>18</v>
      </c>
      <c r="K150" s="410" t="s">
        <v>128</v>
      </c>
      <c r="L150" s="411" t="s">
        <v>112</v>
      </c>
      <c r="M150" s="411"/>
      <c r="N150" s="411"/>
      <c r="P150" s="417"/>
    </row>
    <row r="151" spans="1:16" s="416" customFormat="1" ht="14" outlineLevel="2">
      <c r="A151" s="405" t="s">
        <v>8</v>
      </c>
      <c r="B151" s="430" t="s">
        <v>435</v>
      </c>
      <c r="C151" s="397" t="s">
        <v>44</v>
      </c>
      <c r="D151" s="346">
        <v>40000</v>
      </c>
      <c r="E151" s="398">
        <v>34000</v>
      </c>
      <c r="F151" s="439">
        <v>2.7</v>
      </c>
      <c r="G151" s="398">
        <f t="shared" si="53"/>
        <v>108000</v>
      </c>
      <c r="H151" s="398">
        <f t="shared" si="54"/>
        <v>91800</v>
      </c>
      <c r="I151" s="399"/>
      <c r="J151" s="410" t="s">
        <v>18</v>
      </c>
      <c r="K151" s="410" t="s">
        <v>128</v>
      </c>
      <c r="L151" s="411" t="s">
        <v>112</v>
      </c>
      <c r="M151" s="411"/>
      <c r="N151" s="411"/>
      <c r="P151" s="417"/>
    </row>
    <row r="152" spans="1:16" s="416" customFormat="1" ht="14" outlineLevel="2">
      <c r="A152" s="405" t="s">
        <v>8</v>
      </c>
      <c r="B152" s="430" t="s">
        <v>1180</v>
      </c>
      <c r="C152" s="397" t="s">
        <v>44</v>
      </c>
      <c r="D152" s="346"/>
      <c r="E152" s="398"/>
      <c r="F152" s="432"/>
      <c r="G152" s="398"/>
      <c r="H152" s="398"/>
      <c r="I152" s="399"/>
      <c r="J152" s="410" t="s">
        <v>18</v>
      </c>
      <c r="K152" s="410" t="s">
        <v>128</v>
      </c>
      <c r="L152" s="411" t="s">
        <v>112</v>
      </c>
      <c r="M152" s="411"/>
      <c r="N152" s="411"/>
      <c r="P152" s="417"/>
    </row>
    <row r="153" spans="1:16" s="416" customFormat="1" ht="14" outlineLevel="2">
      <c r="A153" s="405" t="s">
        <v>8</v>
      </c>
      <c r="B153" s="430" t="s">
        <v>1181</v>
      </c>
      <c r="C153" s="397" t="s">
        <v>44</v>
      </c>
      <c r="D153" s="346"/>
      <c r="E153" s="398"/>
      <c r="F153" s="432"/>
      <c r="G153" s="398"/>
      <c r="H153" s="398"/>
      <c r="I153" s="399"/>
      <c r="J153" s="410" t="s">
        <v>18</v>
      </c>
      <c r="K153" s="410" t="s">
        <v>128</v>
      </c>
      <c r="L153" s="411" t="s">
        <v>112</v>
      </c>
      <c r="M153" s="411"/>
      <c r="N153" s="411"/>
      <c r="P153" s="417"/>
    </row>
    <row r="154" spans="1:16" s="416" customFormat="1" ht="28" outlineLevel="2">
      <c r="A154" s="405" t="s">
        <v>8</v>
      </c>
      <c r="B154" s="430" t="s">
        <v>1182</v>
      </c>
      <c r="C154" s="397" t="s">
        <v>9</v>
      </c>
      <c r="D154" s="346"/>
      <c r="E154" s="398"/>
      <c r="F154" s="432"/>
      <c r="G154" s="398"/>
      <c r="H154" s="398"/>
      <c r="I154" s="399"/>
      <c r="J154" s="410" t="s">
        <v>18</v>
      </c>
      <c r="K154" s="410" t="s">
        <v>128</v>
      </c>
      <c r="L154" s="411" t="s">
        <v>112</v>
      </c>
      <c r="M154" s="411"/>
      <c r="N154" s="411"/>
      <c r="P154" s="417"/>
    </row>
    <row r="155" spans="1:16" s="416" customFormat="1" ht="28" outlineLevel="2">
      <c r="A155" s="405" t="s">
        <v>8</v>
      </c>
      <c r="B155" s="430" t="s">
        <v>1183</v>
      </c>
      <c r="C155" s="397" t="s">
        <v>9</v>
      </c>
      <c r="D155" s="346"/>
      <c r="E155" s="398"/>
      <c r="F155" s="432"/>
      <c r="G155" s="398"/>
      <c r="H155" s="398"/>
      <c r="I155" s="399"/>
      <c r="J155" s="410" t="s">
        <v>18</v>
      </c>
      <c r="K155" s="410" t="s">
        <v>128</v>
      </c>
      <c r="L155" s="411" t="s">
        <v>112</v>
      </c>
      <c r="M155" s="411"/>
      <c r="N155" s="411"/>
      <c r="P155" s="417"/>
    </row>
    <row r="156" spans="1:16" s="416" customFormat="1" ht="14" outlineLevel="2">
      <c r="A156" s="405" t="s">
        <v>8</v>
      </c>
      <c r="B156" s="430" t="s">
        <v>530</v>
      </c>
      <c r="C156" s="397" t="s">
        <v>9</v>
      </c>
      <c r="D156" s="346">
        <v>1</v>
      </c>
      <c r="E156" s="398"/>
      <c r="F156" s="402">
        <v>140000</v>
      </c>
      <c r="G156" s="398">
        <f t="shared" si="53"/>
        <v>140000</v>
      </c>
      <c r="H156" s="398">
        <f t="shared" si="54"/>
        <v>0</v>
      </c>
      <c r="I156" s="399"/>
      <c r="J156" s="410" t="s">
        <v>18</v>
      </c>
      <c r="K156" s="410" t="s">
        <v>128</v>
      </c>
      <c r="L156" s="411" t="s">
        <v>112</v>
      </c>
      <c r="M156" s="411"/>
      <c r="N156" s="411"/>
      <c r="P156" s="417"/>
    </row>
    <row r="157" spans="1:16" s="416" customFormat="1" ht="14" outlineLevel="2">
      <c r="A157" s="405" t="s">
        <v>8</v>
      </c>
      <c r="B157" s="430" t="s">
        <v>529</v>
      </c>
      <c r="C157" s="397" t="s">
        <v>9</v>
      </c>
      <c r="D157" s="398"/>
      <c r="E157" s="398"/>
      <c r="F157" s="402"/>
      <c r="G157" s="398">
        <f t="shared" ref="G157" si="69">F157*D157</f>
        <v>0</v>
      </c>
      <c r="H157" s="398">
        <f t="shared" ref="H157" si="70">F157*E157</f>
        <v>0</v>
      </c>
      <c r="I157" s="399"/>
      <c r="J157" s="410" t="s">
        <v>18</v>
      </c>
      <c r="K157" s="410" t="s">
        <v>128</v>
      </c>
      <c r="L157" s="411" t="s">
        <v>112</v>
      </c>
      <c r="M157" s="411"/>
      <c r="N157" s="411"/>
      <c r="P157" s="417"/>
    </row>
    <row r="158" spans="1:16" s="416" customFormat="1" ht="14" outlineLevel="2">
      <c r="A158" s="388">
        <v>6</v>
      </c>
      <c r="B158" s="429" t="s">
        <v>430</v>
      </c>
      <c r="C158" s="390"/>
      <c r="D158" s="391"/>
      <c r="E158" s="391"/>
      <c r="F158" s="391"/>
      <c r="G158" s="391">
        <f t="shared" ref="G158:G159" si="71">F158*D158</f>
        <v>0</v>
      </c>
      <c r="H158" s="391">
        <f t="shared" ref="H158:H159" si="72">F158*E158</f>
        <v>0</v>
      </c>
      <c r="I158" s="392"/>
      <c r="J158" s="410" t="s">
        <v>18</v>
      </c>
      <c r="K158" s="410" t="s">
        <v>128</v>
      </c>
      <c r="L158" s="411" t="s">
        <v>112</v>
      </c>
      <c r="M158" s="411"/>
      <c r="N158" s="411"/>
      <c r="P158" s="417"/>
    </row>
    <row r="159" spans="1:16" s="416" customFormat="1" ht="14" outlineLevel="2">
      <c r="A159" s="405" t="s">
        <v>8</v>
      </c>
      <c r="B159" s="430" t="s">
        <v>531</v>
      </c>
      <c r="C159" s="397" t="s">
        <v>432</v>
      </c>
      <c r="D159" s="398">
        <v>1400</v>
      </c>
      <c r="E159" s="398"/>
      <c r="F159" s="440">
        <v>54</v>
      </c>
      <c r="G159" s="398">
        <f t="shared" si="71"/>
        <v>75600</v>
      </c>
      <c r="H159" s="398">
        <f t="shared" si="72"/>
        <v>0</v>
      </c>
      <c r="I159" s="399"/>
      <c r="J159" s="410" t="s">
        <v>18</v>
      </c>
      <c r="K159" s="410" t="s">
        <v>128</v>
      </c>
      <c r="L159" s="411" t="s">
        <v>112</v>
      </c>
      <c r="M159" s="411"/>
      <c r="N159" s="411"/>
      <c r="P159" s="417"/>
    </row>
    <row r="160" spans="1:16" s="416" customFormat="1" ht="14" outlineLevel="2">
      <c r="A160" s="405" t="s">
        <v>8</v>
      </c>
      <c r="B160" s="430" t="s">
        <v>532</v>
      </c>
      <c r="C160" s="397" t="s">
        <v>432</v>
      </c>
      <c r="D160" s="398"/>
      <c r="E160" s="398"/>
      <c r="F160" s="440"/>
      <c r="G160" s="398">
        <f t="shared" ref="G160:G161" si="73">F160*D160</f>
        <v>0</v>
      </c>
      <c r="H160" s="398">
        <f t="shared" ref="H160:H161" si="74">F160*E160</f>
        <v>0</v>
      </c>
      <c r="I160" s="399"/>
      <c r="J160" s="410" t="s">
        <v>18</v>
      </c>
      <c r="K160" s="410" t="s">
        <v>128</v>
      </c>
      <c r="L160" s="411" t="s">
        <v>112</v>
      </c>
      <c r="M160" s="411"/>
      <c r="N160" s="411"/>
      <c r="P160" s="417"/>
    </row>
    <row r="161" spans="1:16" s="416" customFormat="1" ht="14" outlineLevel="2">
      <c r="A161" s="405" t="s">
        <v>8</v>
      </c>
      <c r="B161" s="430" t="s">
        <v>533</v>
      </c>
      <c r="C161" s="397" t="s">
        <v>9</v>
      </c>
      <c r="D161" s="398"/>
      <c r="E161" s="398"/>
      <c r="F161" s="441"/>
      <c r="G161" s="398">
        <f t="shared" si="73"/>
        <v>0</v>
      </c>
      <c r="H161" s="398">
        <f t="shared" si="74"/>
        <v>0</v>
      </c>
      <c r="I161" s="399"/>
      <c r="J161" s="410" t="s">
        <v>18</v>
      </c>
      <c r="K161" s="410" t="s">
        <v>128</v>
      </c>
      <c r="L161" s="411" t="s">
        <v>112</v>
      </c>
      <c r="M161" s="411"/>
      <c r="N161" s="411"/>
      <c r="P161" s="417"/>
    </row>
    <row r="162" spans="1:16" s="416" customFormat="1" ht="14" outlineLevel="2">
      <c r="A162" s="388">
        <v>7</v>
      </c>
      <c r="B162" s="429" t="s">
        <v>1175</v>
      </c>
      <c r="C162" s="397" t="s">
        <v>262</v>
      </c>
      <c r="D162" s="398"/>
      <c r="E162" s="398"/>
      <c r="F162" s="398"/>
      <c r="G162" s="398">
        <f t="shared" si="53"/>
        <v>0</v>
      </c>
      <c r="H162" s="398">
        <f t="shared" si="54"/>
        <v>0</v>
      </c>
      <c r="I162" s="399"/>
      <c r="J162" s="410" t="s">
        <v>18</v>
      </c>
      <c r="K162" s="410" t="s">
        <v>128</v>
      </c>
      <c r="L162" s="411" t="s">
        <v>112</v>
      </c>
      <c r="M162" s="411"/>
      <c r="N162" s="411"/>
      <c r="P162" s="417"/>
    </row>
    <row r="163" spans="1:16" s="416" customFormat="1" ht="14" outlineLevel="2">
      <c r="A163" s="388">
        <v>8</v>
      </c>
      <c r="B163" s="429" t="s">
        <v>898</v>
      </c>
      <c r="C163" s="397" t="s">
        <v>262</v>
      </c>
      <c r="D163" s="398"/>
      <c r="E163" s="398"/>
      <c r="F163" s="398"/>
      <c r="G163" s="398">
        <f t="shared" si="53"/>
        <v>0</v>
      </c>
      <c r="H163" s="398">
        <f t="shared" si="54"/>
        <v>0</v>
      </c>
      <c r="I163" s="399"/>
      <c r="J163" s="410" t="s">
        <v>18</v>
      </c>
      <c r="K163" s="410" t="s">
        <v>128</v>
      </c>
      <c r="L163" s="411" t="s">
        <v>112</v>
      </c>
      <c r="M163" s="411"/>
      <c r="N163" s="411"/>
      <c r="P163" s="417"/>
    </row>
    <row r="164" spans="1:16" s="413" customFormat="1" ht="14" outlineLevel="1">
      <c r="A164" s="388" t="s">
        <v>12</v>
      </c>
      <c r="B164" s="350" t="s">
        <v>133</v>
      </c>
      <c r="C164" s="390"/>
      <c r="D164" s="391"/>
      <c r="E164" s="391"/>
      <c r="F164" s="391"/>
      <c r="G164" s="391">
        <f>SUBTOTAL(9,G165:G190)</f>
        <v>0</v>
      </c>
      <c r="H164" s="391">
        <f>SUBTOTAL(9,H186:H190)</f>
        <v>0</v>
      </c>
      <c r="I164" s="391"/>
      <c r="J164" s="410" t="s">
        <v>18</v>
      </c>
      <c r="K164" s="411"/>
      <c r="L164" s="411"/>
      <c r="M164" s="412"/>
      <c r="N164" s="412"/>
      <c r="P164" s="414"/>
    </row>
    <row r="165" spans="1:16" s="413" customFormat="1" ht="14" outlineLevel="1">
      <c r="A165" s="405">
        <v>1</v>
      </c>
      <c r="B165" s="442" t="s">
        <v>448</v>
      </c>
      <c r="C165" s="390"/>
      <c r="D165" s="391"/>
      <c r="E165" s="391"/>
      <c r="F165" s="391"/>
      <c r="G165" s="391"/>
      <c r="H165" s="391"/>
      <c r="I165" s="391"/>
      <c r="J165" s="410" t="s">
        <v>18</v>
      </c>
      <c r="K165" s="411"/>
      <c r="L165" s="411"/>
      <c r="M165" s="412"/>
      <c r="N165" s="412"/>
      <c r="P165" s="414"/>
    </row>
    <row r="166" spans="1:16" s="416" customFormat="1" ht="14" outlineLevel="2">
      <c r="A166" s="405" t="s">
        <v>8</v>
      </c>
      <c r="B166" s="430" t="s">
        <v>437</v>
      </c>
      <c r="C166" s="397" t="s">
        <v>9</v>
      </c>
      <c r="D166" s="346"/>
      <c r="E166" s="398"/>
      <c r="F166" s="402"/>
      <c r="G166" s="398">
        <f>F166*D166</f>
        <v>0</v>
      </c>
      <c r="H166" s="398">
        <f>F166*E166</f>
        <v>0</v>
      </c>
      <c r="I166" s="399"/>
      <c r="J166" s="410" t="s">
        <v>18</v>
      </c>
      <c r="K166" s="410" t="s">
        <v>145</v>
      </c>
      <c r="L166" s="411" t="s">
        <v>112</v>
      </c>
      <c r="N166" s="411"/>
      <c r="P166" s="433"/>
    </row>
    <row r="167" spans="1:16" s="416" customFormat="1" ht="14" outlineLevel="2">
      <c r="A167" s="405" t="s">
        <v>8</v>
      </c>
      <c r="B167" s="430" t="s">
        <v>436</v>
      </c>
      <c r="C167" s="397" t="s">
        <v>9</v>
      </c>
      <c r="D167" s="346"/>
      <c r="E167" s="398"/>
      <c r="F167" s="402"/>
      <c r="G167" s="398">
        <f>F167*D167</f>
        <v>0</v>
      </c>
      <c r="H167" s="398">
        <f>F167*E167</f>
        <v>0</v>
      </c>
      <c r="I167" s="399"/>
      <c r="J167" s="410" t="s">
        <v>18</v>
      </c>
      <c r="K167" s="410" t="s">
        <v>145</v>
      </c>
      <c r="L167" s="411" t="s">
        <v>112</v>
      </c>
      <c r="M167" s="411"/>
      <c r="N167" s="411"/>
      <c r="P167" s="417"/>
    </row>
    <row r="168" spans="1:16" s="413" customFormat="1" ht="14" outlineLevel="1">
      <c r="A168" s="405">
        <v>2</v>
      </c>
      <c r="B168" s="442" t="s">
        <v>1198</v>
      </c>
      <c r="C168" s="390"/>
      <c r="D168" s="391"/>
      <c r="E168" s="391"/>
      <c r="F168" s="391"/>
      <c r="G168" s="391"/>
      <c r="H168" s="391"/>
      <c r="I168" s="391"/>
      <c r="J168" s="410" t="s">
        <v>18</v>
      </c>
      <c r="K168" s="411"/>
      <c r="L168" s="411"/>
      <c r="M168" s="412"/>
      <c r="N168" s="412"/>
      <c r="P168" s="414"/>
    </row>
    <row r="169" spans="1:16" s="416" customFormat="1" ht="14" outlineLevel="2">
      <c r="A169" s="405" t="s">
        <v>8</v>
      </c>
      <c r="B169" s="430" t="s">
        <v>1199</v>
      </c>
      <c r="C169" s="397" t="s">
        <v>9</v>
      </c>
      <c r="D169" s="346"/>
      <c r="E169" s="398"/>
      <c r="F169" s="402"/>
      <c r="G169" s="398">
        <f>F169*D169</f>
        <v>0</v>
      </c>
      <c r="H169" s="398">
        <f>F169*E169</f>
        <v>0</v>
      </c>
      <c r="I169" s="399"/>
      <c r="J169" s="410" t="s">
        <v>18</v>
      </c>
      <c r="K169" s="410" t="s">
        <v>145</v>
      </c>
      <c r="L169" s="411" t="s">
        <v>112</v>
      </c>
      <c r="N169" s="411"/>
      <c r="P169" s="433"/>
    </row>
    <row r="170" spans="1:16" s="416" customFormat="1" ht="14" outlineLevel="2">
      <c r="A170" s="405" t="s">
        <v>8</v>
      </c>
      <c r="B170" s="430" t="s">
        <v>1200</v>
      </c>
      <c r="C170" s="397" t="s">
        <v>9</v>
      </c>
      <c r="D170" s="346"/>
      <c r="E170" s="398"/>
      <c r="F170" s="402"/>
      <c r="G170" s="398">
        <f>F170*D170</f>
        <v>0</v>
      </c>
      <c r="H170" s="398">
        <f>F170*E170</f>
        <v>0</v>
      </c>
      <c r="I170" s="399"/>
      <c r="J170" s="410" t="s">
        <v>18</v>
      </c>
      <c r="K170" s="410" t="s">
        <v>145</v>
      </c>
      <c r="L170" s="411" t="s">
        <v>112</v>
      </c>
      <c r="M170" s="411"/>
      <c r="N170" s="411"/>
      <c r="P170" s="417"/>
    </row>
    <row r="171" spans="1:16" s="413" customFormat="1" ht="14" outlineLevel="1">
      <c r="A171" s="405">
        <v>3</v>
      </c>
      <c r="B171" s="442" t="s">
        <v>1201</v>
      </c>
      <c r="C171" s="390"/>
      <c r="D171" s="391"/>
      <c r="E171" s="391"/>
      <c r="F171" s="391"/>
      <c r="G171" s="391"/>
      <c r="H171" s="391"/>
      <c r="I171" s="391"/>
      <c r="J171" s="410" t="s">
        <v>18</v>
      </c>
      <c r="K171" s="411"/>
      <c r="L171" s="411"/>
      <c r="M171" s="412"/>
      <c r="N171" s="412"/>
      <c r="P171" s="414"/>
    </row>
    <row r="172" spans="1:16" s="416" customFormat="1" ht="14" outlineLevel="2">
      <c r="A172" s="405" t="s">
        <v>8</v>
      </c>
      <c r="B172" s="430" t="s">
        <v>1202</v>
      </c>
      <c r="C172" s="397" t="s">
        <v>9</v>
      </c>
      <c r="D172" s="346"/>
      <c r="E172" s="398"/>
      <c r="F172" s="402"/>
      <c r="G172" s="398">
        <f>F172*D172</f>
        <v>0</v>
      </c>
      <c r="H172" s="398">
        <f>F172*E172</f>
        <v>0</v>
      </c>
      <c r="I172" s="399"/>
      <c r="J172" s="410" t="s">
        <v>18</v>
      </c>
      <c r="K172" s="410" t="s">
        <v>145</v>
      </c>
      <c r="L172" s="411" t="s">
        <v>112</v>
      </c>
      <c r="N172" s="411"/>
      <c r="P172" s="433"/>
    </row>
    <row r="173" spans="1:16" s="416" customFormat="1" ht="14" outlineLevel="2">
      <c r="A173" s="405" t="s">
        <v>8</v>
      </c>
      <c r="B173" s="430" t="s">
        <v>1203</v>
      </c>
      <c r="C173" s="397" t="s">
        <v>9</v>
      </c>
      <c r="D173" s="346"/>
      <c r="E173" s="398"/>
      <c r="F173" s="402"/>
      <c r="G173" s="398">
        <f>F173*D173</f>
        <v>0</v>
      </c>
      <c r="H173" s="398">
        <f>F173*E173</f>
        <v>0</v>
      </c>
      <c r="I173" s="399"/>
      <c r="J173" s="410" t="s">
        <v>18</v>
      </c>
      <c r="K173" s="410" t="s">
        <v>145</v>
      </c>
      <c r="L173" s="411" t="s">
        <v>112</v>
      </c>
      <c r="M173" s="411"/>
      <c r="N173" s="411"/>
      <c r="P173" s="417"/>
    </row>
    <row r="174" spans="1:16" s="413" customFormat="1" ht="14" outlineLevel="1">
      <c r="A174" s="405">
        <v>4</v>
      </c>
      <c r="B174" s="442" t="s">
        <v>1204</v>
      </c>
      <c r="C174" s="390"/>
      <c r="D174" s="391"/>
      <c r="E174" s="391"/>
      <c r="F174" s="391"/>
      <c r="G174" s="391"/>
      <c r="H174" s="391"/>
      <c r="I174" s="391"/>
      <c r="J174" s="410" t="s">
        <v>18</v>
      </c>
      <c r="K174" s="411"/>
      <c r="L174" s="411"/>
      <c r="M174" s="412"/>
      <c r="N174" s="412"/>
      <c r="P174" s="414"/>
    </row>
    <row r="175" spans="1:16" s="416" customFormat="1" ht="14" outlineLevel="2">
      <c r="A175" s="405" t="s">
        <v>8</v>
      </c>
      <c r="B175" s="430" t="s">
        <v>1205</v>
      </c>
      <c r="C175" s="397" t="s">
        <v>9</v>
      </c>
      <c r="D175" s="346"/>
      <c r="E175" s="398"/>
      <c r="F175" s="402"/>
      <c r="G175" s="398">
        <f>F175*D175</f>
        <v>0</v>
      </c>
      <c r="H175" s="398">
        <f>F175*E175</f>
        <v>0</v>
      </c>
      <c r="I175" s="399"/>
      <c r="J175" s="410" t="s">
        <v>18</v>
      </c>
      <c r="K175" s="410" t="s">
        <v>145</v>
      </c>
      <c r="L175" s="411" t="s">
        <v>112</v>
      </c>
      <c r="N175" s="411"/>
      <c r="P175" s="433"/>
    </row>
    <row r="176" spans="1:16" s="416" customFormat="1" ht="14" outlineLevel="2">
      <c r="A176" s="405" t="s">
        <v>8</v>
      </c>
      <c r="B176" s="430" t="s">
        <v>1206</v>
      </c>
      <c r="C176" s="397" t="s">
        <v>9</v>
      </c>
      <c r="D176" s="346"/>
      <c r="E176" s="398"/>
      <c r="F176" s="402"/>
      <c r="G176" s="398">
        <f>F176*D176</f>
        <v>0</v>
      </c>
      <c r="H176" s="398">
        <f>F176*E176</f>
        <v>0</v>
      </c>
      <c r="I176" s="399"/>
      <c r="J176" s="410" t="s">
        <v>18</v>
      </c>
      <c r="K176" s="410" t="s">
        <v>145</v>
      </c>
      <c r="L176" s="411" t="s">
        <v>112</v>
      </c>
      <c r="M176" s="411"/>
      <c r="N176" s="411"/>
      <c r="P176" s="417"/>
    </row>
    <row r="177" spans="1:16" s="416" customFormat="1" ht="14" outlineLevel="2">
      <c r="A177" s="388">
        <v>5</v>
      </c>
      <c r="B177" s="429" t="s">
        <v>534</v>
      </c>
      <c r="C177" s="397" t="s">
        <v>9</v>
      </c>
      <c r="D177" s="398"/>
      <c r="E177" s="398"/>
      <c r="F177" s="441"/>
      <c r="G177" s="398">
        <f t="shared" ref="G177:G178" si="75">F177*D177</f>
        <v>0</v>
      </c>
      <c r="H177" s="398">
        <f t="shared" ref="H177:H178" si="76">F177*E177</f>
        <v>0</v>
      </c>
      <c r="I177" s="399"/>
      <c r="J177" s="410" t="s">
        <v>18</v>
      </c>
      <c r="K177" s="410"/>
      <c r="L177" s="411"/>
      <c r="M177" s="411"/>
      <c r="N177" s="411"/>
      <c r="P177" s="417"/>
    </row>
    <row r="178" spans="1:16" s="416" customFormat="1" ht="14" outlineLevel="2">
      <c r="A178" s="405" t="s">
        <v>8</v>
      </c>
      <c r="B178" s="430" t="s">
        <v>535</v>
      </c>
      <c r="C178" s="397" t="s">
        <v>9</v>
      </c>
      <c r="D178" s="398"/>
      <c r="E178" s="398"/>
      <c r="F178" s="441"/>
      <c r="G178" s="398">
        <f t="shared" si="75"/>
        <v>0</v>
      </c>
      <c r="H178" s="398">
        <f t="shared" si="76"/>
        <v>0</v>
      </c>
      <c r="I178" s="399"/>
      <c r="J178" s="410" t="s">
        <v>18</v>
      </c>
      <c r="K178" s="410" t="s">
        <v>145</v>
      </c>
      <c r="L178" s="411" t="s">
        <v>112</v>
      </c>
      <c r="M178" s="411"/>
      <c r="N178" s="411"/>
      <c r="P178" s="417"/>
    </row>
    <row r="179" spans="1:16" s="416" customFormat="1" ht="14" outlineLevel="2">
      <c r="A179" s="405" t="s">
        <v>8</v>
      </c>
      <c r="B179" s="430" t="s">
        <v>535</v>
      </c>
      <c r="C179" s="397" t="s">
        <v>9</v>
      </c>
      <c r="D179" s="398"/>
      <c r="E179" s="398"/>
      <c r="F179" s="441"/>
      <c r="G179" s="398">
        <f t="shared" ref="G179" si="77">F179*D179</f>
        <v>0</v>
      </c>
      <c r="H179" s="398">
        <f t="shared" ref="H179" si="78">F179*E179</f>
        <v>0</v>
      </c>
      <c r="I179" s="399"/>
      <c r="J179" s="410" t="s">
        <v>18</v>
      </c>
      <c r="K179" s="410" t="s">
        <v>145</v>
      </c>
      <c r="L179" s="411" t="s">
        <v>112</v>
      </c>
      <c r="M179" s="411"/>
      <c r="N179" s="411"/>
      <c r="P179" s="417"/>
    </row>
    <row r="180" spans="1:16" s="416" customFormat="1" ht="14" outlineLevel="2">
      <c r="A180" s="388">
        <v>6</v>
      </c>
      <c r="B180" s="350" t="s">
        <v>449</v>
      </c>
      <c r="C180" s="397"/>
      <c r="D180" s="398"/>
      <c r="E180" s="398"/>
      <c r="F180" s="402"/>
      <c r="G180" s="398"/>
      <c r="H180" s="398"/>
      <c r="I180" s="399"/>
      <c r="J180" s="410" t="s">
        <v>18</v>
      </c>
      <c r="K180" s="410"/>
      <c r="L180" s="411"/>
      <c r="M180" s="411"/>
      <c r="N180" s="411"/>
      <c r="P180" s="417"/>
    </row>
    <row r="181" spans="1:16" s="416" customFormat="1" ht="14" outlineLevel="2">
      <c r="A181" s="405" t="s">
        <v>8</v>
      </c>
      <c r="B181" s="430" t="s">
        <v>441</v>
      </c>
      <c r="C181" s="397" t="s">
        <v>446</v>
      </c>
      <c r="D181" s="346"/>
      <c r="E181" s="398"/>
      <c r="F181" s="439"/>
      <c r="G181" s="398">
        <f t="shared" ref="G181:G185" si="79">F181*D181</f>
        <v>0</v>
      </c>
      <c r="H181" s="398">
        <f t="shared" ref="H181:H185" si="80">F181*E181</f>
        <v>0</v>
      </c>
      <c r="I181" s="399"/>
      <c r="J181" s="410" t="s">
        <v>18</v>
      </c>
      <c r="K181" s="410" t="s">
        <v>145</v>
      </c>
      <c r="L181" s="411" t="s">
        <v>112</v>
      </c>
      <c r="N181" s="411"/>
      <c r="P181" s="738"/>
    </row>
    <row r="182" spans="1:16" s="416" customFormat="1" ht="14" outlineLevel="2">
      <c r="A182" s="405" t="s">
        <v>8</v>
      </c>
      <c r="B182" s="430" t="s">
        <v>442</v>
      </c>
      <c r="C182" s="397" t="s">
        <v>446</v>
      </c>
      <c r="D182" s="346"/>
      <c r="E182" s="398"/>
      <c r="F182" s="439"/>
      <c r="G182" s="398">
        <f t="shared" si="79"/>
        <v>0</v>
      </c>
      <c r="H182" s="398">
        <f t="shared" si="80"/>
        <v>0</v>
      </c>
      <c r="I182" s="399"/>
      <c r="J182" s="410" t="s">
        <v>18</v>
      </c>
      <c r="K182" s="410" t="s">
        <v>145</v>
      </c>
      <c r="L182" s="411" t="s">
        <v>112</v>
      </c>
      <c r="N182" s="411"/>
      <c r="P182" s="739"/>
    </row>
    <row r="183" spans="1:16" s="416" customFormat="1" ht="14" outlineLevel="2">
      <c r="A183" s="405" t="s">
        <v>8</v>
      </c>
      <c r="B183" s="430" t="s">
        <v>443</v>
      </c>
      <c r="C183" s="397" t="s">
        <v>447</v>
      </c>
      <c r="D183" s="346"/>
      <c r="E183" s="398"/>
      <c r="F183" s="439"/>
      <c r="G183" s="398">
        <f t="shared" si="79"/>
        <v>0</v>
      </c>
      <c r="H183" s="398">
        <f t="shared" si="80"/>
        <v>0</v>
      </c>
      <c r="I183" s="399"/>
      <c r="J183" s="410" t="s">
        <v>18</v>
      </c>
      <c r="K183" s="410" t="s">
        <v>145</v>
      </c>
      <c r="L183" s="411" t="s">
        <v>112</v>
      </c>
      <c r="N183" s="411"/>
      <c r="P183" s="739"/>
    </row>
    <row r="184" spans="1:16" s="416" customFormat="1" ht="14" outlineLevel="2">
      <c r="A184" s="405" t="s">
        <v>8</v>
      </c>
      <c r="B184" s="430" t="s">
        <v>444</v>
      </c>
      <c r="C184" s="397" t="s">
        <v>447</v>
      </c>
      <c r="D184" s="346"/>
      <c r="E184" s="398"/>
      <c r="F184" s="439"/>
      <c r="G184" s="398">
        <f t="shared" si="79"/>
        <v>0</v>
      </c>
      <c r="H184" s="398">
        <f t="shared" si="80"/>
        <v>0</v>
      </c>
      <c r="I184" s="399"/>
      <c r="J184" s="410" t="s">
        <v>18</v>
      </c>
      <c r="K184" s="410" t="s">
        <v>145</v>
      </c>
      <c r="L184" s="411" t="s">
        <v>112</v>
      </c>
      <c r="N184" s="411"/>
      <c r="P184" s="739"/>
    </row>
    <row r="185" spans="1:16" s="416" customFormat="1" ht="14" outlineLevel="2">
      <c r="A185" s="405" t="s">
        <v>8</v>
      </c>
      <c r="B185" s="430" t="s">
        <v>445</v>
      </c>
      <c r="C185" s="397" t="s">
        <v>9</v>
      </c>
      <c r="D185" s="346"/>
      <c r="E185" s="398"/>
      <c r="F185" s="402"/>
      <c r="G185" s="398">
        <f t="shared" si="79"/>
        <v>0</v>
      </c>
      <c r="H185" s="398">
        <f t="shared" si="80"/>
        <v>0</v>
      </c>
      <c r="I185" s="399"/>
      <c r="J185" s="410" t="s">
        <v>18</v>
      </c>
      <c r="K185" s="410" t="s">
        <v>145</v>
      </c>
      <c r="L185" s="411" t="s">
        <v>112</v>
      </c>
      <c r="N185" s="411"/>
      <c r="P185" s="739"/>
    </row>
    <row r="186" spans="1:16" s="416" customFormat="1" ht="13" customHeight="1" outlineLevel="2">
      <c r="A186" s="388">
        <v>7</v>
      </c>
      <c r="B186" s="350" t="s">
        <v>1176</v>
      </c>
      <c r="C186" s="397" t="s">
        <v>9</v>
      </c>
      <c r="D186" s="398"/>
      <c r="E186" s="398"/>
      <c r="F186" s="398"/>
      <c r="G186" s="398">
        <f t="shared" ref="G186:G190" si="81">F186*D186</f>
        <v>0</v>
      </c>
      <c r="H186" s="398">
        <f t="shared" ref="H186:H190" si="82">F186*E186</f>
        <v>0</v>
      </c>
      <c r="I186" s="399"/>
      <c r="J186" s="410" t="s">
        <v>18</v>
      </c>
      <c r="K186" s="411" t="s">
        <v>93</v>
      </c>
      <c r="L186" s="411" t="s">
        <v>112</v>
      </c>
      <c r="M186" s="411"/>
      <c r="N186" s="411"/>
      <c r="P186" s="417"/>
    </row>
    <row r="187" spans="1:16" s="416" customFormat="1" ht="13" customHeight="1" outlineLevel="2">
      <c r="A187" s="405" t="s">
        <v>8</v>
      </c>
      <c r="B187" s="430" t="s">
        <v>1177</v>
      </c>
      <c r="C187" s="397" t="s">
        <v>9</v>
      </c>
      <c r="D187" s="398"/>
      <c r="E187" s="398"/>
      <c r="F187" s="441"/>
      <c r="G187" s="398">
        <f t="shared" si="81"/>
        <v>0</v>
      </c>
      <c r="H187" s="398">
        <f t="shared" si="82"/>
        <v>0</v>
      </c>
      <c r="I187" s="399"/>
      <c r="J187" s="410" t="s">
        <v>18</v>
      </c>
      <c r="K187" s="410" t="s">
        <v>128</v>
      </c>
      <c r="L187" s="411" t="s">
        <v>112</v>
      </c>
      <c r="M187" s="411"/>
      <c r="N187" s="411"/>
      <c r="P187" s="740"/>
    </row>
    <row r="188" spans="1:16" s="416" customFormat="1" ht="13" customHeight="1" outlineLevel="2">
      <c r="A188" s="405" t="s">
        <v>8</v>
      </c>
      <c r="B188" s="430" t="s">
        <v>1178</v>
      </c>
      <c r="C188" s="397" t="s">
        <v>9</v>
      </c>
      <c r="D188" s="398"/>
      <c r="E188" s="398"/>
      <c r="F188" s="441"/>
      <c r="G188" s="398">
        <f t="shared" si="81"/>
        <v>0</v>
      </c>
      <c r="H188" s="398">
        <f t="shared" si="82"/>
        <v>0</v>
      </c>
      <c r="I188" s="399"/>
      <c r="J188" s="410" t="s">
        <v>18</v>
      </c>
      <c r="K188" s="410" t="s">
        <v>128</v>
      </c>
      <c r="L188" s="411" t="s">
        <v>112</v>
      </c>
      <c r="M188" s="411"/>
      <c r="N188" s="411"/>
      <c r="P188" s="741"/>
    </row>
    <row r="189" spans="1:16" s="416" customFormat="1" ht="14" outlineLevel="2">
      <c r="A189" s="405" t="s">
        <v>8</v>
      </c>
      <c r="B189" s="430" t="s">
        <v>1179</v>
      </c>
      <c r="C189" s="397" t="s">
        <v>9</v>
      </c>
      <c r="D189" s="398"/>
      <c r="E189" s="398"/>
      <c r="F189" s="441"/>
      <c r="G189" s="398">
        <f t="shared" si="81"/>
        <v>0</v>
      </c>
      <c r="H189" s="398">
        <f t="shared" si="82"/>
        <v>0</v>
      </c>
      <c r="I189" s="399"/>
      <c r="J189" s="410" t="s">
        <v>18</v>
      </c>
      <c r="K189" s="410" t="s">
        <v>128</v>
      </c>
      <c r="L189" s="411" t="s">
        <v>112</v>
      </c>
      <c r="M189" s="411"/>
      <c r="N189" s="411"/>
      <c r="P189" s="742"/>
    </row>
    <row r="190" spans="1:16" s="416" customFormat="1" ht="14" outlineLevel="2">
      <c r="A190" s="388">
        <v>8</v>
      </c>
      <c r="B190" s="350" t="s">
        <v>264</v>
      </c>
      <c r="C190" s="397" t="s">
        <v>9</v>
      </c>
      <c r="D190" s="398"/>
      <c r="E190" s="398"/>
      <c r="F190" s="398"/>
      <c r="G190" s="398">
        <f t="shared" si="81"/>
        <v>0</v>
      </c>
      <c r="H190" s="398">
        <f t="shared" si="82"/>
        <v>0</v>
      </c>
      <c r="I190" s="399"/>
      <c r="J190" s="410" t="s">
        <v>18</v>
      </c>
      <c r="K190" s="411" t="s">
        <v>145</v>
      </c>
      <c r="L190" s="411" t="s">
        <v>112</v>
      </c>
      <c r="M190" s="411"/>
      <c r="N190" s="411"/>
      <c r="P190" s="417"/>
    </row>
    <row r="191" spans="1:16" s="413" customFormat="1" ht="14" outlineLevel="1">
      <c r="A191" s="388" t="s">
        <v>19</v>
      </c>
      <c r="B191" s="350" t="s">
        <v>401</v>
      </c>
      <c r="C191" s="390"/>
      <c r="D191" s="391"/>
      <c r="E191" s="391"/>
      <c r="F191" s="391"/>
      <c r="G191" s="391">
        <f>SUBTOTAL(9,G192:G193)</f>
        <v>100000</v>
      </c>
      <c r="H191" s="391">
        <f>SUBTOTAL(9,H192:H193)</f>
        <v>100000</v>
      </c>
      <c r="I191" s="391"/>
      <c r="J191" s="410"/>
      <c r="K191" s="411"/>
      <c r="L191" s="411"/>
      <c r="M191" s="412"/>
      <c r="N191" s="412"/>
      <c r="P191" s="414"/>
    </row>
    <row r="192" spans="1:16" s="416" customFormat="1" ht="14" outlineLevel="2">
      <c r="A192" s="405">
        <v>1</v>
      </c>
      <c r="B192" s="415" t="s">
        <v>431</v>
      </c>
      <c r="C192" s="397" t="s">
        <v>9</v>
      </c>
      <c r="D192" s="398">
        <v>1</v>
      </c>
      <c r="E192" s="398">
        <v>1</v>
      </c>
      <c r="F192" s="398">
        <v>100000</v>
      </c>
      <c r="G192" s="398">
        <f t="shared" ref="G192:G193" si="83">F192*D192</f>
        <v>100000</v>
      </c>
      <c r="H192" s="398">
        <f t="shared" ref="H192:H193" si="84">F192*E192</f>
        <v>100000</v>
      </c>
      <c r="I192" s="399"/>
      <c r="J192" s="410" t="s">
        <v>18</v>
      </c>
      <c r="K192" s="411" t="s">
        <v>402</v>
      </c>
      <c r="L192" s="411" t="s">
        <v>112</v>
      </c>
      <c r="M192" s="411"/>
      <c r="N192" s="411"/>
      <c r="P192" s="417"/>
    </row>
    <row r="193" spans="1:16" s="416" customFormat="1" ht="14" outlineLevel="2">
      <c r="A193" s="405">
        <v>2</v>
      </c>
      <c r="B193" s="415"/>
      <c r="C193" s="397" t="s">
        <v>263</v>
      </c>
      <c r="D193" s="398"/>
      <c r="E193" s="398"/>
      <c r="F193" s="398"/>
      <c r="G193" s="398">
        <f t="shared" si="83"/>
        <v>0</v>
      </c>
      <c r="H193" s="398">
        <f t="shared" si="84"/>
        <v>0</v>
      </c>
      <c r="I193" s="399"/>
      <c r="J193" s="410" t="s">
        <v>18</v>
      </c>
      <c r="K193" s="411" t="s">
        <v>402</v>
      </c>
      <c r="L193" s="411" t="s">
        <v>112</v>
      </c>
      <c r="M193" s="411"/>
      <c r="N193" s="411"/>
      <c r="P193" s="417"/>
    </row>
    <row r="194" spans="1:16" s="413" customFormat="1" ht="14" outlineLevel="1">
      <c r="A194" s="388" t="s">
        <v>26</v>
      </c>
      <c r="B194" s="350" t="s">
        <v>154</v>
      </c>
      <c r="C194" s="390"/>
      <c r="D194" s="391"/>
      <c r="E194" s="391"/>
      <c r="F194" s="391"/>
      <c r="G194" s="391">
        <f>SUBTOTAL(9,G196:G250)</f>
        <v>741961.92</v>
      </c>
      <c r="H194" s="391">
        <f>SUBTOTAL(9,H196:H250)</f>
        <v>871040</v>
      </c>
      <c r="I194" s="392"/>
      <c r="J194" s="410"/>
      <c r="K194" s="411"/>
      <c r="L194" s="411"/>
      <c r="M194" s="412"/>
      <c r="N194" s="412"/>
      <c r="P194" s="414"/>
    </row>
    <row r="195" spans="1:16" s="416" customFormat="1" ht="14" outlineLevel="2">
      <c r="A195" s="405">
        <v>1</v>
      </c>
      <c r="B195" s="430" t="s">
        <v>421</v>
      </c>
      <c r="C195" s="397"/>
      <c r="D195" s="398"/>
      <c r="E195" s="398"/>
      <c r="F195" s="398"/>
      <c r="G195" s="398">
        <f t="shared" ref="G195" si="85">F195*D195</f>
        <v>0</v>
      </c>
      <c r="H195" s="398">
        <f t="shared" ref="H195" si="86">F195*E195</f>
        <v>0</v>
      </c>
      <c r="I195" s="399"/>
      <c r="J195" s="410" t="s">
        <v>18</v>
      </c>
      <c r="K195" s="410" t="s">
        <v>145</v>
      </c>
      <c r="L195" s="411" t="s">
        <v>112</v>
      </c>
      <c r="M195" s="411"/>
      <c r="N195" s="411"/>
      <c r="P195" s="417"/>
    </row>
    <row r="196" spans="1:16" s="413" customFormat="1" ht="14" outlineLevel="1">
      <c r="A196" s="405" t="s">
        <v>8</v>
      </c>
      <c r="B196" s="430" t="s">
        <v>549</v>
      </c>
      <c r="C196" s="397" t="s">
        <v>484</v>
      </c>
      <c r="D196" s="398"/>
      <c r="E196" s="398"/>
      <c r="F196" s="443"/>
      <c r="G196" s="398">
        <f t="shared" ref="G196:G202" si="87">F196*D196</f>
        <v>0</v>
      </c>
      <c r="H196" s="398">
        <f t="shared" ref="H196:H202" si="88">F196*E196</f>
        <v>0</v>
      </c>
      <c r="I196" s="399"/>
      <c r="J196" s="410" t="s">
        <v>18</v>
      </c>
      <c r="K196" s="411" t="s">
        <v>145</v>
      </c>
      <c r="L196" s="411" t="s">
        <v>112</v>
      </c>
      <c r="M196" s="412"/>
      <c r="N196" s="412"/>
      <c r="P196" s="414"/>
    </row>
    <row r="197" spans="1:16" s="416" customFormat="1" ht="14" outlineLevel="2">
      <c r="A197" s="405" t="s">
        <v>8</v>
      </c>
      <c r="B197" s="430" t="s">
        <v>550</v>
      </c>
      <c r="C197" s="397" t="s">
        <v>484</v>
      </c>
      <c r="D197" s="398"/>
      <c r="E197" s="398"/>
      <c r="F197" s="443"/>
      <c r="G197" s="398">
        <f t="shared" si="87"/>
        <v>0</v>
      </c>
      <c r="H197" s="398">
        <f t="shared" si="88"/>
        <v>0</v>
      </c>
      <c r="I197" s="399"/>
      <c r="J197" s="410" t="s">
        <v>18</v>
      </c>
      <c r="K197" s="411" t="s">
        <v>145</v>
      </c>
      <c r="L197" s="411" t="s">
        <v>112</v>
      </c>
      <c r="M197" s="411"/>
      <c r="N197" s="411"/>
      <c r="P197" s="417"/>
    </row>
    <row r="198" spans="1:16" s="416" customFormat="1" ht="14" outlineLevel="2">
      <c r="A198" s="405" t="s">
        <v>8</v>
      </c>
      <c r="B198" s="430" t="s">
        <v>492</v>
      </c>
      <c r="C198" s="397" t="s">
        <v>46</v>
      </c>
      <c r="D198" s="398">
        <v>835344</v>
      </c>
      <c r="E198" s="398"/>
      <c r="F198" s="443">
        <v>0.18</v>
      </c>
      <c r="G198" s="398">
        <f t="shared" si="87"/>
        <v>150361.91999999998</v>
      </c>
      <c r="H198" s="398">
        <f t="shared" si="88"/>
        <v>0</v>
      </c>
      <c r="I198" s="399"/>
      <c r="J198" s="410" t="s">
        <v>18</v>
      </c>
      <c r="K198" s="411" t="s">
        <v>145</v>
      </c>
      <c r="L198" s="411" t="s">
        <v>112</v>
      </c>
      <c r="M198" s="411"/>
      <c r="N198" s="411"/>
      <c r="P198" s="417"/>
    </row>
    <row r="199" spans="1:16" s="416" customFormat="1" ht="14" outlineLevel="2">
      <c r="A199" s="405" t="s">
        <v>8</v>
      </c>
      <c r="B199" s="430" t="s">
        <v>493</v>
      </c>
      <c r="C199" s="397" t="s">
        <v>46</v>
      </c>
      <c r="D199" s="398">
        <v>1072000</v>
      </c>
      <c r="E199" s="398"/>
      <c r="F199" s="444">
        <v>0.30000000000000004</v>
      </c>
      <c r="G199" s="398">
        <f t="shared" si="87"/>
        <v>321600.00000000006</v>
      </c>
      <c r="H199" s="398">
        <f t="shared" si="88"/>
        <v>0</v>
      </c>
      <c r="I199" s="399"/>
      <c r="J199" s="410" t="s">
        <v>18</v>
      </c>
      <c r="K199" s="411" t="s">
        <v>145</v>
      </c>
      <c r="L199" s="411" t="s">
        <v>112</v>
      </c>
      <c r="M199" s="411"/>
      <c r="N199" s="411"/>
      <c r="P199" s="417"/>
    </row>
    <row r="200" spans="1:16" s="416" customFormat="1" ht="14" outlineLevel="2">
      <c r="A200" s="405" t="s">
        <v>8</v>
      </c>
      <c r="B200" s="445" t="s">
        <v>544</v>
      </c>
      <c r="C200" s="397" t="s">
        <v>9</v>
      </c>
      <c r="D200" s="398">
        <v>1</v>
      </c>
      <c r="E200" s="398"/>
      <c r="F200" s="398">
        <v>160000</v>
      </c>
      <c r="G200" s="398">
        <f t="shared" si="87"/>
        <v>160000</v>
      </c>
      <c r="H200" s="398">
        <f t="shared" si="88"/>
        <v>0</v>
      </c>
      <c r="I200" s="399"/>
      <c r="J200" s="410" t="s">
        <v>18</v>
      </c>
      <c r="K200" s="411" t="s">
        <v>145</v>
      </c>
      <c r="L200" s="411" t="s">
        <v>112</v>
      </c>
      <c r="M200" s="411"/>
      <c r="N200" s="411"/>
      <c r="P200" s="417"/>
    </row>
    <row r="201" spans="1:16" s="416" customFormat="1" ht="14" outlineLevel="2">
      <c r="A201" s="405" t="s">
        <v>8</v>
      </c>
      <c r="B201" s="445" t="s">
        <v>491</v>
      </c>
      <c r="C201" s="397" t="s">
        <v>9</v>
      </c>
      <c r="D201" s="398">
        <v>1</v>
      </c>
      <c r="E201" s="398"/>
      <c r="F201" s="398">
        <v>110000</v>
      </c>
      <c r="G201" s="398">
        <f t="shared" si="87"/>
        <v>110000</v>
      </c>
      <c r="H201" s="398">
        <f>F201*E201</f>
        <v>0</v>
      </c>
      <c r="I201" s="399"/>
      <c r="J201" s="410" t="s">
        <v>18</v>
      </c>
      <c r="K201" s="411" t="s">
        <v>145</v>
      </c>
      <c r="L201" s="411" t="s">
        <v>112</v>
      </c>
      <c r="M201" s="411"/>
      <c r="N201" s="411"/>
      <c r="P201" s="417"/>
    </row>
    <row r="202" spans="1:16" s="416" customFormat="1" ht="14" outlineLevel="2">
      <c r="A202" s="405">
        <v>2</v>
      </c>
      <c r="B202" s="430" t="s">
        <v>429</v>
      </c>
      <c r="C202" s="397" t="s">
        <v>44</v>
      </c>
      <c r="D202" s="398"/>
      <c r="E202" s="398"/>
      <c r="F202" s="398"/>
      <c r="G202" s="398">
        <f t="shared" si="87"/>
        <v>0</v>
      </c>
      <c r="H202" s="398">
        <f t="shared" si="88"/>
        <v>0</v>
      </c>
      <c r="I202" s="399"/>
      <c r="J202" s="410" t="s">
        <v>18</v>
      </c>
      <c r="K202" s="411" t="s">
        <v>145</v>
      </c>
      <c r="L202" s="411" t="s">
        <v>112</v>
      </c>
      <c r="N202" s="411"/>
      <c r="P202" s="433"/>
    </row>
    <row r="203" spans="1:16" s="413" customFormat="1" ht="14" outlineLevel="1">
      <c r="A203" s="405" t="s">
        <v>8</v>
      </c>
      <c r="B203" s="437" t="s">
        <v>452</v>
      </c>
      <c r="C203" s="397" t="s">
        <v>46</v>
      </c>
      <c r="D203" s="346"/>
      <c r="E203" s="398"/>
      <c r="F203" s="443"/>
      <c r="G203" s="398">
        <f t="shared" ref="G203" si="89">F203*D203</f>
        <v>0</v>
      </c>
      <c r="H203" s="398">
        <f t="shared" ref="H203" si="90">F203*E203</f>
        <v>0</v>
      </c>
      <c r="I203" s="399"/>
      <c r="J203" s="410" t="s">
        <v>18</v>
      </c>
      <c r="K203" s="411" t="s">
        <v>145</v>
      </c>
      <c r="L203" s="411" t="s">
        <v>112</v>
      </c>
      <c r="N203" s="412"/>
      <c r="P203" s="737"/>
    </row>
    <row r="204" spans="1:16" s="413" customFormat="1" ht="14" outlineLevel="1">
      <c r="A204" s="405" t="s">
        <v>8</v>
      </c>
      <c r="B204" s="437" t="s">
        <v>1211</v>
      </c>
      <c r="C204" s="397" t="s">
        <v>1191</v>
      </c>
      <c r="D204" s="346"/>
      <c r="E204" s="398"/>
      <c r="F204" s="443"/>
      <c r="G204" s="398">
        <f t="shared" ref="G204:G205" si="91">F204*D204</f>
        <v>0</v>
      </c>
      <c r="H204" s="398">
        <f t="shared" ref="H204:H205" si="92">F204*E204</f>
        <v>0</v>
      </c>
      <c r="I204" s="399"/>
      <c r="J204" s="410" t="s">
        <v>18</v>
      </c>
      <c r="K204" s="411" t="s">
        <v>145</v>
      </c>
      <c r="L204" s="411" t="s">
        <v>112</v>
      </c>
      <c r="N204" s="412"/>
      <c r="P204" s="737"/>
    </row>
    <row r="205" spans="1:16" s="413" customFormat="1" ht="14" outlineLevel="1">
      <c r="A205" s="405" t="s">
        <v>8</v>
      </c>
      <c r="B205" s="437" t="s">
        <v>1212</v>
      </c>
      <c r="C205" s="397" t="s">
        <v>44</v>
      </c>
      <c r="D205" s="346"/>
      <c r="E205" s="398"/>
      <c r="F205" s="443"/>
      <c r="G205" s="398">
        <f t="shared" si="91"/>
        <v>0</v>
      </c>
      <c r="H205" s="398">
        <f t="shared" si="92"/>
        <v>0</v>
      </c>
      <c r="I205" s="399"/>
      <c r="J205" s="410" t="s">
        <v>18</v>
      </c>
      <c r="K205" s="411" t="s">
        <v>145</v>
      </c>
      <c r="L205" s="411" t="s">
        <v>112</v>
      </c>
      <c r="N205" s="412"/>
      <c r="P205" s="737"/>
    </row>
    <row r="206" spans="1:16" s="413" customFormat="1" ht="14" outlineLevel="1">
      <c r="A206" s="405" t="s">
        <v>8</v>
      </c>
      <c r="B206" s="437" t="s">
        <v>583</v>
      </c>
      <c r="C206" s="397" t="s">
        <v>46</v>
      </c>
      <c r="D206" s="346"/>
      <c r="E206" s="398"/>
      <c r="F206" s="443"/>
      <c r="G206" s="398">
        <f t="shared" ref="G206" si="93">F206*D206</f>
        <v>0</v>
      </c>
      <c r="H206" s="398">
        <f t="shared" ref="H206" si="94">F206*E206</f>
        <v>0</v>
      </c>
      <c r="I206" s="399"/>
      <c r="J206" s="410" t="s">
        <v>18</v>
      </c>
      <c r="K206" s="411" t="s">
        <v>145</v>
      </c>
      <c r="L206" s="411" t="s">
        <v>112</v>
      </c>
      <c r="N206" s="412"/>
      <c r="P206" s="737"/>
    </row>
    <row r="207" spans="1:16" s="413" customFormat="1" ht="14" outlineLevel="1">
      <c r="A207" s="405" t="s">
        <v>8</v>
      </c>
      <c r="B207" s="437" t="s">
        <v>1213</v>
      </c>
      <c r="C207" s="397" t="s">
        <v>1191</v>
      </c>
      <c r="D207" s="346"/>
      <c r="E207" s="398"/>
      <c r="F207" s="443"/>
      <c r="G207" s="398">
        <f t="shared" ref="G207:G208" si="95">F207*D207</f>
        <v>0</v>
      </c>
      <c r="H207" s="398">
        <f t="shared" ref="H207:H208" si="96">F207*E207</f>
        <v>0</v>
      </c>
      <c r="I207" s="399"/>
      <c r="J207" s="410" t="s">
        <v>18</v>
      </c>
      <c r="K207" s="411" t="s">
        <v>145</v>
      </c>
      <c r="L207" s="411" t="s">
        <v>112</v>
      </c>
      <c r="N207" s="412"/>
      <c r="P207" s="737"/>
    </row>
    <row r="208" spans="1:16" s="413" customFormat="1" ht="14" outlineLevel="1">
      <c r="A208" s="405" t="s">
        <v>8</v>
      </c>
      <c r="B208" s="437" t="s">
        <v>1214</v>
      </c>
      <c r="C208" s="397" t="s">
        <v>44</v>
      </c>
      <c r="D208" s="346"/>
      <c r="E208" s="398"/>
      <c r="F208" s="443"/>
      <c r="G208" s="398">
        <f t="shared" si="95"/>
        <v>0</v>
      </c>
      <c r="H208" s="398">
        <f t="shared" si="96"/>
        <v>0</v>
      </c>
      <c r="I208" s="399"/>
      <c r="J208" s="410" t="s">
        <v>18</v>
      </c>
      <c r="K208" s="411" t="s">
        <v>145</v>
      </c>
      <c r="L208" s="411" t="s">
        <v>112</v>
      </c>
      <c r="N208" s="412"/>
      <c r="P208" s="737"/>
    </row>
    <row r="209" spans="1:16" s="416" customFormat="1" ht="14" outlineLevel="2">
      <c r="A209" s="405" t="s">
        <v>8</v>
      </c>
      <c r="B209" s="437" t="s">
        <v>438</v>
      </c>
      <c r="C209" s="397" t="s">
        <v>46</v>
      </c>
      <c r="D209" s="346"/>
      <c r="E209" s="398"/>
      <c r="F209" s="443"/>
      <c r="G209" s="398">
        <f t="shared" ref="G209:G212" si="97">F209*D209</f>
        <v>0</v>
      </c>
      <c r="H209" s="398">
        <f t="shared" ref="H209:H212" si="98">F209*E209</f>
        <v>0</v>
      </c>
      <c r="I209" s="399"/>
      <c r="J209" s="410" t="s">
        <v>18</v>
      </c>
      <c r="K209" s="411" t="s">
        <v>145</v>
      </c>
      <c r="L209" s="411" t="s">
        <v>112</v>
      </c>
      <c r="N209" s="411"/>
      <c r="P209" s="737"/>
    </row>
    <row r="210" spans="1:16" s="416" customFormat="1" ht="14" outlineLevel="2">
      <c r="A210" s="405" t="s">
        <v>8</v>
      </c>
      <c r="B210" s="437" t="s">
        <v>1215</v>
      </c>
      <c r="C210" s="397" t="s">
        <v>46</v>
      </c>
      <c r="D210" s="346"/>
      <c r="E210" s="398"/>
      <c r="F210" s="443"/>
      <c r="G210" s="398">
        <f t="shared" ref="G210:G211" si="99">F210*D210</f>
        <v>0</v>
      </c>
      <c r="H210" s="398">
        <f t="shared" ref="H210:H211" si="100">F210*E210</f>
        <v>0</v>
      </c>
      <c r="I210" s="399"/>
      <c r="J210" s="410" t="s">
        <v>18</v>
      </c>
      <c r="K210" s="411" t="s">
        <v>145</v>
      </c>
      <c r="L210" s="411" t="s">
        <v>112</v>
      </c>
      <c r="N210" s="411"/>
      <c r="P210" s="737"/>
    </row>
    <row r="211" spans="1:16" s="416" customFormat="1" ht="14" outlineLevel="2">
      <c r="A211" s="405" t="s">
        <v>8</v>
      </c>
      <c r="B211" s="437" t="s">
        <v>1216</v>
      </c>
      <c r="C211" s="397" t="s">
        <v>46</v>
      </c>
      <c r="D211" s="346"/>
      <c r="E211" s="398"/>
      <c r="F211" s="443"/>
      <c r="G211" s="398">
        <f t="shared" si="99"/>
        <v>0</v>
      </c>
      <c r="H211" s="398">
        <f t="shared" si="100"/>
        <v>0</v>
      </c>
      <c r="I211" s="399"/>
      <c r="J211" s="410" t="s">
        <v>18</v>
      </c>
      <c r="K211" s="411" t="s">
        <v>145</v>
      </c>
      <c r="L211" s="411" t="s">
        <v>112</v>
      </c>
      <c r="N211" s="411"/>
      <c r="P211" s="737"/>
    </row>
    <row r="212" spans="1:16" s="416" customFormat="1" ht="14" outlineLevel="2">
      <c r="A212" s="405" t="s">
        <v>8</v>
      </c>
      <c r="B212" s="437" t="s">
        <v>1217</v>
      </c>
      <c r="C212" s="397" t="s">
        <v>1191</v>
      </c>
      <c r="D212" s="346"/>
      <c r="E212" s="398"/>
      <c r="F212" s="443"/>
      <c r="G212" s="398">
        <f t="shared" si="97"/>
        <v>0</v>
      </c>
      <c r="H212" s="398">
        <f t="shared" si="98"/>
        <v>0</v>
      </c>
      <c r="I212" s="399"/>
      <c r="J212" s="410" t="s">
        <v>18</v>
      </c>
      <c r="K212" s="411" t="s">
        <v>145</v>
      </c>
      <c r="L212" s="411" t="s">
        <v>112</v>
      </c>
      <c r="N212" s="411"/>
      <c r="P212" s="737"/>
    </row>
    <row r="213" spans="1:16" s="416" customFormat="1" ht="14" outlineLevel="2">
      <c r="A213" s="405" t="s">
        <v>8</v>
      </c>
      <c r="B213" s="437" t="s">
        <v>1218</v>
      </c>
      <c r="C213" s="397" t="s">
        <v>1191</v>
      </c>
      <c r="D213" s="346"/>
      <c r="E213" s="398"/>
      <c r="F213" s="444"/>
      <c r="G213" s="398">
        <f t="shared" ref="G213:G237" si="101">F213*D213</f>
        <v>0</v>
      </c>
      <c r="H213" s="398">
        <f t="shared" ref="H213:H237" si="102">F213*E213</f>
        <v>0</v>
      </c>
      <c r="I213" s="399"/>
      <c r="J213" s="410" t="s">
        <v>18</v>
      </c>
      <c r="K213" s="411" t="s">
        <v>145</v>
      </c>
      <c r="L213" s="411" t="s">
        <v>112</v>
      </c>
      <c r="N213" s="411"/>
      <c r="P213" s="737"/>
    </row>
    <row r="214" spans="1:16" s="416" customFormat="1" ht="14" outlineLevel="2">
      <c r="A214" s="405" t="s">
        <v>8</v>
      </c>
      <c r="B214" s="437" t="s">
        <v>439</v>
      </c>
      <c r="C214" s="397" t="s">
        <v>44</v>
      </c>
      <c r="D214" s="346"/>
      <c r="E214" s="398"/>
      <c r="F214" s="443"/>
      <c r="G214" s="398">
        <f t="shared" si="101"/>
        <v>0</v>
      </c>
      <c r="H214" s="398">
        <f t="shared" si="102"/>
        <v>0</v>
      </c>
      <c r="I214" s="399"/>
      <c r="J214" s="410" t="s">
        <v>18</v>
      </c>
      <c r="K214" s="411" t="s">
        <v>145</v>
      </c>
      <c r="L214" s="411" t="s">
        <v>112</v>
      </c>
      <c r="N214" s="411"/>
      <c r="P214" s="737"/>
    </row>
    <row r="215" spans="1:16" s="416" customFormat="1" ht="14" outlineLevel="2">
      <c r="A215" s="405" t="s">
        <v>8</v>
      </c>
      <c r="B215" s="437" t="s">
        <v>440</v>
      </c>
      <c r="C215" s="397" t="s">
        <v>44</v>
      </c>
      <c r="D215" s="346"/>
      <c r="E215" s="398"/>
      <c r="F215" s="444"/>
      <c r="G215" s="398">
        <f t="shared" ref="G215" si="103">F215*D215</f>
        <v>0</v>
      </c>
      <c r="H215" s="398">
        <f t="shared" ref="H215" si="104">F215*E215</f>
        <v>0</v>
      </c>
      <c r="I215" s="399"/>
      <c r="J215" s="410" t="s">
        <v>18</v>
      </c>
      <c r="K215" s="411" t="s">
        <v>145</v>
      </c>
      <c r="L215" s="411" t="s">
        <v>112</v>
      </c>
      <c r="N215" s="411"/>
      <c r="P215" s="737"/>
    </row>
    <row r="216" spans="1:16" s="413" customFormat="1" ht="14" outlineLevel="1">
      <c r="A216" s="405" t="s">
        <v>8</v>
      </c>
      <c r="B216" s="437" t="s">
        <v>1184</v>
      </c>
      <c r="C216" s="397" t="s">
        <v>44</v>
      </c>
      <c r="D216" s="346"/>
      <c r="E216" s="398"/>
      <c r="F216" s="443"/>
      <c r="G216" s="398"/>
      <c r="H216" s="398"/>
      <c r="I216" s="399"/>
      <c r="J216" s="410" t="s">
        <v>18</v>
      </c>
      <c r="K216" s="411" t="s">
        <v>145</v>
      </c>
      <c r="L216" s="411" t="s">
        <v>112</v>
      </c>
      <c r="N216" s="412"/>
      <c r="P216" s="737"/>
    </row>
    <row r="217" spans="1:16" s="413" customFormat="1" ht="14" outlineLevel="1">
      <c r="A217" s="405" t="s">
        <v>8</v>
      </c>
      <c r="B217" s="437" t="s">
        <v>1185</v>
      </c>
      <c r="C217" s="397" t="s">
        <v>44</v>
      </c>
      <c r="D217" s="346"/>
      <c r="E217" s="398"/>
      <c r="F217" s="443"/>
      <c r="G217" s="398"/>
      <c r="H217" s="398"/>
      <c r="I217" s="399"/>
      <c r="J217" s="410" t="s">
        <v>18</v>
      </c>
      <c r="K217" s="411" t="s">
        <v>145</v>
      </c>
      <c r="L217" s="411" t="s">
        <v>112</v>
      </c>
      <c r="N217" s="412"/>
      <c r="P217" s="737"/>
    </row>
    <row r="218" spans="1:16" s="416" customFormat="1" ht="28" outlineLevel="2">
      <c r="A218" s="405" t="s">
        <v>8</v>
      </c>
      <c r="B218" s="437" t="s">
        <v>1186</v>
      </c>
      <c r="C218" s="397" t="s">
        <v>9</v>
      </c>
      <c r="D218" s="346"/>
      <c r="E218" s="398"/>
      <c r="F218" s="443"/>
      <c r="G218" s="398"/>
      <c r="H218" s="398"/>
      <c r="I218" s="399"/>
      <c r="J218" s="410" t="s">
        <v>18</v>
      </c>
      <c r="K218" s="411" t="s">
        <v>145</v>
      </c>
      <c r="L218" s="411" t="s">
        <v>112</v>
      </c>
      <c r="N218" s="411"/>
      <c r="P218" s="737"/>
    </row>
    <row r="219" spans="1:16" s="416" customFormat="1" ht="28" outlineLevel="2">
      <c r="A219" s="405" t="s">
        <v>8</v>
      </c>
      <c r="B219" s="437" t="s">
        <v>1187</v>
      </c>
      <c r="C219" s="397" t="s">
        <v>9</v>
      </c>
      <c r="D219" s="346"/>
      <c r="E219" s="398"/>
      <c r="F219" s="443"/>
      <c r="G219" s="398"/>
      <c r="H219" s="398"/>
      <c r="I219" s="399"/>
      <c r="J219" s="410" t="s">
        <v>18</v>
      </c>
      <c r="K219" s="411" t="s">
        <v>145</v>
      </c>
      <c r="L219" s="411" t="s">
        <v>112</v>
      </c>
      <c r="N219" s="411"/>
      <c r="P219" s="737"/>
    </row>
    <row r="220" spans="1:16" s="416" customFormat="1" ht="14" outlineLevel="2">
      <c r="A220" s="405" t="s">
        <v>8</v>
      </c>
      <c r="B220" s="437" t="s">
        <v>536</v>
      </c>
      <c r="C220" s="397" t="s">
        <v>9</v>
      </c>
      <c r="D220" s="346"/>
      <c r="E220" s="398"/>
      <c r="F220" s="446"/>
      <c r="G220" s="398">
        <f t="shared" si="101"/>
        <v>0</v>
      </c>
      <c r="H220" s="398">
        <f t="shared" si="102"/>
        <v>0</v>
      </c>
      <c r="I220" s="399"/>
      <c r="J220" s="410" t="s">
        <v>18</v>
      </c>
      <c r="K220" s="411" t="s">
        <v>145</v>
      </c>
      <c r="L220" s="411" t="s">
        <v>112</v>
      </c>
      <c r="N220" s="411"/>
      <c r="P220" s="737"/>
    </row>
    <row r="221" spans="1:16" s="416" customFormat="1" ht="14" outlineLevel="2">
      <c r="A221" s="405">
        <v>3</v>
      </c>
      <c r="B221" s="429" t="s">
        <v>494</v>
      </c>
      <c r="C221" s="397" t="s">
        <v>262</v>
      </c>
      <c r="D221" s="398"/>
      <c r="E221" s="398"/>
      <c r="F221" s="398"/>
      <c r="G221" s="398">
        <f t="shared" si="101"/>
        <v>0</v>
      </c>
      <c r="H221" s="398">
        <f t="shared" si="102"/>
        <v>0</v>
      </c>
      <c r="I221" s="399"/>
      <c r="J221" s="410" t="s">
        <v>18</v>
      </c>
      <c r="K221" s="411" t="s">
        <v>145</v>
      </c>
      <c r="L221" s="411" t="s">
        <v>112</v>
      </c>
      <c r="N221" s="411"/>
      <c r="P221" s="433"/>
    </row>
    <row r="222" spans="1:16" s="416" customFormat="1" ht="14" outlineLevel="2">
      <c r="A222" s="405" t="s">
        <v>8</v>
      </c>
      <c r="B222" s="434" t="s">
        <v>509</v>
      </c>
      <c r="C222" s="397" t="s">
        <v>46</v>
      </c>
      <c r="D222" s="346"/>
      <c r="E222" s="398">
        <v>4200000</v>
      </c>
      <c r="F222" s="447">
        <v>1.9200000000000002E-2</v>
      </c>
      <c r="G222" s="398">
        <f t="shared" si="101"/>
        <v>0</v>
      </c>
      <c r="H222" s="398">
        <f t="shared" si="102"/>
        <v>80640.000000000015</v>
      </c>
      <c r="I222" s="399"/>
      <c r="J222" s="410" t="s">
        <v>18</v>
      </c>
      <c r="K222" s="410" t="s">
        <v>145</v>
      </c>
      <c r="L222" s="411" t="s">
        <v>112</v>
      </c>
      <c r="N222" s="411"/>
      <c r="P222" s="738"/>
    </row>
    <row r="223" spans="1:16" s="416" customFormat="1" ht="14" outlineLevel="2">
      <c r="A223" s="405" t="s">
        <v>8</v>
      </c>
      <c r="B223" s="434" t="s">
        <v>517</v>
      </c>
      <c r="C223" s="397" t="s">
        <v>46</v>
      </c>
      <c r="D223" s="346"/>
      <c r="E223" s="398">
        <v>7100000</v>
      </c>
      <c r="F223" s="448">
        <v>4.8000000000000004E-3</v>
      </c>
      <c r="G223" s="398">
        <f t="shared" si="101"/>
        <v>0</v>
      </c>
      <c r="H223" s="398">
        <f t="shared" si="102"/>
        <v>34080</v>
      </c>
      <c r="I223" s="399"/>
      <c r="J223" s="410" t="s">
        <v>18</v>
      </c>
      <c r="K223" s="410" t="s">
        <v>145</v>
      </c>
      <c r="L223" s="411" t="s">
        <v>112</v>
      </c>
      <c r="N223" s="411"/>
      <c r="P223" s="739"/>
    </row>
    <row r="224" spans="1:16" s="416" customFormat="1" ht="14" outlineLevel="2">
      <c r="A224" s="405" t="s">
        <v>8</v>
      </c>
      <c r="B224" s="434" t="s">
        <v>511</v>
      </c>
      <c r="C224" s="397" t="s">
        <v>46</v>
      </c>
      <c r="D224" s="346"/>
      <c r="E224" s="398">
        <v>1350000</v>
      </c>
      <c r="F224" s="447">
        <v>1.9200000000000002E-2</v>
      </c>
      <c r="G224" s="398">
        <f t="shared" si="101"/>
        <v>0</v>
      </c>
      <c r="H224" s="398">
        <f t="shared" si="102"/>
        <v>25920.000000000004</v>
      </c>
      <c r="I224" s="399"/>
      <c r="J224" s="410" t="s">
        <v>18</v>
      </c>
      <c r="K224" s="410" t="s">
        <v>145</v>
      </c>
      <c r="L224" s="411" t="s">
        <v>112</v>
      </c>
      <c r="N224" s="411"/>
      <c r="P224" s="739"/>
    </row>
    <row r="225" spans="1:16" s="416" customFormat="1" ht="14" outlineLevel="2">
      <c r="A225" s="405" t="s">
        <v>8</v>
      </c>
      <c r="B225" s="434" t="s">
        <v>519</v>
      </c>
      <c r="C225" s="397" t="s">
        <v>46</v>
      </c>
      <c r="D225" s="346"/>
      <c r="E225" s="398">
        <v>7000000</v>
      </c>
      <c r="F225" s="448">
        <v>4.8000000000000004E-3</v>
      </c>
      <c r="G225" s="398">
        <f t="shared" si="101"/>
        <v>0</v>
      </c>
      <c r="H225" s="398">
        <f t="shared" si="102"/>
        <v>33600</v>
      </c>
      <c r="I225" s="399"/>
      <c r="J225" s="410" t="s">
        <v>18</v>
      </c>
      <c r="K225" s="410" t="s">
        <v>145</v>
      </c>
      <c r="L225" s="411" t="s">
        <v>112</v>
      </c>
      <c r="N225" s="411"/>
      <c r="P225" s="739"/>
    </row>
    <row r="226" spans="1:16" s="416" customFormat="1" ht="14" outlineLevel="2">
      <c r="A226" s="405" t="s">
        <v>8</v>
      </c>
      <c r="B226" s="434" t="s">
        <v>515</v>
      </c>
      <c r="C226" s="397" t="s">
        <v>46</v>
      </c>
      <c r="D226" s="346"/>
      <c r="E226" s="398"/>
      <c r="F226" s="447"/>
      <c r="G226" s="398">
        <f t="shared" si="101"/>
        <v>0</v>
      </c>
      <c r="H226" s="398">
        <f t="shared" si="102"/>
        <v>0</v>
      </c>
      <c r="I226" s="399"/>
      <c r="J226" s="410" t="s">
        <v>18</v>
      </c>
      <c r="K226" s="410" t="s">
        <v>145</v>
      </c>
      <c r="L226" s="411" t="s">
        <v>112</v>
      </c>
      <c r="N226" s="411"/>
      <c r="P226" s="739"/>
    </row>
    <row r="227" spans="1:16" s="416" customFormat="1" ht="14" outlineLevel="2">
      <c r="A227" s="405" t="s">
        <v>8</v>
      </c>
      <c r="B227" s="434" t="s">
        <v>521</v>
      </c>
      <c r="C227" s="397" t="s">
        <v>46</v>
      </c>
      <c r="D227" s="346"/>
      <c r="E227" s="398"/>
      <c r="F227" s="448"/>
      <c r="G227" s="398">
        <f t="shared" si="101"/>
        <v>0</v>
      </c>
      <c r="H227" s="398">
        <f t="shared" si="102"/>
        <v>0</v>
      </c>
      <c r="I227" s="399"/>
      <c r="J227" s="410" t="s">
        <v>18</v>
      </c>
      <c r="K227" s="410" t="s">
        <v>145</v>
      </c>
      <c r="L227" s="411" t="s">
        <v>112</v>
      </c>
      <c r="N227" s="411"/>
      <c r="P227" s="739"/>
    </row>
    <row r="228" spans="1:16" s="416" customFormat="1" ht="14" outlineLevel="2">
      <c r="A228" s="405" t="s">
        <v>8</v>
      </c>
      <c r="B228" s="434" t="s">
        <v>513</v>
      </c>
      <c r="C228" s="397" t="s">
        <v>46</v>
      </c>
      <c r="D228" s="346"/>
      <c r="E228" s="398"/>
      <c r="F228" s="447"/>
      <c r="G228" s="398">
        <f t="shared" si="101"/>
        <v>0</v>
      </c>
      <c r="H228" s="398">
        <f t="shared" si="102"/>
        <v>0</v>
      </c>
      <c r="I228" s="399"/>
      <c r="J228" s="410" t="s">
        <v>18</v>
      </c>
      <c r="K228" s="410" t="s">
        <v>145</v>
      </c>
      <c r="L228" s="411" t="s">
        <v>112</v>
      </c>
      <c r="N228" s="411"/>
      <c r="P228" s="739"/>
    </row>
    <row r="229" spans="1:16" s="416" customFormat="1" ht="14" outlineLevel="2">
      <c r="A229" s="405" t="s">
        <v>8</v>
      </c>
      <c r="B229" s="434" t="s">
        <v>520</v>
      </c>
      <c r="C229" s="397" t="s">
        <v>46</v>
      </c>
      <c r="D229" s="346"/>
      <c r="E229" s="398"/>
      <c r="F229" s="448"/>
      <c r="G229" s="398">
        <f t="shared" si="101"/>
        <v>0</v>
      </c>
      <c r="H229" s="398">
        <f t="shared" si="102"/>
        <v>0</v>
      </c>
      <c r="I229" s="399"/>
      <c r="J229" s="410" t="s">
        <v>18</v>
      </c>
      <c r="K229" s="410" t="s">
        <v>145</v>
      </c>
      <c r="L229" s="411" t="s">
        <v>112</v>
      </c>
      <c r="N229" s="411"/>
      <c r="P229" s="739"/>
    </row>
    <row r="230" spans="1:16" s="416" customFormat="1" ht="14" outlineLevel="2">
      <c r="A230" s="405" t="s">
        <v>8</v>
      </c>
      <c r="B230" s="434" t="s">
        <v>510</v>
      </c>
      <c r="C230" s="397" t="s">
        <v>46</v>
      </c>
      <c r="D230" s="398"/>
      <c r="E230" s="398">
        <v>6000000</v>
      </c>
      <c r="F230" s="448">
        <v>3.2000000000000001E-2</v>
      </c>
      <c r="G230" s="398">
        <f t="shared" si="101"/>
        <v>0</v>
      </c>
      <c r="H230" s="398">
        <f t="shared" si="102"/>
        <v>192000</v>
      </c>
      <c r="I230" s="399"/>
      <c r="J230" s="410" t="s">
        <v>18</v>
      </c>
      <c r="K230" s="410" t="s">
        <v>145</v>
      </c>
      <c r="L230" s="411" t="s">
        <v>112</v>
      </c>
      <c r="N230" s="411"/>
      <c r="P230" s="739"/>
    </row>
    <row r="231" spans="1:16" s="416" customFormat="1" ht="14" outlineLevel="2">
      <c r="A231" s="405" t="s">
        <v>8</v>
      </c>
      <c r="B231" s="434" t="s">
        <v>518</v>
      </c>
      <c r="C231" s="397" t="s">
        <v>46</v>
      </c>
      <c r="D231" s="398"/>
      <c r="E231" s="398">
        <v>10000000</v>
      </c>
      <c r="F231" s="448">
        <v>8.0000000000000002E-3</v>
      </c>
      <c r="G231" s="398">
        <f t="shared" si="101"/>
        <v>0</v>
      </c>
      <c r="H231" s="398">
        <f t="shared" si="102"/>
        <v>80000</v>
      </c>
      <c r="I231" s="399"/>
      <c r="J231" s="410" t="s">
        <v>18</v>
      </c>
      <c r="K231" s="410" t="s">
        <v>145</v>
      </c>
      <c r="L231" s="411" t="s">
        <v>112</v>
      </c>
      <c r="N231" s="411"/>
      <c r="P231" s="739"/>
    </row>
    <row r="232" spans="1:16" s="416" customFormat="1" ht="14" outlineLevel="2">
      <c r="A232" s="405" t="s">
        <v>8</v>
      </c>
      <c r="B232" s="434" t="s">
        <v>537</v>
      </c>
      <c r="C232" s="397" t="s">
        <v>46</v>
      </c>
      <c r="D232" s="398"/>
      <c r="E232" s="398"/>
      <c r="F232" s="448"/>
      <c r="G232" s="398">
        <f t="shared" si="101"/>
        <v>0</v>
      </c>
      <c r="H232" s="398">
        <f t="shared" si="102"/>
        <v>0</v>
      </c>
      <c r="I232" s="399"/>
      <c r="J232" s="410" t="s">
        <v>18</v>
      </c>
      <c r="K232" s="410" t="s">
        <v>145</v>
      </c>
      <c r="L232" s="411" t="s">
        <v>112</v>
      </c>
      <c r="N232" s="411"/>
      <c r="P232" s="739"/>
    </row>
    <row r="233" spans="1:16" s="416" customFormat="1" ht="14" outlineLevel="2">
      <c r="A233" s="405" t="s">
        <v>8</v>
      </c>
      <c r="B233" s="434" t="s">
        <v>512</v>
      </c>
      <c r="C233" s="397" t="s">
        <v>46</v>
      </c>
      <c r="D233" s="398"/>
      <c r="E233" s="398">
        <v>7000000</v>
      </c>
      <c r="F233" s="448">
        <v>8.0000000000000002E-3</v>
      </c>
      <c r="G233" s="398">
        <f t="shared" si="101"/>
        <v>0</v>
      </c>
      <c r="H233" s="398">
        <f t="shared" si="102"/>
        <v>56000</v>
      </c>
      <c r="I233" s="399"/>
      <c r="J233" s="410" t="s">
        <v>18</v>
      </c>
      <c r="K233" s="410" t="s">
        <v>145</v>
      </c>
      <c r="L233" s="411" t="s">
        <v>112</v>
      </c>
      <c r="N233" s="411"/>
      <c r="P233" s="739"/>
    </row>
    <row r="234" spans="1:16" s="416" customFormat="1" ht="14" outlineLevel="2">
      <c r="A234" s="405" t="s">
        <v>8</v>
      </c>
      <c r="B234" s="434" t="s">
        <v>516</v>
      </c>
      <c r="C234" s="397" t="s">
        <v>46</v>
      </c>
      <c r="D234" s="398"/>
      <c r="E234" s="398">
        <v>1700000</v>
      </c>
      <c r="F234" s="448">
        <v>3.2000000000000001E-2</v>
      </c>
      <c r="G234" s="398">
        <f t="shared" si="101"/>
        <v>0</v>
      </c>
      <c r="H234" s="398">
        <f t="shared" si="102"/>
        <v>54400</v>
      </c>
      <c r="I234" s="399"/>
      <c r="J234" s="410" t="s">
        <v>18</v>
      </c>
      <c r="K234" s="410" t="s">
        <v>145</v>
      </c>
      <c r="L234" s="411" t="s">
        <v>112</v>
      </c>
      <c r="N234" s="411"/>
      <c r="P234" s="739"/>
    </row>
    <row r="235" spans="1:16" s="416" customFormat="1" ht="14" outlineLevel="2">
      <c r="A235" s="405" t="s">
        <v>8</v>
      </c>
      <c r="B235" s="434" t="s">
        <v>522</v>
      </c>
      <c r="C235" s="397" t="s">
        <v>46</v>
      </c>
      <c r="D235" s="398"/>
      <c r="E235" s="398">
        <v>6800000</v>
      </c>
      <c r="F235" s="448">
        <v>8.0000000000000002E-3</v>
      </c>
      <c r="G235" s="398">
        <f t="shared" si="101"/>
        <v>0</v>
      </c>
      <c r="H235" s="398">
        <f t="shared" si="102"/>
        <v>54400</v>
      </c>
      <c r="I235" s="399"/>
      <c r="J235" s="410" t="s">
        <v>18</v>
      </c>
      <c r="K235" s="410" t="s">
        <v>145</v>
      </c>
      <c r="L235" s="411" t="s">
        <v>112</v>
      </c>
      <c r="N235" s="411"/>
      <c r="P235" s="739"/>
    </row>
    <row r="236" spans="1:16" s="416" customFormat="1" ht="14" outlineLevel="2">
      <c r="A236" s="405" t="s">
        <v>8</v>
      </c>
      <c r="B236" s="434" t="s">
        <v>538</v>
      </c>
      <c r="C236" s="397" t="s">
        <v>46</v>
      </c>
      <c r="D236" s="398"/>
      <c r="E236" s="398">
        <v>1000000</v>
      </c>
      <c r="F236" s="448">
        <v>3.2000000000000001E-2</v>
      </c>
      <c r="G236" s="398">
        <f t="shared" si="101"/>
        <v>0</v>
      </c>
      <c r="H236" s="398">
        <f t="shared" si="102"/>
        <v>32000</v>
      </c>
      <c r="I236" s="399"/>
      <c r="J236" s="410" t="s">
        <v>18</v>
      </c>
      <c r="K236" s="410" t="s">
        <v>145</v>
      </c>
      <c r="L236" s="411" t="s">
        <v>112</v>
      </c>
      <c r="N236" s="411"/>
      <c r="P236" s="739"/>
    </row>
    <row r="237" spans="1:16" s="416" customFormat="1" ht="14" outlineLevel="2">
      <c r="A237" s="405" t="s">
        <v>8</v>
      </c>
      <c r="B237" s="434" t="s">
        <v>514</v>
      </c>
      <c r="C237" s="397" t="s">
        <v>46</v>
      </c>
      <c r="D237" s="398"/>
      <c r="E237" s="398">
        <v>6000000</v>
      </c>
      <c r="F237" s="448">
        <v>8.0000000000000002E-3</v>
      </c>
      <c r="G237" s="398">
        <f t="shared" si="101"/>
        <v>0</v>
      </c>
      <c r="H237" s="398">
        <f t="shared" si="102"/>
        <v>48000</v>
      </c>
      <c r="I237" s="399"/>
      <c r="J237" s="410" t="s">
        <v>18</v>
      </c>
      <c r="K237" s="410" t="s">
        <v>145</v>
      </c>
      <c r="L237" s="411" t="s">
        <v>112</v>
      </c>
      <c r="N237" s="411"/>
      <c r="P237" s="739"/>
    </row>
    <row r="238" spans="1:16" s="416" customFormat="1" ht="14" outlineLevel="2">
      <c r="A238" s="405" t="s">
        <v>8</v>
      </c>
      <c r="B238" s="430" t="s">
        <v>523</v>
      </c>
      <c r="C238" s="397" t="s">
        <v>9</v>
      </c>
      <c r="D238" s="398"/>
      <c r="E238" s="398">
        <v>1</v>
      </c>
      <c r="F238" s="431">
        <v>80000</v>
      </c>
      <c r="G238" s="398">
        <f t="shared" ref="G238:G239" si="105">F238*D238</f>
        <v>0</v>
      </c>
      <c r="H238" s="398">
        <f t="shared" ref="H238:H239" si="106">F238*E238</f>
        <v>80000</v>
      </c>
      <c r="I238" s="399"/>
      <c r="J238" s="410" t="s">
        <v>18</v>
      </c>
      <c r="K238" s="410" t="s">
        <v>145</v>
      </c>
      <c r="L238" s="411" t="s">
        <v>112</v>
      </c>
      <c r="N238" s="411"/>
      <c r="P238" s="739"/>
    </row>
    <row r="239" spans="1:16" s="416" customFormat="1" ht="14" outlineLevel="2">
      <c r="A239" s="405" t="s">
        <v>8</v>
      </c>
      <c r="B239" s="430" t="s">
        <v>524</v>
      </c>
      <c r="C239" s="397" t="s">
        <v>9</v>
      </c>
      <c r="D239" s="398"/>
      <c r="E239" s="398">
        <v>1</v>
      </c>
      <c r="F239" s="431">
        <v>100000</v>
      </c>
      <c r="G239" s="398">
        <f t="shared" si="105"/>
        <v>0</v>
      </c>
      <c r="H239" s="398">
        <f t="shared" si="106"/>
        <v>100000</v>
      </c>
      <c r="I239" s="399"/>
      <c r="J239" s="410" t="s">
        <v>18</v>
      </c>
      <c r="K239" s="410" t="s">
        <v>145</v>
      </c>
      <c r="L239" s="411" t="s">
        <v>112</v>
      </c>
      <c r="N239" s="411"/>
      <c r="P239" s="739"/>
    </row>
    <row r="240" spans="1:16" s="416" customFormat="1" ht="14" outlineLevel="2">
      <c r="A240" s="405" t="s">
        <v>8</v>
      </c>
      <c r="B240" s="430" t="s">
        <v>525</v>
      </c>
      <c r="C240" s="397" t="s">
        <v>9</v>
      </c>
      <c r="D240" s="398"/>
      <c r="E240" s="398"/>
      <c r="F240" s="448"/>
      <c r="G240" s="398">
        <f t="shared" ref="G240:G241" si="107">F240*D240</f>
        <v>0</v>
      </c>
      <c r="H240" s="398">
        <f t="shared" ref="H240:H241" si="108">F240*E240</f>
        <v>0</v>
      </c>
      <c r="I240" s="399"/>
      <c r="J240" s="410" t="s">
        <v>18</v>
      </c>
      <c r="K240" s="410" t="s">
        <v>145</v>
      </c>
      <c r="L240" s="411" t="s">
        <v>112</v>
      </c>
      <c r="N240" s="411"/>
      <c r="P240" s="739"/>
    </row>
    <row r="241" spans="1:16" s="416" customFormat="1" ht="14" outlineLevel="2">
      <c r="A241" s="405" t="s">
        <v>8</v>
      </c>
      <c r="B241" s="430" t="s">
        <v>526</v>
      </c>
      <c r="C241" s="397" t="s">
        <v>9</v>
      </c>
      <c r="D241" s="398"/>
      <c r="E241" s="398"/>
      <c r="F241" s="448"/>
      <c r="G241" s="398">
        <f t="shared" si="107"/>
        <v>0</v>
      </c>
      <c r="H241" s="398">
        <f t="shared" si="108"/>
        <v>0</v>
      </c>
      <c r="I241" s="399"/>
      <c r="J241" s="410" t="s">
        <v>18</v>
      </c>
      <c r="K241" s="410" t="s">
        <v>145</v>
      </c>
      <c r="L241" s="411" t="s">
        <v>112</v>
      </c>
      <c r="N241" s="411"/>
      <c r="P241" s="739"/>
    </row>
    <row r="242" spans="1:16" s="416" customFormat="1" ht="14" outlineLevel="2">
      <c r="A242" s="405" t="s">
        <v>8</v>
      </c>
      <c r="B242" s="430" t="s">
        <v>527</v>
      </c>
      <c r="C242" s="397" t="s">
        <v>9</v>
      </c>
      <c r="D242" s="398"/>
      <c r="E242" s="398"/>
      <c r="F242" s="448"/>
      <c r="G242" s="398">
        <f t="shared" ref="G242:G247" si="109">F242*D242</f>
        <v>0</v>
      </c>
      <c r="H242" s="398">
        <f t="shared" ref="H242:H247" si="110">F242*E242</f>
        <v>0</v>
      </c>
      <c r="I242" s="399"/>
      <c r="J242" s="410" t="s">
        <v>18</v>
      </c>
      <c r="K242" s="410" t="s">
        <v>145</v>
      </c>
      <c r="L242" s="411" t="s">
        <v>112</v>
      </c>
      <c r="N242" s="411"/>
      <c r="P242" s="739"/>
    </row>
    <row r="243" spans="1:16" s="416" customFormat="1" ht="14" outlineLevel="2">
      <c r="A243" s="388">
        <v>4</v>
      </c>
      <c r="B243" s="429" t="s">
        <v>424</v>
      </c>
      <c r="C243" s="397" t="s">
        <v>46</v>
      </c>
      <c r="D243" s="398"/>
      <c r="E243" s="398"/>
      <c r="F243" s="398"/>
      <c r="G243" s="398">
        <f t="shared" si="109"/>
        <v>0</v>
      </c>
      <c r="H243" s="398">
        <f t="shared" si="110"/>
        <v>0</v>
      </c>
      <c r="I243" s="399"/>
      <c r="J243" s="410" t="s">
        <v>18</v>
      </c>
      <c r="K243" s="410" t="s">
        <v>145</v>
      </c>
      <c r="L243" s="411" t="s">
        <v>112</v>
      </c>
      <c r="N243" s="411"/>
      <c r="P243" s="433"/>
    </row>
    <row r="244" spans="1:16" s="416" customFormat="1" ht="14" outlineLevel="2">
      <c r="A244" s="405" t="s">
        <v>8</v>
      </c>
      <c r="B244" s="434" t="s">
        <v>1207</v>
      </c>
      <c r="C244" s="397" t="s">
        <v>46</v>
      </c>
      <c r="D244" s="436"/>
      <c r="E244" s="398"/>
      <c r="F244" s="432"/>
      <c r="G244" s="398">
        <f t="shared" si="109"/>
        <v>0</v>
      </c>
      <c r="H244" s="398">
        <f t="shared" si="110"/>
        <v>0</v>
      </c>
      <c r="I244" s="399"/>
      <c r="J244" s="410" t="s">
        <v>18</v>
      </c>
      <c r="K244" s="410" t="s">
        <v>145</v>
      </c>
      <c r="L244" s="411" t="s">
        <v>112</v>
      </c>
      <c r="M244" s="411"/>
      <c r="N244" s="411"/>
      <c r="P244" s="417"/>
    </row>
    <row r="245" spans="1:16" s="416" customFormat="1" ht="14" outlineLevel="2">
      <c r="A245" s="405" t="s">
        <v>8</v>
      </c>
      <c r="B245" s="434" t="s">
        <v>1208</v>
      </c>
      <c r="C245" s="397" t="s">
        <v>46</v>
      </c>
      <c r="D245" s="436"/>
      <c r="E245" s="398"/>
      <c r="F245" s="432"/>
      <c r="G245" s="398">
        <f t="shared" si="109"/>
        <v>0</v>
      </c>
      <c r="H245" s="398">
        <f t="shared" si="110"/>
        <v>0</v>
      </c>
      <c r="I245" s="399"/>
      <c r="J245" s="410" t="s">
        <v>18</v>
      </c>
      <c r="K245" s="410" t="s">
        <v>145</v>
      </c>
      <c r="L245" s="411" t="s">
        <v>112</v>
      </c>
      <c r="M245" s="411"/>
      <c r="N245" s="411"/>
      <c r="P245" s="417"/>
    </row>
    <row r="246" spans="1:16" s="416" customFormat="1" ht="14" outlineLevel="2">
      <c r="A246" s="405" t="s">
        <v>8</v>
      </c>
      <c r="B246" s="434" t="s">
        <v>1209</v>
      </c>
      <c r="C246" s="397" t="s">
        <v>9</v>
      </c>
      <c r="D246" s="398"/>
      <c r="E246" s="398"/>
      <c r="F246" s="398"/>
      <c r="G246" s="398">
        <f t="shared" si="109"/>
        <v>0</v>
      </c>
      <c r="H246" s="398">
        <f t="shared" si="110"/>
        <v>0</v>
      </c>
      <c r="I246" s="399"/>
      <c r="J246" s="410" t="s">
        <v>18</v>
      </c>
      <c r="K246" s="410" t="s">
        <v>145</v>
      </c>
      <c r="L246" s="411" t="s">
        <v>112</v>
      </c>
      <c r="M246" s="411"/>
      <c r="N246" s="411"/>
      <c r="P246" s="417"/>
    </row>
    <row r="247" spans="1:16" s="416" customFormat="1" ht="14" outlineLevel="2">
      <c r="A247" s="405">
        <v>5</v>
      </c>
      <c r="B247" s="429" t="s">
        <v>1175</v>
      </c>
      <c r="C247" s="397" t="s">
        <v>262</v>
      </c>
      <c r="D247" s="398"/>
      <c r="E247" s="398"/>
      <c r="F247" s="398"/>
      <c r="G247" s="398">
        <f t="shared" si="109"/>
        <v>0</v>
      </c>
      <c r="H247" s="398">
        <f t="shared" si="110"/>
        <v>0</v>
      </c>
      <c r="I247" s="399"/>
      <c r="J247" s="410" t="s">
        <v>18</v>
      </c>
      <c r="K247" s="411" t="s">
        <v>145</v>
      </c>
      <c r="L247" s="411" t="s">
        <v>112</v>
      </c>
      <c r="N247" s="411"/>
      <c r="P247" s="433"/>
    </row>
    <row r="248" spans="1:16" s="450" customFormat="1" ht="14" outlineLevel="2">
      <c r="A248" s="405" t="s">
        <v>8</v>
      </c>
      <c r="B248" s="437" t="s">
        <v>450</v>
      </c>
      <c r="C248" s="360" t="s">
        <v>262</v>
      </c>
      <c r="D248" s="346"/>
      <c r="E248" s="446"/>
      <c r="F248" s="402"/>
      <c r="G248" s="446">
        <f t="shared" ref="G248:G249" si="111">F248*D248</f>
        <v>0</v>
      </c>
      <c r="H248" s="446">
        <f t="shared" ref="H248:H250" si="112">F248*E248</f>
        <v>0</v>
      </c>
      <c r="I248" s="357"/>
      <c r="J248" s="449" t="s">
        <v>18</v>
      </c>
      <c r="K248" s="449" t="s">
        <v>145</v>
      </c>
      <c r="L248" s="449" t="s">
        <v>112</v>
      </c>
      <c r="N248" s="449"/>
      <c r="P248" s="739"/>
    </row>
    <row r="249" spans="1:16" s="450" customFormat="1" ht="14" outlineLevel="2">
      <c r="A249" s="405" t="s">
        <v>8</v>
      </c>
      <c r="B249" s="437" t="s">
        <v>451</v>
      </c>
      <c r="C249" s="397" t="s">
        <v>262</v>
      </c>
      <c r="D249" s="346"/>
      <c r="E249" s="398"/>
      <c r="F249" s="402"/>
      <c r="G249" s="398">
        <f t="shared" si="111"/>
        <v>0</v>
      </c>
      <c r="H249" s="446">
        <f t="shared" si="112"/>
        <v>0</v>
      </c>
      <c r="I249" s="357"/>
      <c r="J249" s="449" t="s">
        <v>18</v>
      </c>
      <c r="K249" s="449" t="s">
        <v>145</v>
      </c>
      <c r="L249" s="449" t="s">
        <v>112</v>
      </c>
      <c r="N249" s="449"/>
      <c r="P249" s="739"/>
    </row>
    <row r="250" spans="1:16" s="450" customFormat="1" ht="14" outlineLevel="2">
      <c r="A250" s="405" t="s">
        <v>8</v>
      </c>
      <c r="B250" s="451" t="s">
        <v>528</v>
      </c>
      <c r="C250" s="360" t="s">
        <v>9</v>
      </c>
      <c r="D250" s="346"/>
      <c r="E250" s="446"/>
      <c r="F250" s="446"/>
      <c r="G250" s="446">
        <f t="shared" ref="G250" si="113">F250*D250</f>
        <v>0</v>
      </c>
      <c r="H250" s="446">
        <f t="shared" si="112"/>
        <v>0</v>
      </c>
      <c r="I250" s="357"/>
      <c r="J250" s="449" t="s">
        <v>18</v>
      </c>
      <c r="K250" s="449" t="s">
        <v>145</v>
      </c>
      <c r="L250" s="449" t="s">
        <v>112</v>
      </c>
      <c r="N250" s="449"/>
      <c r="P250" s="739"/>
    </row>
    <row r="251" spans="1:16" s="413" customFormat="1" ht="14">
      <c r="A251" s="452" t="s">
        <v>47</v>
      </c>
      <c r="B251" s="453" t="s">
        <v>29</v>
      </c>
      <c r="C251" s="454"/>
      <c r="D251" s="455"/>
      <c r="E251" s="455"/>
      <c r="F251" s="456"/>
      <c r="G251" s="455">
        <f>SUBTOTAL(9,G252:G366)</f>
        <v>248865.75999999998</v>
      </c>
      <c r="H251" s="455">
        <f>SUBTOTAL(9,H252:H366)</f>
        <v>157764.84000000003</v>
      </c>
      <c r="I251" s="457"/>
      <c r="J251" s="411"/>
      <c r="K251" s="458"/>
      <c r="L251" s="458"/>
      <c r="M251" s="458"/>
      <c r="N251" s="424"/>
      <c r="P251" s="459"/>
    </row>
    <row r="252" spans="1:16" s="413" customFormat="1" ht="14" outlineLevel="1">
      <c r="A252" s="388" t="s">
        <v>4</v>
      </c>
      <c r="B252" s="350" t="s">
        <v>16</v>
      </c>
      <c r="C252" s="390"/>
      <c r="D252" s="391"/>
      <c r="E252" s="391"/>
      <c r="F252" s="391"/>
      <c r="G252" s="391">
        <f>SUBTOTAL(9,G253:G272)</f>
        <v>0</v>
      </c>
      <c r="H252" s="391">
        <f>SUBTOTAL(9,H253:H272)</f>
        <v>0</v>
      </c>
      <c r="I252" s="392"/>
      <c r="J252" s="411"/>
      <c r="K252" s="460"/>
      <c r="L252" s="460"/>
      <c r="M252" s="461"/>
      <c r="N252" s="412"/>
      <c r="P252" s="459"/>
    </row>
    <row r="253" spans="1:16" s="416" customFormat="1" ht="14.65" customHeight="1" outlineLevel="2">
      <c r="A253" s="396">
        <v>1.1000000000000001</v>
      </c>
      <c r="B253" s="396" t="s">
        <v>880</v>
      </c>
      <c r="C253" s="397" t="s">
        <v>24</v>
      </c>
      <c r="D253" s="462"/>
      <c r="E253" s="462"/>
      <c r="F253" s="462"/>
      <c r="G253" s="398">
        <f t="shared" ref="G253:G269" si="114">F253*D253</f>
        <v>0</v>
      </c>
      <c r="H253" s="398">
        <f t="shared" ref="H253:H269" si="115">F253*E253</f>
        <v>0</v>
      </c>
      <c r="I253" s="399"/>
      <c r="J253" s="411" t="s">
        <v>29</v>
      </c>
      <c r="K253" s="460" t="s">
        <v>129</v>
      </c>
      <c r="L253" s="411" t="s">
        <v>112</v>
      </c>
      <c r="M253" s="461"/>
      <c r="N253" s="460"/>
      <c r="O253" s="463"/>
      <c r="P253" s="464"/>
    </row>
    <row r="254" spans="1:16" s="416" customFormat="1" ht="14.65" customHeight="1" outlineLevel="2">
      <c r="A254" s="396">
        <v>1.2</v>
      </c>
      <c r="B254" s="396" t="s">
        <v>881</v>
      </c>
      <c r="C254" s="397" t="s">
        <v>24</v>
      </c>
      <c r="D254" s="462"/>
      <c r="E254" s="462"/>
      <c r="F254" s="462"/>
      <c r="G254" s="398">
        <f t="shared" si="114"/>
        <v>0</v>
      </c>
      <c r="H254" s="398">
        <f t="shared" si="115"/>
        <v>0</v>
      </c>
      <c r="I254" s="399"/>
      <c r="J254" s="411" t="s">
        <v>29</v>
      </c>
      <c r="K254" s="460" t="s">
        <v>249</v>
      </c>
      <c r="L254" s="411" t="s">
        <v>112</v>
      </c>
      <c r="M254" s="461"/>
      <c r="N254" s="460"/>
      <c r="O254" s="463"/>
      <c r="P254" s="464"/>
    </row>
    <row r="255" spans="1:16" s="416" customFormat="1" ht="14.65" customHeight="1" outlineLevel="2">
      <c r="A255" s="396">
        <v>1.3</v>
      </c>
      <c r="B255" s="396" t="s">
        <v>882</v>
      </c>
      <c r="C255" s="397" t="s">
        <v>24</v>
      </c>
      <c r="D255" s="462"/>
      <c r="E255" s="462"/>
      <c r="F255" s="462"/>
      <c r="G255" s="398">
        <f t="shared" si="114"/>
        <v>0</v>
      </c>
      <c r="H255" s="398">
        <f t="shared" si="115"/>
        <v>0</v>
      </c>
      <c r="I255" s="399"/>
      <c r="J255" s="411" t="s">
        <v>29</v>
      </c>
      <c r="K255" s="460" t="s">
        <v>129</v>
      </c>
      <c r="L255" s="411" t="s">
        <v>112</v>
      </c>
      <c r="M255" s="461"/>
      <c r="N255" s="460"/>
      <c r="O255" s="463"/>
      <c r="P255" s="464"/>
    </row>
    <row r="256" spans="1:16" s="416" customFormat="1" ht="14.65" customHeight="1" outlineLevel="2">
      <c r="A256" s="396">
        <v>1.4</v>
      </c>
      <c r="B256" s="396" t="s">
        <v>883</v>
      </c>
      <c r="C256" s="397" t="s">
        <v>24</v>
      </c>
      <c r="D256" s="462"/>
      <c r="E256" s="462"/>
      <c r="F256" s="462"/>
      <c r="G256" s="398">
        <f t="shared" si="114"/>
        <v>0</v>
      </c>
      <c r="H256" s="398">
        <f t="shared" si="115"/>
        <v>0</v>
      </c>
      <c r="I256" s="399"/>
      <c r="J256" s="411" t="s">
        <v>29</v>
      </c>
      <c r="K256" s="460" t="s">
        <v>129</v>
      </c>
      <c r="L256" s="411" t="s">
        <v>112</v>
      </c>
      <c r="M256" s="461"/>
      <c r="N256" s="460"/>
      <c r="O256" s="463"/>
      <c r="P256" s="464"/>
    </row>
    <row r="257" spans="1:16" s="416" customFormat="1" ht="14.65" customHeight="1" outlineLevel="2">
      <c r="A257" s="396">
        <v>1.5</v>
      </c>
      <c r="B257" s="396" t="s">
        <v>884</v>
      </c>
      <c r="C257" s="397" t="s">
        <v>24</v>
      </c>
      <c r="D257" s="462"/>
      <c r="E257" s="462"/>
      <c r="F257" s="462"/>
      <c r="G257" s="398">
        <f t="shared" si="114"/>
        <v>0</v>
      </c>
      <c r="H257" s="398">
        <f t="shared" si="115"/>
        <v>0</v>
      </c>
      <c r="I257" s="399"/>
      <c r="J257" s="411" t="s">
        <v>29</v>
      </c>
      <c r="K257" s="460" t="s">
        <v>129</v>
      </c>
      <c r="L257" s="411" t="s">
        <v>112</v>
      </c>
      <c r="M257" s="461"/>
      <c r="N257" s="460"/>
      <c r="O257" s="463"/>
      <c r="P257" s="464"/>
    </row>
    <row r="258" spans="1:16" s="416" customFormat="1" ht="14.65" customHeight="1" outlineLevel="2">
      <c r="A258" s="396">
        <v>1.6</v>
      </c>
      <c r="B258" s="396" t="s">
        <v>885</v>
      </c>
      <c r="C258" s="397" t="s">
        <v>30</v>
      </c>
      <c r="D258" s="462"/>
      <c r="E258" s="462"/>
      <c r="F258" s="462"/>
      <c r="G258" s="398">
        <f t="shared" si="114"/>
        <v>0</v>
      </c>
      <c r="H258" s="398">
        <f t="shared" si="115"/>
        <v>0</v>
      </c>
      <c r="I258" s="399"/>
      <c r="J258" s="411" t="s">
        <v>29</v>
      </c>
      <c r="K258" s="460" t="s">
        <v>129</v>
      </c>
      <c r="L258" s="411" t="s">
        <v>112</v>
      </c>
      <c r="M258" s="461"/>
      <c r="N258" s="460"/>
      <c r="O258" s="463"/>
      <c r="P258" s="464"/>
    </row>
    <row r="259" spans="1:16" s="416" customFormat="1" ht="14.65" customHeight="1" outlineLevel="2">
      <c r="A259" s="396">
        <v>1.7</v>
      </c>
      <c r="B259" s="396" t="s">
        <v>886</v>
      </c>
      <c r="C259" s="397" t="s">
        <v>30</v>
      </c>
      <c r="D259" s="462"/>
      <c r="E259" s="462"/>
      <c r="F259" s="462"/>
      <c r="G259" s="398">
        <f t="shared" si="114"/>
        <v>0</v>
      </c>
      <c r="H259" s="398">
        <f t="shared" si="115"/>
        <v>0</v>
      </c>
      <c r="I259" s="399"/>
      <c r="J259" s="411" t="s">
        <v>29</v>
      </c>
      <c r="K259" s="460" t="s">
        <v>129</v>
      </c>
      <c r="L259" s="411" t="s">
        <v>112</v>
      </c>
      <c r="M259" s="461"/>
      <c r="N259" s="460"/>
      <c r="O259" s="463"/>
      <c r="P259" s="464"/>
    </row>
    <row r="260" spans="1:16" s="416" customFormat="1" ht="14.65" customHeight="1" outlineLevel="2">
      <c r="A260" s="396">
        <v>1.8</v>
      </c>
      <c r="B260" s="396" t="s">
        <v>887</v>
      </c>
      <c r="C260" s="397" t="s">
        <v>24</v>
      </c>
      <c r="D260" s="462"/>
      <c r="E260" s="462"/>
      <c r="F260" s="462"/>
      <c r="G260" s="398">
        <f t="shared" si="114"/>
        <v>0</v>
      </c>
      <c r="H260" s="398">
        <f t="shared" si="115"/>
        <v>0</v>
      </c>
      <c r="I260" s="399"/>
      <c r="J260" s="411" t="s">
        <v>29</v>
      </c>
      <c r="K260" s="460" t="s">
        <v>129</v>
      </c>
      <c r="L260" s="411" t="s">
        <v>112</v>
      </c>
      <c r="M260" s="461"/>
      <c r="N260" s="460"/>
      <c r="O260" s="463"/>
      <c r="P260" s="464"/>
    </row>
    <row r="261" spans="1:16" s="416" customFormat="1" ht="14.65" customHeight="1" outlineLevel="2">
      <c r="A261" s="396">
        <v>1.9</v>
      </c>
      <c r="B261" s="396" t="s">
        <v>888</v>
      </c>
      <c r="C261" s="397" t="s">
        <v>24</v>
      </c>
      <c r="D261" s="462"/>
      <c r="E261" s="462"/>
      <c r="F261" s="462"/>
      <c r="G261" s="398">
        <f t="shared" si="114"/>
        <v>0</v>
      </c>
      <c r="H261" s="398">
        <f t="shared" si="115"/>
        <v>0</v>
      </c>
      <c r="I261" s="399"/>
      <c r="J261" s="411" t="s">
        <v>29</v>
      </c>
      <c r="K261" s="460" t="s">
        <v>129</v>
      </c>
      <c r="L261" s="411" t="s">
        <v>112</v>
      </c>
      <c r="M261" s="461"/>
      <c r="N261" s="460"/>
      <c r="O261" s="463"/>
      <c r="P261" s="464"/>
    </row>
    <row r="262" spans="1:16" s="416" customFormat="1" ht="14.65" customHeight="1" outlineLevel="2">
      <c r="A262" s="396">
        <v>1.1000000000000001</v>
      </c>
      <c r="B262" s="396" t="s">
        <v>889</v>
      </c>
      <c r="C262" s="397" t="s">
        <v>36</v>
      </c>
      <c r="D262" s="462"/>
      <c r="E262" s="462"/>
      <c r="F262" s="462"/>
      <c r="G262" s="398">
        <f t="shared" si="114"/>
        <v>0</v>
      </c>
      <c r="H262" s="398">
        <f t="shared" si="115"/>
        <v>0</v>
      </c>
      <c r="I262" s="399"/>
      <c r="J262" s="411" t="s">
        <v>29</v>
      </c>
      <c r="K262" s="460" t="s">
        <v>129</v>
      </c>
      <c r="L262" s="411" t="s">
        <v>112</v>
      </c>
      <c r="M262" s="461"/>
      <c r="N262" s="460"/>
      <c r="O262" s="463"/>
      <c r="P262" s="464"/>
    </row>
    <row r="263" spans="1:16" s="416" customFormat="1" ht="14.65" customHeight="1" outlineLevel="2">
      <c r="A263" s="396">
        <v>1.1100000000000001</v>
      </c>
      <c r="B263" s="396" t="s">
        <v>890</v>
      </c>
      <c r="C263" s="397" t="s">
        <v>470</v>
      </c>
      <c r="D263" s="462"/>
      <c r="E263" s="462"/>
      <c r="F263" s="462"/>
      <c r="G263" s="398">
        <f t="shared" si="114"/>
        <v>0</v>
      </c>
      <c r="H263" s="398">
        <f t="shared" si="115"/>
        <v>0</v>
      </c>
      <c r="I263" s="399"/>
      <c r="J263" s="411" t="s">
        <v>29</v>
      </c>
      <c r="K263" s="460" t="s">
        <v>129</v>
      </c>
      <c r="L263" s="411" t="s">
        <v>112</v>
      </c>
      <c r="M263" s="461"/>
      <c r="N263" s="460"/>
      <c r="O263" s="463"/>
      <c r="P263" s="464"/>
    </row>
    <row r="264" spans="1:16" s="416" customFormat="1" ht="14.65" customHeight="1" outlineLevel="2">
      <c r="A264" s="396">
        <v>1.1200000000000001</v>
      </c>
      <c r="B264" s="396" t="s">
        <v>891</v>
      </c>
      <c r="C264" s="397" t="s">
        <v>36</v>
      </c>
      <c r="D264" s="462"/>
      <c r="E264" s="462"/>
      <c r="F264" s="462"/>
      <c r="G264" s="398">
        <f t="shared" si="114"/>
        <v>0</v>
      </c>
      <c r="H264" s="398">
        <f t="shared" si="115"/>
        <v>0</v>
      </c>
      <c r="I264" s="399"/>
      <c r="J264" s="411" t="s">
        <v>29</v>
      </c>
      <c r="K264" s="460" t="s">
        <v>129</v>
      </c>
      <c r="L264" s="411" t="s">
        <v>112</v>
      </c>
      <c r="M264" s="461"/>
      <c r="N264" s="460"/>
      <c r="O264" s="463"/>
      <c r="P264" s="464"/>
    </row>
    <row r="265" spans="1:16" s="416" customFormat="1" ht="14.65" customHeight="1" outlineLevel="2">
      <c r="A265" s="396">
        <v>1.1299999999999999</v>
      </c>
      <c r="B265" s="396" t="s">
        <v>892</v>
      </c>
      <c r="C265" s="397" t="s">
        <v>470</v>
      </c>
      <c r="D265" s="462"/>
      <c r="E265" s="462"/>
      <c r="F265" s="462"/>
      <c r="G265" s="398">
        <f t="shared" si="114"/>
        <v>0</v>
      </c>
      <c r="H265" s="398">
        <f t="shared" si="115"/>
        <v>0</v>
      </c>
      <c r="I265" s="399"/>
      <c r="J265" s="411" t="s">
        <v>29</v>
      </c>
      <c r="K265" s="460" t="s">
        <v>129</v>
      </c>
      <c r="L265" s="411" t="s">
        <v>112</v>
      </c>
      <c r="M265" s="461"/>
      <c r="N265" s="460"/>
      <c r="O265" s="463"/>
      <c r="P265" s="464"/>
    </row>
    <row r="266" spans="1:16" s="416" customFormat="1" ht="14.65" customHeight="1" outlineLevel="2">
      <c r="A266" s="396">
        <v>1.1399999999999999</v>
      </c>
      <c r="B266" s="396" t="s">
        <v>893</v>
      </c>
      <c r="C266" s="397" t="s">
        <v>24</v>
      </c>
      <c r="D266" s="462"/>
      <c r="E266" s="462"/>
      <c r="F266" s="462"/>
      <c r="G266" s="398">
        <f t="shared" si="114"/>
        <v>0</v>
      </c>
      <c r="H266" s="398">
        <f t="shared" si="115"/>
        <v>0</v>
      </c>
      <c r="I266" s="399"/>
      <c r="J266" s="411" t="s">
        <v>29</v>
      </c>
      <c r="K266" s="460" t="s">
        <v>129</v>
      </c>
      <c r="L266" s="411" t="s">
        <v>112</v>
      </c>
      <c r="M266" s="461"/>
      <c r="N266" s="460"/>
      <c r="O266" s="463"/>
      <c r="P266" s="464"/>
    </row>
    <row r="267" spans="1:16" s="416" customFormat="1" ht="14.65" customHeight="1" outlineLevel="2">
      <c r="A267" s="396">
        <v>1.1499999999999999</v>
      </c>
      <c r="B267" s="396" t="s">
        <v>894</v>
      </c>
      <c r="C267" s="397" t="s">
        <v>50</v>
      </c>
      <c r="D267" s="462"/>
      <c r="E267" s="462"/>
      <c r="F267" s="462"/>
      <c r="G267" s="398">
        <f t="shared" si="114"/>
        <v>0</v>
      </c>
      <c r="H267" s="398">
        <f t="shared" si="115"/>
        <v>0</v>
      </c>
      <c r="I267" s="399"/>
      <c r="J267" s="411" t="s">
        <v>29</v>
      </c>
      <c r="K267" s="460" t="s">
        <v>129</v>
      </c>
      <c r="L267" s="411" t="s">
        <v>112</v>
      </c>
      <c r="M267" s="461"/>
      <c r="N267" s="460"/>
      <c r="O267" s="463"/>
      <c r="P267" s="464"/>
    </row>
    <row r="268" spans="1:16" s="416" customFormat="1" ht="14.65" customHeight="1" outlineLevel="2">
      <c r="A268" s="396">
        <v>1.1599999999999999</v>
      </c>
      <c r="B268" s="396" t="s">
        <v>895</v>
      </c>
      <c r="C268" s="397" t="s">
        <v>24</v>
      </c>
      <c r="D268" s="462"/>
      <c r="E268" s="462"/>
      <c r="F268" s="462"/>
      <c r="G268" s="398">
        <f t="shared" si="114"/>
        <v>0</v>
      </c>
      <c r="H268" s="398">
        <f t="shared" si="115"/>
        <v>0</v>
      </c>
      <c r="I268" s="399"/>
      <c r="J268" s="411" t="s">
        <v>29</v>
      </c>
      <c r="K268" s="460" t="s">
        <v>129</v>
      </c>
      <c r="L268" s="411" t="s">
        <v>112</v>
      </c>
      <c r="M268" s="461"/>
      <c r="N268" s="460"/>
      <c r="O268" s="463"/>
      <c r="P268" s="464"/>
    </row>
    <row r="269" spans="1:16" s="416" customFormat="1" ht="14.65" customHeight="1" outlineLevel="2">
      <c r="A269" s="396">
        <v>1.17</v>
      </c>
      <c r="B269" s="328" t="s">
        <v>896</v>
      </c>
      <c r="C269" s="397" t="s">
        <v>15</v>
      </c>
      <c r="D269" s="462"/>
      <c r="E269" s="462"/>
      <c r="F269" s="462"/>
      <c r="G269" s="398">
        <f t="shared" si="114"/>
        <v>0</v>
      </c>
      <c r="H269" s="398">
        <f t="shared" si="115"/>
        <v>0</v>
      </c>
      <c r="I269" s="399"/>
      <c r="J269" s="411" t="s">
        <v>29</v>
      </c>
      <c r="K269" s="460" t="s">
        <v>129</v>
      </c>
      <c r="L269" s="411" t="s">
        <v>112</v>
      </c>
      <c r="M269" s="461"/>
      <c r="N269" s="460"/>
      <c r="O269" s="463"/>
      <c r="P269" s="464"/>
    </row>
    <row r="270" spans="1:16" s="416" customFormat="1" ht="14.65" customHeight="1" outlineLevel="2">
      <c r="A270" s="400">
        <v>2</v>
      </c>
      <c r="B270" s="396" t="s">
        <v>410</v>
      </c>
      <c r="C270" s="397" t="s">
        <v>105</v>
      </c>
      <c r="D270" s="398"/>
      <c r="E270" s="398"/>
      <c r="F270" s="398"/>
      <c r="G270" s="398">
        <f t="shared" ref="G270:G272" si="116">F270*D270</f>
        <v>0</v>
      </c>
      <c r="H270" s="398">
        <f t="shared" ref="H270:H272" si="117">F270*E270</f>
        <v>0</v>
      </c>
      <c r="I270" s="399"/>
      <c r="J270" s="411" t="s">
        <v>29</v>
      </c>
      <c r="K270" s="460" t="s">
        <v>129</v>
      </c>
      <c r="L270" s="411" t="s">
        <v>112</v>
      </c>
      <c r="M270" s="461"/>
      <c r="N270" s="460"/>
      <c r="O270" s="463"/>
      <c r="P270" s="464"/>
    </row>
    <row r="271" spans="1:16" s="416" customFormat="1" ht="14.65" customHeight="1" outlineLevel="2">
      <c r="A271" s="400">
        <v>3</v>
      </c>
      <c r="B271" s="396" t="s">
        <v>411</v>
      </c>
      <c r="C271" s="397" t="s">
        <v>155</v>
      </c>
      <c r="D271" s="398"/>
      <c r="E271" s="398"/>
      <c r="F271" s="398"/>
      <c r="G271" s="398">
        <f t="shared" si="116"/>
        <v>0</v>
      </c>
      <c r="H271" s="398">
        <f t="shared" si="117"/>
        <v>0</v>
      </c>
      <c r="I271" s="399"/>
      <c r="J271" s="411" t="s">
        <v>29</v>
      </c>
      <c r="K271" s="460" t="s">
        <v>129</v>
      </c>
      <c r="L271" s="411" t="s">
        <v>112</v>
      </c>
      <c r="M271" s="461"/>
      <c r="N271" s="460"/>
      <c r="O271" s="463"/>
      <c r="P271" s="464"/>
    </row>
    <row r="272" spans="1:16" s="416" customFormat="1" ht="14.65" customHeight="1" outlineLevel="2">
      <c r="A272" s="400">
        <v>4</v>
      </c>
      <c r="B272" s="396" t="s">
        <v>223</v>
      </c>
      <c r="C272" s="397" t="s">
        <v>224</v>
      </c>
      <c r="D272" s="398"/>
      <c r="E272" s="398"/>
      <c r="F272" s="398"/>
      <c r="G272" s="398">
        <f t="shared" si="116"/>
        <v>0</v>
      </c>
      <c r="H272" s="398">
        <f t="shared" si="117"/>
        <v>0</v>
      </c>
      <c r="I272" s="399"/>
      <c r="J272" s="411" t="s">
        <v>29</v>
      </c>
      <c r="K272" s="460" t="s">
        <v>249</v>
      </c>
      <c r="L272" s="411" t="s">
        <v>112</v>
      </c>
      <c r="M272" s="461"/>
      <c r="N272" s="460"/>
      <c r="O272" s="463"/>
      <c r="P272" s="464"/>
    </row>
    <row r="273" spans="1:16" s="413" customFormat="1" ht="14" outlineLevel="1">
      <c r="A273" s="388" t="s">
        <v>12</v>
      </c>
      <c r="B273" s="350" t="s">
        <v>22</v>
      </c>
      <c r="C273" s="390" t="s">
        <v>106</v>
      </c>
      <c r="D273" s="391"/>
      <c r="E273" s="391"/>
      <c r="F273" s="391"/>
      <c r="G273" s="391">
        <f>SUBTOTAL(9,G274:G303)</f>
        <v>0</v>
      </c>
      <c r="H273" s="391">
        <f>SUBTOTAL(9,H274:H303)</f>
        <v>0</v>
      </c>
      <c r="I273" s="391"/>
      <c r="J273" s="411"/>
      <c r="K273" s="411"/>
      <c r="L273" s="411"/>
      <c r="M273" s="461"/>
      <c r="N273" s="460"/>
      <c r="O273" s="465"/>
      <c r="P273" s="464"/>
    </row>
    <row r="274" spans="1:16" s="413" customFormat="1" ht="14" outlineLevel="2">
      <c r="A274" s="466">
        <v>1</v>
      </c>
      <c r="B274" s="350" t="s">
        <v>107</v>
      </c>
      <c r="C274" s="390" t="s">
        <v>106</v>
      </c>
      <c r="D274" s="391"/>
      <c r="E274" s="391"/>
      <c r="F274" s="391"/>
      <c r="G274" s="391">
        <f>SUBTOTAL(9,G275:G275)</f>
        <v>0</v>
      </c>
      <c r="H274" s="391">
        <f>SUBTOTAL(9,H275:H275)</f>
        <v>0</v>
      </c>
      <c r="I274" s="392"/>
      <c r="J274" s="411"/>
      <c r="K274" s="412"/>
      <c r="L274" s="467"/>
      <c r="M274" s="461"/>
      <c r="N274" s="467"/>
      <c r="O274" s="468"/>
      <c r="P274" s="414"/>
    </row>
    <row r="275" spans="1:16" s="416" customFormat="1" ht="28" outlineLevel="3">
      <c r="A275" s="400" t="s">
        <v>8</v>
      </c>
      <c r="B275" s="469" t="s">
        <v>897</v>
      </c>
      <c r="C275" s="397" t="s">
        <v>24</v>
      </c>
      <c r="D275" s="398"/>
      <c r="E275" s="398"/>
      <c r="F275" s="398"/>
      <c r="G275" s="398">
        <f>F275*D275</f>
        <v>0</v>
      </c>
      <c r="H275" s="398">
        <f>F275*E275</f>
        <v>0</v>
      </c>
      <c r="I275" s="399"/>
      <c r="J275" s="411" t="s">
        <v>29</v>
      </c>
      <c r="K275" s="411" t="s">
        <v>130</v>
      </c>
      <c r="L275" s="411" t="s">
        <v>112</v>
      </c>
      <c r="M275" s="460"/>
      <c r="N275" s="463"/>
      <c r="O275" s="470"/>
      <c r="P275" s="417"/>
    </row>
    <row r="276" spans="1:16" s="416" customFormat="1" ht="14.65" customHeight="1" outlineLevel="2">
      <c r="A276" s="466">
        <v>2</v>
      </c>
      <c r="B276" s="471" t="s">
        <v>898</v>
      </c>
      <c r="C276" s="397"/>
      <c r="D276" s="462"/>
      <c r="E276" s="462"/>
      <c r="F276" s="462"/>
      <c r="G276" s="391">
        <f>SUBTOTAL(9,G277:G277)</f>
        <v>0</v>
      </c>
      <c r="H276" s="391">
        <f>SUBTOTAL(9,H277:H277)</f>
        <v>0</v>
      </c>
      <c r="I276" s="399"/>
      <c r="J276" s="411"/>
      <c r="K276" s="460"/>
      <c r="L276" s="411"/>
      <c r="M276" s="461"/>
      <c r="N276" s="460"/>
      <c r="O276" s="463"/>
      <c r="P276" s="464"/>
    </row>
    <row r="277" spans="1:16" s="416" customFormat="1" ht="14.65" customHeight="1" outlineLevel="2">
      <c r="A277" s="400">
        <v>2.1</v>
      </c>
      <c r="B277" s="469" t="s">
        <v>899</v>
      </c>
      <c r="C277" s="397" t="s">
        <v>902</v>
      </c>
      <c r="D277" s="462"/>
      <c r="E277" s="462"/>
      <c r="F277" s="462"/>
      <c r="G277" s="398">
        <f t="shared" ref="G277:H279" si="118">F277*D277</f>
        <v>0</v>
      </c>
      <c r="H277" s="391">
        <f t="shared" si="118"/>
        <v>0</v>
      </c>
      <c r="I277" s="399"/>
      <c r="J277" s="411" t="s">
        <v>29</v>
      </c>
      <c r="K277" s="460" t="s">
        <v>130</v>
      </c>
      <c r="L277" s="411" t="s">
        <v>112</v>
      </c>
      <c r="M277" s="461"/>
      <c r="N277" s="460"/>
      <c r="O277" s="463"/>
      <c r="P277" s="464"/>
    </row>
    <row r="278" spans="1:16" s="416" customFormat="1" ht="14.65" customHeight="1" outlineLevel="2">
      <c r="A278" s="400">
        <v>3</v>
      </c>
      <c r="B278" s="471" t="s">
        <v>900</v>
      </c>
      <c r="C278" s="397"/>
      <c r="D278" s="462"/>
      <c r="E278" s="462"/>
      <c r="F278" s="462"/>
      <c r="G278" s="391">
        <f>SUBTOTAL(9,G279:G279)</f>
        <v>0</v>
      </c>
      <c r="H278" s="391">
        <f>SUBTOTAL(9,H279:H279)</f>
        <v>0</v>
      </c>
      <c r="I278" s="399"/>
      <c r="J278" s="411"/>
      <c r="K278" s="460"/>
      <c r="L278" s="411"/>
      <c r="M278" s="461"/>
      <c r="N278" s="460"/>
      <c r="O278" s="463"/>
      <c r="P278" s="464"/>
    </row>
    <row r="279" spans="1:16" s="416" customFormat="1" ht="14.65" customHeight="1" outlineLevel="2">
      <c r="A279" s="400">
        <v>3.1</v>
      </c>
      <c r="B279" s="469" t="s">
        <v>901</v>
      </c>
      <c r="C279" s="397" t="s">
        <v>902</v>
      </c>
      <c r="D279" s="462"/>
      <c r="E279" s="462"/>
      <c r="F279" s="462"/>
      <c r="G279" s="398">
        <f t="shared" si="118"/>
        <v>0</v>
      </c>
      <c r="H279" s="398">
        <f t="shared" ref="H279" si="119">F279*E279</f>
        <v>0</v>
      </c>
      <c r="I279" s="399"/>
      <c r="J279" s="411" t="s">
        <v>29</v>
      </c>
      <c r="K279" s="460" t="s">
        <v>130</v>
      </c>
      <c r="L279" s="411" t="s">
        <v>112</v>
      </c>
      <c r="M279" s="461"/>
      <c r="N279" s="460"/>
      <c r="O279" s="463"/>
      <c r="P279" s="464"/>
    </row>
    <row r="280" spans="1:16" s="413" customFormat="1" ht="28" outlineLevel="2">
      <c r="A280" s="466">
        <v>4</v>
      </c>
      <c r="B280" s="350" t="s">
        <v>225</v>
      </c>
      <c r="C280" s="390" t="s">
        <v>106</v>
      </c>
      <c r="D280" s="391"/>
      <c r="E280" s="391"/>
      <c r="F280" s="391"/>
      <c r="G280" s="391">
        <f>SUBTOTAL(9,G281:G287)</f>
        <v>0</v>
      </c>
      <c r="H280" s="391">
        <f>SUBTOTAL(9,H281:H287)</f>
        <v>0</v>
      </c>
      <c r="I280" s="392"/>
      <c r="J280" s="411"/>
      <c r="K280" s="412"/>
      <c r="L280" s="467"/>
      <c r="M280" s="461"/>
      <c r="N280" s="467"/>
      <c r="O280" s="468"/>
      <c r="P280" s="414"/>
    </row>
    <row r="281" spans="1:16" s="416" customFormat="1" ht="16.5" customHeight="1" outlineLevel="3">
      <c r="A281" s="400" t="s">
        <v>8</v>
      </c>
      <c r="B281" s="415" t="s">
        <v>338</v>
      </c>
      <c r="C281" s="397" t="s">
        <v>39</v>
      </c>
      <c r="D281" s="398"/>
      <c r="E281" s="398"/>
      <c r="F281" s="398"/>
      <c r="G281" s="398">
        <f t="shared" ref="G281:G287" si="120">F281*D281</f>
        <v>0</v>
      </c>
      <c r="H281" s="398">
        <f t="shared" ref="H281:H287" si="121">F281*E281</f>
        <v>0</v>
      </c>
      <c r="I281" s="399"/>
      <c r="J281" s="411" t="s">
        <v>29</v>
      </c>
      <c r="K281" s="411" t="s">
        <v>130</v>
      </c>
      <c r="L281" s="411" t="s">
        <v>112</v>
      </c>
      <c r="M281" s="460"/>
      <c r="N281" s="463"/>
      <c r="O281" s="470"/>
      <c r="P281" s="417"/>
    </row>
    <row r="282" spans="1:16" s="416" customFormat="1" ht="16.5" customHeight="1" outlineLevel="3">
      <c r="A282" s="400" t="s">
        <v>8</v>
      </c>
      <c r="B282" s="415" t="s">
        <v>226</v>
      </c>
      <c r="C282" s="397" t="s">
        <v>10</v>
      </c>
      <c r="D282" s="398"/>
      <c r="E282" s="398"/>
      <c r="F282" s="398"/>
      <c r="G282" s="398">
        <f t="shared" si="120"/>
        <v>0</v>
      </c>
      <c r="H282" s="398">
        <f t="shared" si="121"/>
        <v>0</v>
      </c>
      <c r="I282" s="399"/>
      <c r="J282" s="411" t="s">
        <v>29</v>
      </c>
      <c r="K282" s="411" t="s">
        <v>130</v>
      </c>
      <c r="L282" s="411" t="s">
        <v>112</v>
      </c>
      <c r="M282" s="460"/>
      <c r="N282" s="463"/>
      <c r="O282" s="470"/>
      <c r="P282" s="417"/>
    </row>
    <row r="283" spans="1:16" s="416" customFormat="1" ht="16.5" customHeight="1" outlineLevel="3">
      <c r="A283" s="400" t="s">
        <v>8</v>
      </c>
      <c r="B283" s="415" t="s">
        <v>227</v>
      </c>
      <c r="C283" s="397" t="s">
        <v>228</v>
      </c>
      <c r="D283" s="398"/>
      <c r="E283" s="398"/>
      <c r="F283" s="398"/>
      <c r="G283" s="398">
        <f t="shared" si="120"/>
        <v>0</v>
      </c>
      <c r="H283" s="398">
        <f t="shared" si="121"/>
        <v>0</v>
      </c>
      <c r="I283" s="399"/>
      <c r="J283" s="411" t="s">
        <v>29</v>
      </c>
      <c r="K283" s="411" t="s">
        <v>130</v>
      </c>
      <c r="L283" s="411" t="s">
        <v>112</v>
      </c>
      <c r="M283" s="460"/>
      <c r="N283" s="463"/>
      <c r="O283" s="470"/>
      <c r="P283" s="417"/>
    </row>
    <row r="284" spans="1:16" s="416" customFormat="1" ht="14" outlineLevel="3">
      <c r="A284" s="400" t="s">
        <v>8</v>
      </c>
      <c r="B284" s="415" t="s">
        <v>229</v>
      </c>
      <c r="C284" s="397" t="s">
        <v>228</v>
      </c>
      <c r="D284" s="398"/>
      <c r="E284" s="398"/>
      <c r="F284" s="398"/>
      <c r="G284" s="398">
        <f t="shared" si="120"/>
        <v>0</v>
      </c>
      <c r="H284" s="398">
        <f t="shared" si="121"/>
        <v>0</v>
      </c>
      <c r="I284" s="399"/>
      <c r="J284" s="411" t="s">
        <v>29</v>
      </c>
      <c r="K284" s="411" t="s">
        <v>130</v>
      </c>
      <c r="L284" s="411" t="s">
        <v>112</v>
      </c>
      <c r="M284" s="460"/>
      <c r="N284" s="463"/>
      <c r="O284" s="470"/>
      <c r="P284" s="417"/>
    </row>
    <row r="285" spans="1:16" s="416" customFormat="1" ht="16.5" customHeight="1" outlineLevel="3">
      <c r="A285" s="400" t="s">
        <v>8</v>
      </c>
      <c r="B285" s="415" t="s">
        <v>205</v>
      </c>
      <c r="C285" s="397" t="s">
        <v>228</v>
      </c>
      <c r="D285" s="398"/>
      <c r="E285" s="398"/>
      <c r="F285" s="398"/>
      <c r="G285" s="398">
        <f t="shared" si="120"/>
        <v>0</v>
      </c>
      <c r="H285" s="398">
        <f t="shared" si="121"/>
        <v>0</v>
      </c>
      <c r="I285" s="399"/>
      <c r="J285" s="411" t="s">
        <v>29</v>
      </c>
      <c r="K285" s="411" t="s">
        <v>130</v>
      </c>
      <c r="L285" s="411" t="s">
        <v>112</v>
      </c>
      <c r="M285" s="460"/>
      <c r="N285" s="463"/>
      <c r="O285" s="470"/>
      <c r="P285" s="417"/>
    </row>
    <row r="286" spans="1:16" s="416" customFormat="1" ht="16.5" customHeight="1" outlineLevel="3">
      <c r="A286" s="400" t="s">
        <v>8</v>
      </c>
      <c r="B286" s="415" t="s">
        <v>230</v>
      </c>
      <c r="C286" s="397" t="s">
        <v>39</v>
      </c>
      <c r="D286" s="398"/>
      <c r="E286" s="398"/>
      <c r="F286" s="398"/>
      <c r="G286" s="398">
        <f t="shared" si="120"/>
        <v>0</v>
      </c>
      <c r="H286" s="398">
        <f t="shared" si="121"/>
        <v>0</v>
      </c>
      <c r="I286" s="399"/>
      <c r="J286" s="411" t="s">
        <v>29</v>
      </c>
      <c r="K286" s="411" t="s">
        <v>130</v>
      </c>
      <c r="L286" s="411" t="s">
        <v>112</v>
      </c>
      <c r="M286" s="460"/>
      <c r="N286" s="463"/>
      <c r="O286" s="470"/>
      <c r="P286" s="417"/>
    </row>
    <row r="287" spans="1:16" s="416" customFormat="1" ht="16.5" customHeight="1" outlineLevel="3">
      <c r="A287" s="400" t="s">
        <v>8</v>
      </c>
      <c r="B287" s="415" t="s">
        <v>231</v>
      </c>
      <c r="C287" s="397" t="s">
        <v>228</v>
      </c>
      <c r="D287" s="398"/>
      <c r="E287" s="398"/>
      <c r="F287" s="398"/>
      <c r="G287" s="398">
        <f t="shared" si="120"/>
        <v>0</v>
      </c>
      <c r="H287" s="398">
        <f t="shared" si="121"/>
        <v>0</v>
      </c>
      <c r="I287" s="399"/>
      <c r="J287" s="411" t="s">
        <v>29</v>
      </c>
      <c r="K287" s="411" t="s">
        <v>130</v>
      </c>
      <c r="L287" s="411" t="s">
        <v>112</v>
      </c>
      <c r="M287" s="460"/>
      <c r="N287" s="463"/>
      <c r="O287" s="470"/>
      <c r="P287" s="417"/>
    </row>
    <row r="288" spans="1:16" s="416" customFormat="1" ht="14" outlineLevel="2">
      <c r="A288" s="466">
        <v>5</v>
      </c>
      <c r="B288" s="389" t="s">
        <v>232</v>
      </c>
      <c r="C288" s="390" t="s">
        <v>106</v>
      </c>
      <c r="D288" s="391"/>
      <c r="E288" s="391"/>
      <c r="F288" s="391"/>
      <c r="G288" s="391">
        <f>SUBTOTAL(9,G289:G297)</f>
        <v>0</v>
      </c>
      <c r="H288" s="391">
        <f>SUBTOTAL(9,H289:H297)</f>
        <v>0</v>
      </c>
      <c r="I288" s="391"/>
      <c r="J288" s="411"/>
      <c r="K288" s="460"/>
      <c r="L288" s="411"/>
      <c r="M288" s="461"/>
      <c r="N288" s="460"/>
      <c r="O288" s="463"/>
      <c r="P288" s="464"/>
    </row>
    <row r="289" spans="1:16" s="416" customFormat="1" ht="14" outlineLevel="3">
      <c r="A289" s="400">
        <v>5.0999999999999996</v>
      </c>
      <c r="B289" s="396" t="s">
        <v>233</v>
      </c>
      <c r="C289" s="397"/>
      <c r="D289" s="398"/>
      <c r="E289" s="398"/>
      <c r="F289" s="398"/>
      <c r="G289" s="398"/>
      <c r="H289" s="398"/>
      <c r="I289" s="399"/>
      <c r="J289" s="411"/>
      <c r="K289" s="411"/>
      <c r="L289" s="411" t="s">
        <v>112</v>
      </c>
      <c r="M289" s="461"/>
      <c r="N289" s="460"/>
      <c r="O289" s="463"/>
      <c r="P289" s="464"/>
    </row>
    <row r="290" spans="1:16" s="416" customFormat="1" ht="14" outlineLevel="3">
      <c r="A290" s="400" t="s">
        <v>8</v>
      </c>
      <c r="B290" s="396" t="s">
        <v>58</v>
      </c>
      <c r="C290" s="397"/>
      <c r="D290" s="398"/>
      <c r="E290" s="398"/>
      <c r="F290" s="398"/>
      <c r="G290" s="398">
        <f t="shared" ref="G290:G297" si="122">F290*D290</f>
        <v>0</v>
      </c>
      <c r="H290" s="398">
        <f t="shared" ref="H290:H297" si="123">F290*E290</f>
        <v>0</v>
      </c>
      <c r="I290" s="399"/>
      <c r="J290" s="411" t="s">
        <v>29</v>
      </c>
      <c r="K290" s="411" t="s">
        <v>125</v>
      </c>
      <c r="L290" s="411" t="s">
        <v>112</v>
      </c>
      <c r="M290" s="461"/>
      <c r="N290" s="460"/>
      <c r="O290" s="463"/>
      <c r="P290" s="464"/>
    </row>
    <row r="291" spans="1:16" s="416" customFormat="1" ht="14" outlineLevel="3">
      <c r="A291" s="400" t="s">
        <v>149</v>
      </c>
      <c r="B291" s="396" t="s">
        <v>193</v>
      </c>
      <c r="C291" s="397" t="s">
        <v>224</v>
      </c>
      <c r="D291" s="398"/>
      <c r="E291" s="398"/>
      <c r="F291" s="398"/>
      <c r="G291" s="398">
        <f t="shared" si="122"/>
        <v>0</v>
      </c>
      <c r="H291" s="398">
        <f t="shared" si="123"/>
        <v>0</v>
      </c>
      <c r="I291" s="399"/>
      <c r="J291" s="411" t="s">
        <v>29</v>
      </c>
      <c r="K291" s="411" t="s">
        <v>125</v>
      </c>
      <c r="L291" s="411" t="s">
        <v>112</v>
      </c>
      <c r="M291" s="461"/>
      <c r="N291" s="460"/>
      <c r="O291" s="463"/>
      <c r="P291" s="464"/>
    </row>
    <row r="292" spans="1:16" s="416" customFormat="1" ht="14" outlineLevel="3">
      <c r="A292" s="400" t="s">
        <v>149</v>
      </c>
      <c r="B292" s="396" t="s">
        <v>194</v>
      </c>
      <c r="C292" s="397" t="s">
        <v>224</v>
      </c>
      <c r="D292" s="398"/>
      <c r="E292" s="398"/>
      <c r="F292" s="398"/>
      <c r="G292" s="398">
        <f t="shared" si="122"/>
        <v>0</v>
      </c>
      <c r="H292" s="398">
        <f t="shared" si="123"/>
        <v>0</v>
      </c>
      <c r="I292" s="399"/>
      <c r="J292" s="411" t="s">
        <v>29</v>
      </c>
      <c r="K292" s="411" t="s">
        <v>125</v>
      </c>
      <c r="L292" s="411" t="s">
        <v>112</v>
      </c>
      <c r="M292" s="461"/>
      <c r="N292" s="460"/>
      <c r="O292" s="463"/>
      <c r="P292" s="464"/>
    </row>
    <row r="293" spans="1:16" s="416" customFormat="1" ht="14" outlineLevel="3">
      <c r="A293" s="400" t="s">
        <v>8</v>
      </c>
      <c r="B293" s="396" t="s">
        <v>234</v>
      </c>
      <c r="C293" s="397"/>
      <c r="D293" s="398"/>
      <c r="E293" s="398"/>
      <c r="F293" s="398"/>
      <c r="G293" s="398">
        <f t="shared" si="122"/>
        <v>0</v>
      </c>
      <c r="H293" s="398">
        <f t="shared" si="123"/>
        <v>0</v>
      </c>
      <c r="I293" s="399"/>
      <c r="J293" s="411" t="s">
        <v>29</v>
      </c>
      <c r="K293" s="411" t="s">
        <v>125</v>
      </c>
      <c r="L293" s="411" t="s">
        <v>112</v>
      </c>
      <c r="M293" s="461"/>
      <c r="N293" s="460"/>
      <c r="O293" s="463"/>
      <c r="P293" s="464"/>
    </row>
    <row r="294" spans="1:16" s="416" customFormat="1" ht="14" outlineLevel="3">
      <c r="A294" s="400" t="s">
        <v>149</v>
      </c>
      <c r="B294" s="396" t="s">
        <v>235</v>
      </c>
      <c r="C294" s="397" t="s">
        <v>224</v>
      </c>
      <c r="D294" s="398"/>
      <c r="E294" s="398"/>
      <c r="F294" s="398"/>
      <c r="G294" s="398">
        <f t="shared" si="122"/>
        <v>0</v>
      </c>
      <c r="H294" s="398">
        <f t="shared" si="123"/>
        <v>0</v>
      </c>
      <c r="I294" s="399"/>
      <c r="J294" s="411" t="s">
        <v>29</v>
      </c>
      <c r="K294" s="411" t="s">
        <v>125</v>
      </c>
      <c r="L294" s="411" t="s">
        <v>112</v>
      </c>
      <c r="M294" s="461"/>
      <c r="N294" s="460"/>
      <c r="O294" s="463"/>
      <c r="P294" s="464"/>
    </row>
    <row r="295" spans="1:16" s="416" customFormat="1" ht="14" outlineLevel="3">
      <c r="A295" s="400" t="s">
        <v>149</v>
      </c>
      <c r="B295" s="396" t="s">
        <v>196</v>
      </c>
      <c r="C295" s="397" t="s">
        <v>224</v>
      </c>
      <c r="D295" s="398"/>
      <c r="E295" s="398"/>
      <c r="F295" s="398"/>
      <c r="G295" s="398">
        <f t="shared" si="122"/>
        <v>0</v>
      </c>
      <c r="H295" s="398">
        <f t="shared" si="123"/>
        <v>0</v>
      </c>
      <c r="I295" s="399"/>
      <c r="J295" s="411" t="s">
        <v>29</v>
      </c>
      <c r="K295" s="411" t="s">
        <v>125</v>
      </c>
      <c r="L295" s="411" t="s">
        <v>112</v>
      </c>
      <c r="M295" s="461"/>
      <c r="N295" s="460"/>
      <c r="O295" s="463"/>
      <c r="P295" s="464"/>
    </row>
    <row r="296" spans="1:16" s="416" customFormat="1" ht="14" outlineLevel="3">
      <c r="A296" s="400" t="s">
        <v>149</v>
      </c>
      <c r="B296" s="396" t="s">
        <v>236</v>
      </c>
      <c r="C296" s="397" t="s">
        <v>39</v>
      </c>
      <c r="D296" s="398"/>
      <c r="E296" s="398"/>
      <c r="F296" s="398"/>
      <c r="G296" s="398">
        <f t="shared" si="122"/>
        <v>0</v>
      </c>
      <c r="H296" s="398">
        <f t="shared" si="123"/>
        <v>0</v>
      </c>
      <c r="I296" s="399"/>
      <c r="J296" s="411" t="s">
        <v>29</v>
      </c>
      <c r="K296" s="411" t="s">
        <v>125</v>
      </c>
      <c r="L296" s="411" t="s">
        <v>112</v>
      </c>
      <c r="M296" s="461"/>
      <c r="N296" s="460"/>
      <c r="O296" s="463"/>
      <c r="P296" s="464"/>
    </row>
    <row r="297" spans="1:16" s="416" customFormat="1" ht="14" outlineLevel="3">
      <c r="A297" s="400">
        <v>5.2</v>
      </c>
      <c r="B297" s="396" t="s">
        <v>237</v>
      </c>
      <c r="C297" s="397" t="s">
        <v>10</v>
      </c>
      <c r="D297" s="398"/>
      <c r="E297" s="398"/>
      <c r="F297" s="398"/>
      <c r="G297" s="398">
        <f t="shared" si="122"/>
        <v>0</v>
      </c>
      <c r="H297" s="398">
        <f t="shared" si="123"/>
        <v>0</v>
      </c>
      <c r="I297" s="399"/>
      <c r="J297" s="411" t="s">
        <v>29</v>
      </c>
      <c r="K297" s="411" t="s">
        <v>125</v>
      </c>
      <c r="L297" s="411" t="s">
        <v>112</v>
      </c>
      <c r="M297" s="461"/>
      <c r="N297" s="460"/>
      <c r="O297" s="463"/>
      <c r="P297" s="464"/>
    </row>
    <row r="298" spans="1:16" s="413" customFormat="1" ht="14" outlineLevel="2">
      <c r="A298" s="466">
        <v>6</v>
      </c>
      <c r="B298" s="350" t="s">
        <v>206</v>
      </c>
      <c r="C298" s="390" t="s">
        <v>106</v>
      </c>
      <c r="D298" s="391"/>
      <c r="E298" s="391"/>
      <c r="F298" s="391"/>
      <c r="G298" s="391">
        <f>SUBTOTAL(9,G299:G299)</f>
        <v>0</v>
      </c>
      <c r="H298" s="391">
        <f>SUBTOTAL(9,H299:H299)</f>
        <v>0</v>
      </c>
      <c r="I298" s="392"/>
      <c r="J298" s="411"/>
      <c r="K298" s="412"/>
      <c r="L298" s="467"/>
      <c r="M298" s="461"/>
      <c r="N298" s="467"/>
      <c r="O298" s="468"/>
      <c r="P298" s="414"/>
    </row>
    <row r="299" spans="1:16" s="416" customFormat="1" ht="14" outlineLevel="3">
      <c r="A299" s="400" t="s">
        <v>8</v>
      </c>
      <c r="B299" s="472" t="s">
        <v>238</v>
      </c>
      <c r="C299" s="397" t="s">
        <v>39</v>
      </c>
      <c r="D299" s="398"/>
      <c r="E299" s="398"/>
      <c r="F299" s="398"/>
      <c r="G299" s="398">
        <f>F299*D299</f>
        <v>0</v>
      </c>
      <c r="H299" s="398">
        <f>F299*E299</f>
        <v>0</v>
      </c>
      <c r="I299" s="399"/>
      <c r="J299" s="411" t="s">
        <v>29</v>
      </c>
      <c r="K299" s="411" t="s">
        <v>125</v>
      </c>
      <c r="L299" s="411" t="s">
        <v>112</v>
      </c>
      <c r="M299" s="460"/>
      <c r="N299" s="463"/>
      <c r="O299" s="470"/>
      <c r="P299" s="417"/>
    </row>
    <row r="300" spans="1:16" s="413" customFormat="1" ht="14" outlineLevel="2">
      <c r="A300" s="466">
        <v>7</v>
      </c>
      <c r="B300" s="350" t="s">
        <v>108</v>
      </c>
      <c r="C300" s="390" t="s">
        <v>106</v>
      </c>
      <c r="D300" s="391"/>
      <c r="E300" s="391"/>
      <c r="F300" s="391"/>
      <c r="G300" s="391">
        <f>SUBTOTAL(9,G301:G303)</f>
        <v>0</v>
      </c>
      <c r="H300" s="391">
        <f>SUBTOTAL(9,H301:H301)</f>
        <v>0</v>
      </c>
      <c r="I300" s="391"/>
      <c r="J300" s="411"/>
      <c r="K300" s="412"/>
      <c r="L300" s="467"/>
      <c r="M300" s="461"/>
      <c r="N300" s="467"/>
      <c r="O300" s="468"/>
      <c r="P300" s="414"/>
    </row>
    <row r="301" spans="1:16" s="416" customFormat="1" ht="14" outlineLevel="3">
      <c r="A301" s="400" t="s">
        <v>8</v>
      </c>
      <c r="B301" s="396" t="s">
        <v>239</v>
      </c>
      <c r="C301" s="397" t="s">
        <v>240</v>
      </c>
      <c r="D301" s="398"/>
      <c r="E301" s="398"/>
      <c r="F301" s="398"/>
      <c r="G301" s="398">
        <f t="shared" ref="G301:G303" si="124">F301*D301</f>
        <v>0</v>
      </c>
      <c r="H301" s="398">
        <f t="shared" ref="H301:H303" si="125">F301*E301</f>
        <v>0</v>
      </c>
      <c r="I301" s="399"/>
      <c r="J301" s="411" t="s">
        <v>29</v>
      </c>
      <c r="K301" s="411" t="s">
        <v>125</v>
      </c>
      <c r="L301" s="411" t="s">
        <v>112</v>
      </c>
      <c r="M301" s="460"/>
      <c r="N301" s="463"/>
      <c r="O301" s="470"/>
      <c r="P301" s="417"/>
    </row>
    <row r="302" spans="1:16" s="416" customFormat="1" ht="14" outlineLevel="3">
      <c r="A302" s="400" t="s">
        <v>8</v>
      </c>
      <c r="B302" s="396" t="s">
        <v>241</v>
      </c>
      <c r="C302" s="397" t="s">
        <v>240</v>
      </c>
      <c r="D302" s="398"/>
      <c r="E302" s="398"/>
      <c r="F302" s="398"/>
      <c r="G302" s="398">
        <f t="shared" si="124"/>
        <v>0</v>
      </c>
      <c r="H302" s="398">
        <f t="shared" si="125"/>
        <v>0</v>
      </c>
      <c r="I302" s="399"/>
      <c r="J302" s="411" t="s">
        <v>29</v>
      </c>
      <c r="K302" s="411" t="s">
        <v>125</v>
      </c>
      <c r="L302" s="411" t="s">
        <v>112</v>
      </c>
      <c r="M302" s="460"/>
      <c r="N302" s="463"/>
      <c r="O302" s="470"/>
      <c r="P302" s="417"/>
    </row>
    <row r="303" spans="1:16" s="416" customFormat="1" ht="14" outlineLevel="3">
      <c r="A303" s="400" t="s">
        <v>8</v>
      </c>
      <c r="B303" s="396" t="s">
        <v>242</v>
      </c>
      <c r="C303" s="397" t="s">
        <v>240</v>
      </c>
      <c r="D303" s="398"/>
      <c r="E303" s="398"/>
      <c r="F303" s="398"/>
      <c r="G303" s="398">
        <f t="shared" si="124"/>
        <v>0</v>
      </c>
      <c r="H303" s="398">
        <f t="shared" si="125"/>
        <v>0</v>
      </c>
      <c r="I303" s="399"/>
      <c r="J303" s="411" t="s">
        <v>29</v>
      </c>
      <c r="K303" s="411" t="s">
        <v>125</v>
      </c>
      <c r="L303" s="411" t="s">
        <v>112</v>
      </c>
      <c r="M303" s="460"/>
      <c r="N303" s="463"/>
      <c r="O303" s="470"/>
      <c r="P303" s="417"/>
    </row>
    <row r="304" spans="1:16" s="416" customFormat="1" ht="14" outlineLevel="3">
      <c r="A304" s="466" t="s">
        <v>19</v>
      </c>
      <c r="B304" s="389" t="s">
        <v>176</v>
      </c>
      <c r="C304" s="397"/>
      <c r="D304" s="398"/>
      <c r="E304" s="398"/>
      <c r="F304" s="398"/>
      <c r="G304" s="398">
        <f>SUBTOTAL(9,G305:G320)</f>
        <v>248865.75999999998</v>
      </c>
      <c r="H304" s="398">
        <f>SUBTOTAL(9,H305:H320)</f>
        <v>157764.84000000003</v>
      </c>
      <c r="I304" s="399"/>
      <c r="J304" s="411"/>
      <c r="K304" s="411"/>
      <c r="L304" s="411"/>
      <c r="M304" s="460"/>
      <c r="N304" s="463"/>
      <c r="O304" s="470"/>
      <c r="P304" s="417"/>
    </row>
    <row r="305" spans="1:16" s="478" customFormat="1" ht="14.9" customHeight="1" outlineLevel="2">
      <c r="A305" s="400">
        <v>1</v>
      </c>
      <c r="B305" s="396" t="s">
        <v>561</v>
      </c>
      <c r="C305" s="397" t="s">
        <v>470</v>
      </c>
      <c r="D305" s="398">
        <v>86000</v>
      </c>
      <c r="E305" s="398">
        <v>18000</v>
      </c>
      <c r="F305" s="462">
        <v>0.13500000000000001</v>
      </c>
      <c r="G305" s="398">
        <f>D305*$F305</f>
        <v>11610</v>
      </c>
      <c r="H305" s="398">
        <f>E305*$F305</f>
        <v>2430</v>
      </c>
      <c r="I305" s="473"/>
      <c r="J305" s="411" t="s">
        <v>29</v>
      </c>
      <c r="K305" s="411" t="s">
        <v>192</v>
      </c>
      <c r="L305" s="411" t="s">
        <v>112</v>
      </c>
      <c r="M305" s="474"/>
      <c r="N305" s="475"/>
      <c r="O305" s="476"/>
      <c r="P305" s="477"/>
    </row>
    <row r="306" spans="1:16" s="478" customFormat="1" ht="14.9" customHeight="1" outlineLevel="2">
      <c r="A306" s="400">
        <v>2</v>
      </c>
      <c r="B306" s="396" t="s">
        <v>562</v>
      </c>
      <c r="C306" s="397" t="s">
        <v>470</v>
      </c>
      <c r="D306" s="398">
        <v>198000</v>
      </c>
      <c r="E306" s="398">
        <v>132000</v>
      </c>
      <c r="F306" s="462">
        <v>0.15</v>
      </c>
      <c r="G306" s="398">
        <f t="shared" ref="G306:H320" si="126">D306*$F306</f>
        <v>29700</v>
      </c>
      <c r="H306" s="398">
        <f t="shared" si="126"/>
        <v>19800</v>
      </c>
      <c r="I306" s="473"/>
      <c r="J306" s="411" t="s">
        <v>29</v>
      </c>
      <c r="K306" s="411" t="s">
        <v>192</v>
      </c>
      <c r="L306" s="411" t="s">
        <v>112</v>
      </c>
      <c r="M306" s="474"/>
      <c r="N306" s="475"/>
      <c r="O306" s="476"/>
      <c r="P306" s="477"/>
    </row>
    <row r="307" spans="1:16" s="478" customFormat="1" ht="14.9" customHeight="1" outlineLevel="2">
      <c r="A307" s="400">
        <v>3</v>
      </c>
      <c r="B307" s="396" t="s">
        <v>563</v>
      </c>
      <c r="C307" s="397" t="s">
        <v>564</v>
      </c>
      <c r="D307" s="398">
        <v>174.32</v>
      </c>
      <c r="E307" s="398">
        <v>89.88</v>
      </c>
      <c r="F307" s="462">
        <v>33</v>
      </c>
      <c r="G307" s="398">
        <f t="shared" si="126"/>
        <v>5752.5599999999995</v>
      </c>
      <c r="H307" s="398">
        <f t="shared" si="126"/>
        <v>2966.04</v>
      </c>
      <c r="I307" s="473"/>
      <c r="J307" s="411" t="s">
        <v>29</v>
      </c>
      <c r="K307" s="411" t="s">
        <v>192</v>
      </c>
      <c r="L307" s="411" t="s">
        <v>112</v>
      </c>
      <c r="M307" s="474"/>
      <c r="N307" s="475"/>
      <c r="O307" s="476"/>
      <c r="P307" s="477"/>
    </row>
    <row r="308" spans="1:16" s="478" customFormat="1" ht="14.9" customHeight="1" outlineLevel="2">
      <c r="A308" s="400">
        <v>4</v>
      </c>
      <c r="B308" s="396" t="s">
        <v>565</v>
      </c>
      <c r="C308" s="397" t="s">
        <v>564</v>
      </c>
      <c r="D308" s="398">
        <v>201</v>
      </c>
      <c r="E308" s="398">
        <v>134</v>
      </c>
      <c r="F308" s="462">
        <v>5</v>
      </c>
      <c r="G308" s="398">
        <f t="shared" si="126"/>
        <v>1005</v>
      </c>
      <c r="H308" s="398">
        <f t="shared" si="126"/>
        <v>670</v>
      </c>
      <c r="I308" s="473"/>
      <c r="J308" s="411" t="s">
        <v>29</v>
      </c>
      <c r="K308" s="411" t="s">
        <v>192</v>
      </c>
      <c r="L308" s="411" t="s">
        <v>112</v>
      </c>
      <c r="M308" s="474"/>
      <c r="N308" s="475"/>
      <c r="O308" s="476"/>
      <c r="P308" s="477"/>
    </row>
    <row r="309" spans="1:16" s="478" customFormat="1" ht="14.9" customHeight="1" outlineLevel="2">
      <c r="A309" s="400">
        <v>5</v>
      </c>
      <c r="B309" s="396" t="s">
        <v>566</v>
      </c>
      <c r="C309" s="397" t="s">
        <v>564</v>
      </c>
      <c r="D309" s="398">
        <v>204</v>
      </c>
      <c r="E309" s="398">
        <v>134</v>
      </c>
      <c r="F309" s="462">
        <v>5</v>
      </c>
      <c r="G309" s="398">
        <f t="shared" si="126"/>
        <v>1020</v>
      </c>
      <c r="H309" s="398">
        <f t="shared" si="126"/>
        <v>670</v>
      </c>
      <c r="I309" s="473"/>
      <c r="J309" s="411" t="s">
        <v>29</v>
      </c>
      <c r="K309" s="411" t="s">
        <v>192</v>
      </c>
      <c r="L309" s="411" t="s">
        <v>112</v>
      </c>
      <c r="M309" s="474"/>
      <c r="N309" s="475"/>
      <c r="O309" s="476"/>
      <c r="P309" s="477"/>
    </row>
    <row r="310" spans="1:16" s="478" customFormat="1" ht="14.9" customHeight="1" outlineLevel="2">
      <c r="A310" s="400">
        <v>6</v>
      </c>
      <c r="B310" s="396" t="s">
        <v>567</v>
      </c>
      <c r="C310" s="397" t="s">
        <v>564</v>
      </c>
      <c r="D310" s="398">
        <v>272</v>
      </c>
      <c r="E310" s="398">
        <v>142</v>
      </c>
      <c r="F310" s="462">
        <v>45</v>
      </c>
      <c r="G310" s="398">
        <f t="shared" si="126"/>
        <v>12240</v>
      </c>
      <c r="H310" s="398">
        <f t="shared" si="126"/>
        <v>6390</v>
      </c>
      <c r="I310" s="473"/>
      <c r="J310" s="411" t="s">
        <v>29</v>
      </c>
      <c r="K310" s="411" t="s">
        <v>192</v>
      </c>
      <c r="L310" s="411" t="s">
        <v>112</v>
      </c>
      <c r="M310" s="474"/>
      <c r="N310" s="475"/>
      <c r="O310" s="476"/>
      <c r="P310" s="477"/>
    </row>
    <row r="311" spans="1:16" s="478" customFormat="1" ht="14.9" customHeight="1" outlineLevel="2">
      <c r="A311" s="400">
        <v>7</v>
      </c>
      <c r="B311" s="396" t="s">
        <v>568</v>
      </c>
      <c r="C311" s="397" t="s">
        <v>564</v>
      </c>
      <c r="D311" s="398">
        <v>191</v>
      </c>
      <c r="E311" s="398">
        <v>122</v>
      </c>
      <c r="F311" s="462">
        <v>35</v>
      </c>
      <c r="G311" s="398">
        <f t="shared" si="126"/>
        <v>6685</v>
      </c>
      <c r="H311" s="398">
        <f t="shared" si="126"/>
        <v>4270</v>
      </c>
      <c r="I311" s="473"/>
      <c r="J311" s="411" t="s">
        <v>29</v>
      </c>
      <c r="K311" s="411" t="s">
        <v>192</v>
      </c>
      <c r="L311" s="411" t="s">
        <v>112</v>
      </c>
      <c r="M311" s="474"/>
      <c r="N311" s="475"/>
      <c r="O311" s="476"/>
      <c r="P311" s="477"/>
    </row>
    <row r="312" spans="1:16" s="478" customFormat="1" ht="14.9" customHeight="1" outlineLevel="2">
      <c r="A312" s="400">
        <v>8</v>
      </c>
      <c r="B312" s="396" t="s">
        <v>569</v>
      </c>
      <c r="C312" s="397" t="s">
        <v>470</v>
      </c>
      <c r="D312" s="398">
        <v>198000</v>
      </c>
      <c r="E312" s="398">
        <v>132000</v>
      </c>
      <c r="F312" s="462">
        <v>0.33500000000000002</v>
      </c>
      <c r="G312" s="398">
        <f t="shared" si="126"/>
        <v>66330</v>
      </c>
      <c r="H312" s="398">
        <f t="shared" si="126"/>
        <v>44220</v>
      </c>
      <c r="I312" s="473"/>
      <c r="J312" s="411" t="s">
        <v>29</v>
      </c>
      <c r="K312" s="411" t="s">
        <v>192</v>
      </c>
      <c r="L312" s="411" t="s">
        <v>112</v>
      </c>
      <c r="M312" s="474"/>
      <c r="N312" s="475"/>
      <c r="O312" s="476"/>
      <c r="P312" s="477"/>
    </row>
    <row r="313" spans="1:16" s="478" customFormat="1" ht="14.9" customHeight="1" outlineLevel="2">
      <c r="A313" s="400">
        <v>9</v>
      </c>
      <c r="B313" s="396" t="s">
        <v>570</v>
      </c>
      <c r="C313" s="397" t="s">
        <v>571</v>
      </c>
      <c r="D313" s="398">
        <v>1728</v>
      </c>
      <c r="E313" s="398">
        <v>1152</v>
      </c>
      <c r="F313" s="462">
        <v>3.1</v>
      </c>
      <c r="G313" s="398">
        <f t="shared" si="126"/>
        <v>5356.8</v>
      </c>
      <c r="H313" s="398">
        <f t="shared" si="126"/>
        <v>3571.2000000000003</v>
      </c>
      <c r="I313" s="473"/>
      <c r="J313" s="411" t="s">
        <v>29</v>
      </c>
      <c r="K313" s="411" t="s">
        <v>192</v>
      </c>
      <c r="L313" s="411" t="s">
        <v>112</v>
      </c>
      <c r="M313" s="474"/>
      <c r="N313" s="475"/>
      <c r="O313" s="476"/>
      <c r="P313" s="477"/>
    </row>
    <row r="314" spans="1:16" s="478" customFormat="1" ht="14.9" customHeight="1" outlineLevel="2">
      <c r="A314" s="400">
        <v>10</v>
      </c>
      <c r="B314" s="396" t="s">
        <v>572</v>
      </c>
      <c r="C314" s="397" t="s">
        <v>571</v>
      </c>
      <c r="D314" s="398">
        <v>3456</v>
      </c>
      <c r="E314" s="398">
        <v>2304</v>
      </c>
      <c r="F314" s="462">
        <v>3</v>
      </c>
      <c r="G314" s="398">
        <f t="shared" si="126"/>
        <v>10368</v>
      </c>
      <c r="H314" s="398">
        <f t="shared" si="126"/>
        <v>6912</v>
      </c>
      <c r="I314" s="473"/>
      <c r="J314" s="411" t="s">
        <v>29</v>
      </c>
      <c r="K314" s="411" t="s">
        <v>192</v>
      </c>
      <c r="L314" s="411" t="s">
        <v>112</v>
      </c>
      <c r="M314" s="474"/>
      <c r="N314" s="475"/>
      <c r="O314" s="476"/>
      <c r="P314" s="477"/>
    </row>
    <row r="315" spans="1:16" s="478" customFormat="1" ht="14.9" customHeight="1" outlineLevel="2">
      <c r="A315" s="400">
        <v>11</v>
      </c>
      <c r="B315" s="396" t="s">
        <v>573</v>
      </c>
      <c r="C315" s="397" t="s">
        <v>571</v>
      </c>
      <c r="D315" s="398">
        <v>4320</v>
      </c>
      <c r="E315" s="398">
        <v>2880</v>
      </c>
      <c r="F315" s="462">
        <v>10.31</v>
      </c>
      <c r="G315" s="398">
        <f t="shared" si="126"/>
        <v>44539.200000000004</v>
      </c>
      <c r="H315" s="398">
        <f t="shared" si="126"/>
        <v>29692.800000000003</v>
      </c>
      <c r="I315" s="473"/>
      <c r="J315" s="411" t="s">
        <v>29</v>
      </c>
      <c r="K315" s="411" t="s">
        <v>192</v>
      </c>
      <c r="L315" s="411" t="s">
        <v>112</v>
      </c>
      <c r="M315" s="474"/>
      <c r="N315" s="475"/>
      <c r="O315" s="476"/>
      <c r="P315" s="477"/>
    </row>
    <row r="316" spans="1:16" s="478" customFormat="1" ht="14.9" customHeight="1" outlineLevel="2">
      <c r="A316" s="400"/>
      <c r="B316" s="396" t="s">
        <v>574</v>
      </c>
      <c r="C316" s="397" t="s">
        <v>571</v>
      </c>
      <c r="D316" s="398">
        <v>0</v>
      </c>
      <c r="E316" s="398">
        <v>0</v>
      </c>
      <c r="F316" s="462">
        <v>2.2000000000000002</v>
      </c>
      <c r="G316" s="398">
        <f t="shared" si="126"/>
        <v>0</v>
      </c>
      <c r="H316" s="398">
        <f t="shared" si="126"/>
        <v>0</v>
      </c>
      <c r="I316" s="473"/>
      <c r="J316" s="411" t="s">
        <v>29</v>
      </c>
      <c r="K316" s="411" t="s">
        <v>192</v>
      </c>
      <c r="L316" s="411" t="s">
        <v>112</v>
      </c>
      <c r="M316" s="474"/>
      <c r="N316" s="475"/>
      <c r="O316" s="476"/>
      <c r="P316" s="477"/>
    </row>
    <row r="317" spans="1:16" s="478" customFormat="1" ht="14.9" customHeight="1" outlineLevel="2">
      <c r="A317" s="400"/>
      <c r="B317" s="396" t="s">
        <v>575</v>
      </c>
      <c r="C317" s="397" t="s">
        <v>470</v>
      </c>
      <c r="D317" s="398">
        <v>0</v>
      </c>
      <c r="E317" s="398">
        <v>0</v>
      </c>
      <c r="F317" s="462">
        <v>2.2000000000000002</v>
      </c>
      <c r="G317" s="398">
        <f t="shared" si="126"/>
        <v>0</v>
      </c>
      <c r="H317" s="398">
        <f t="shared" si="126"/>
        <v>0</v>
      </c>
      <c r="I317" s="473"/>
      <c r="J317" s="411" t="s">
        <v>29</v>
      </c>
      <c r="K317" s="411" t="s">
        <v>192</v>
      </c>
      <c r="L317" s="411" t="s">
        <v>112</v>
      </c>
      <c r="M317" s="474"/>
      <c r="N317" s="475"/>
      <c r="O317" s="476"/>
      <c r="P317" s="477"/>
    </row>
    <row r="318" spans="1:16" s="478" customFormat="1" ht="14.9" customHeight="1" outlineLevel="2">
      <c r="A318" s="400">
        <v>12</v>
      </c>
      <c r="B318" s="396" t="s">
        <v>576</v>
      </c>
      <c r="C318" s="397" t="s">
        <v>571</v>
      </c>
      <c r="D318" s="398">
        <v>216</v>
      </c>
      <c r="E318" s="398">
        <v>144</v>
      </c>
      <c r="F318" s="462">
        <v>4.9000000000000004</v>
      </c>
      <c r="G318" s="398">
        <f t="shared" si="126"/>
        <v>1058.4000000000001</v>
      </c>
      <c r="H318" s="398">
        <f t="shared" si="126"/>
        <v>705.6</v>
      </c>
      <c r="I318" s="473"/>
      <c r="J318" s="411" t="s">
        <v>29</v>
      </c>
      <c r="K318" s="411" t="s">
        <v>192</v>
      </c>
      <c r="L318" s="411" t="s">
        <v>112</v>
      </c>
      <c r="M318" s="474"/>
      <c r="N318" s="475"/>
      <c r="O318" s="476"/>
      <c r="P318" s="477"/>
    </row>
    <row r="319" spans="1:16" s="478" customFormat="1" ht="14.9" customHeight="1" outlineLevel="2">
      <c r="A319" s="400">
        <v>13</v>
      </c>
      <c r="B319" s="396" t="s">
        <v>577</v>
      </c>
      <c r="C319" s="397" t="s">
        <v>571</v>
      </c>
      <c r="D319" s="398">
        <v>432</v>
      </c>
      <c r="E319" s="398">
        <v>288</v>
      </c>
      <c r="F319" s="462">
        <v>118</v>
      </c>
      <c r="G319" s="398">
        <f t="shared" si="126"/>
        <v>50976</v>
      </c>
      <c r="H319" s="398">
        <f t="shared" si="126"/>
        <v>33984</v>
      </c>
      <c r="I319" s="473"/>
      <c r="J319" s="411" t="s">
        <v>29</v>
      </c>
      <c r="K319" s="411" t="s">
        <v>192</v>
      </c>
      <c r="L319" s="411" t="s">
        <v>112</v>
      </c>
      <c r="M319" s="474"/>
      <c r="N319" s="475"/>
      <c r="O319" s="476"/>
      <c r="P319" s="477"/>
    </row>
    <row r="320" spans="1:16" s="478" customFormat="1" ht="14.9" customHeight="1" outlineLevel="2">
      <c r="A320" s="400">
        <v>14</v>
      </c>
      <c r="B320" s="396" t="s">
        <v>578</v>
      </c>
      <c r="C320" s="397" t="s">
        <v>571</v>
      </c>
      <c r="D320" s="398">
        <v>216</v>
      </c>
      <c r="E320" s="398">
        <v>144</v>
      </c>
      <c r="F320" s="462">
        <v>10.3</v>
      </c>
      <c r="G320" s="398">
        <f t="shared" si="126"/>
        <v>2224.8000000000002</v>
      </c>
      <c r="H320" s="398">
        <f t="shared" si="126"/>
        <v>1483.2</v>
      </c>
      <c r="I320" s="473"/>
      <c r="J320" s="411" t="s">
        <v>29</v>
      </c>
      <c r="K320" s="411" t="s">
        <v>192</v>
      </c>
      <c r="L320" s="411" t="s">
        <v>112</v>
      </c>
      <c r="M320" s="474"/>
      <c r="N320" s="475"/>
      <c r="O320" s="476"/>
      <c r="P320" s="477"/>
    </row>
    <row r="321" spans="1:16" s="413" customFormat="1" ht="14" outlineLevel="1">
      <c r="A321" s="388" t="s">
        <v>26</v>
      </c>
      <c r="B321" s="350" t="s">
        <v>133</v>
      </c>
      <c r="C321" s="466" t="s">
        <v>106</v>
      </c>
      <c r="D321" s="391"/>
      <c r="E321" s="391"/>
      <c r="F321" s="479"/>
      <c r="G321" s="479">
        <f>SUBTOTAL(9,G322:G324)</f>
        <v>0</v>
      </c>
      <c r="H321" s="479">
        <f>SUBTOTAL(9,H348:H348)</f>
        <v>0</v>
      </c>
      <c r="I321" s="479"/>
      <c r="J321" s="411"/>
      <c r="K321" s="412"/>
      <c r="L321" s="467"/>
      <c r="M321" s="467"/>
      <c r="N321" s="467"/>
      <c r="O321" s="468"/>
      <c r="P321" s="414"/>
    </row>
    <row r="322" spans="1:16" s="416" customFormat="1" ht="14" outlineLevel="3">
      <c r="A322" s="400" t="s">
        <v>8</v>
      </c>
      <c r="B322" s="396" t="s">
        <v>243</v>
      </c>
      <c r="C322" s="397" t="s">
        <v>10</v>
      </c>
      <c r="D322" s="398"/>
      <c r="E322" s="398"/>
      <c r="F322" s="398"/>
      <c r="G322" s="398">
        <f t="shared" ref="G322:G324" si="127">F322*D322</f>
        <v>0</v>
      </c>
      <c r="H322" s="398">
        <f t="shared" ref="H322:H324" si="128">F322*E322</f>
        <v>0</v>
      </c>
      <c r="I322" s="399"/>
      <c r="J322" s="411" t="s">
        <v>29</v>
      </c>
      <c r="K322" s="411" t="s">
        <v>145</v>
      </c>
      <c r="L322" s="411" t="s">
        <v>112</v>
      </c>
      <c r="M322" s="460"/>
      <c r="N322" s="463"/>
      <c r="O322" s="470"/>
      <c r="P322" s="417"/>
    </row>
    <row r="323" spans="1:16" s="416" customFormat="1" ht="14" outlineLevel="3">
      <c r="A323" s="400" t="s">
        <v>8</v>
      </c>
      <c r="B323" s="396" t="s">
        <v>244</v>
      </c>
      <c r="C323" s="397" t="s">
        <v>10</v>
      </c>
      <c r="D323" s="398"/>
      <c r="E323" s="398"/>
      <c r="F323" s="398"/>
      <c r="G323" s="398">
        <f t="shared" si="127"/>
        <v>0</v>
      </c>
      <c r="H323" s="398">
        <f t="shared" si="128"/>
        <v>0</v>
      </c>
      <c r="I323" s="399"/>
      <c r="J323" s="411" t="s">
        <v>29</v>
      </c>
      <c r="K323" s="411" t="s">
        <v>145</v>
      </c>
      <c r="L323" s="411" t="s">
        <v>112</v>
      </c>
      <c r="M323" s="460"/>
      <c r="N323" s="463"/>
      <c r="O323" s="470"/>
      <c r="P323" s="417"/>
    </row>
    <row r="324" spans="1:16" s="416" customFormat="1" ht="14" outlineLevel="3">
      <c r="A324" s="400" t="s">
        <v>8</v>
      </c>
      <c r="B324" s="396" t="s">
        <v>245</v>
      </c>
      <c r="C324" s="397" t="s">
        <v>10</v>
      </c>
      <c r="D324" s="398"/>
      <c r="E324" s="398"/>
      <c r="F324" s="398"/>
      <c r="G324" s="398">
        <f t="shared" si="127"/>
        <v>0</v>
      </c>
      <c r="H324" s="398">
        <f t="shared" si="128"/>
        <v>0</v>
      </c>
      <c r="I324" s="399"/>
      <c r="J324" s="411" t="s">
        <v>29</v>
      </c>
      <c r="K324" s="411" t="s">
        <v>145</v>
      </c>
      <c r="L324" s="411" t="s">
        <v>112</v>
      </c>
      <c r="M324" s="460"/>
      <c r="N324" s="463"/>
      <c r="O324" s="470"/>
      <c r="P324" s="417"/>
    </row>
    <row r="325" spans="1:16" s="413" customFormat="1" ht="14" outlineLevel="1">
      <c r="A325" s="388" t="s">
        <v>37</v>
      </c>
      <c r="B325" s="350" t="s">
        <v>401</v>
      </c>
      <c r="C325" s="390"/>
      <c r="D325" s="391"/>
      <c r="E325" s="391"/>
      <c r="F325" s="391"/>
      <c r="G325" s="391">
        <f>SUBTOTAL(9,G326:G347)</f>
        <v>0</v>
      </c>
      <c r="H325" s="391">
        <f>SUBTOTAL(9,H326:H347)</f>
        <v>0</v>
      </c>
      <c r="I325" s="391"/>
      <c r="J325" s="410"/>
      <c r="K325" s="411"/>
      <c r="L325" s="411"/>
      <c r="M325" s="412"/>
      <c r="N325" s="412"/>
      <c r="P325" s="414"/>
    </row>
    <row r="326" spans="1:16" s="416" customFormat="1" ht="14.65" customHeight="1" outlineLevel="2">
      <c r="A326" s="466">
        <v>1</v>
      </c>
      <c r="B326" s="480" t="s">
        <v>903</v>
      </c>
      <c r="C326" s="397"/>
      <c r="D326" s="398"/>
      <c r="E326" s="398"/>
      <c r="F326" s="462"/>
      <c r="G326" s="391">
        <f>SUBTOTAL(9,G327:G347)</f>
        <v>0</v>
      </c>
      <c r="H326" s="391">
        <f>SUBTOTAL(9,H327:H347)</f>
        <v>0</v>
      </c>
      <c r="I326" s="399"/>
      <c r="J326" s="411"/>
      <c r="K326" s="460"/>
      <c r="L326" s="411"/>
      <c r="M326" s="461"/>
      <c r="N326" s="460"/>
      <c r="O326" s="463"/>
      <c r="P326" s="464"/>
    </row>
    <row r="327" spans="1:16" s="416" customFormat="1" ht="14.65" customHeight="1" outlineLevel="2">
      <c r="A327" s="400">
        <v>1.1000000000000001</v>
      </c>
      <c r="B327" s="469" t="s">
        <v>880</v>
      </c>
      <c r="C327" s="397" t="s">
        <v>24</v>
      </c>
      <c r="D327" s="462"/>
      <c r="E327" s="462"/>
      <c r="F327" s="462"/>
      <c r="G327" s="398">
        <f t="shared" ref="G327:G343" si="129">F327*D327</f>
        <v>0</v>
      </c>
      <c r="H327" s="398">
        <f t="shared" ref="H327:H343" si="130">F327*E327</f>
        <v>0</v>
      </c>
      <c r="I327" s="399"/>
      <c r="J327" s="411" t="s">
        <v>29</v>
      </c>
      <c r="K327" s="460" t="s">
        <v>402</v>
      </c>
      <c r="L327" s="411" t="s">
        <v>112</v>
      </c>
      <c r="M327" s="461"/>
      <c r="N327" s="460"/>
      <c r="O327" s="463"/>
      <c r="P327" s="464"/>
    </row>
    <row r="328" spans="1:16" s="416" customFormat="1" ht="14.65" customHeight="1" outlineLevel="2">
      <c r="A328" s="400">
        <v>1.2</v>
      </c>
      <c r="B328" s="469" t="s">
        <v>881</v>
      </c>
      <c r="C328" s="397" t="s">
        <v>24</v>
      </c>
      <c r="D328" s="462"/>
      <c r="E328" s="462"/>
      <c r="F328" s="462"/>
      <c r="G328" s="398">
        <f t="shared" si="129"/>
        <v>0</v>
      </c>
      <c r="H328" s="398">
        <f t="shared" si="130"/>
        <v>0</v>
      </c>
      <c r="I328" s="399"/>
      <c r="J328" s="411" t="s">
        <v>29</v>
      </c>
      <c r="K328" s="460" t="s">
        <v>402</v>
      </c>
      <c r="L328" s="411" t="s">
        <v>112</v>
      </c>
      <c r="M328" s="461"/>
      <c r="N328" s="460"/>
      <c r="O328" s="463"/>
      <c r="P328" s="464"/>
    </row>
    <row r="329" spans="1:16" s="416" customFormat="1" ht="14.65" customHeight="1" outlineLevel="2">
      <c r="A329" s="400">
        <v>1.3</v>
      </c>
      <c r="B329" s="469" t="s">
        <v>882</v>
      </c>
      <c r="C329" s="397" t="s">
        <v>24</v>
      </c>
      <c r="D329" s="462"/>
      <c r="E329" s="462"/>
      <c r="F329" s="462"/>
      <c r="G329" s="398">
        <f t="shared" si="129"/>
        <v>0</v>
      </c>
      <c r="H329" s="398">
        <f t="shared" si="130"/>
        <v>0</v>
      </c>
      <c r="I329" s="399"/>
      <c r="J329" s="411" t="s">
        <v>29</v>
      </c>
      <c r="K329" s="460" t="s">
        <v>402</v>
      </c>
      <c r="L329" s="411" t="s">
        <v>112</v>
      </c>
      <c r="M329" s="461"/>
      <c r="N329" s="460"/>
      <c r="O329" s="463"/>
      <c r="P329" s="464"/>
    </row>
    <row r="330" spans="1:16" s="416" customFormat="1" ht="14.65" customHeight="1" outlineLevel="2">
      <c r="A330" s="400">
        <v>1.4</v>
      </c>
      <c r="B330" s="469" t="s">
        <v>883</v>
      </c>
      <c r="C330" s="397" t="s">
        <v>24</v>
      </c>
      <c r="D330" s="462"/>
      <c r="E330" s="462"/>
      <c r="F330" s="462"/>
      <c r="G330" s="398">
        <f t="shared" si="129"/>
        <v>0</v>
      </c>
      <c r="H330" s="398">
        <f t="shared" si="130"/>
        <v>0</v>
      </c>
      <c r="I330" s="399"/>
      <c r="J330" s="411" t="s">
        <v>29</v>
      </c>
      <c r="K330" s="460" t="s">
        <v>402</v>
      </c>
      <c r="L330" s="411" t="s">
        <v>112</v>
      </c>
      <c r="M330" s="461"/>
      <c r="N330" s="460"/>
      <c r="O330" s="463"/>
      <c r="P330" s="464"/>
    </row>
    <row r="331" spans="1:16" s="416" customFormat="1" ht="14.65" customHeight="1" outlineLevel="2">
      <c r="A331" s="400">
        <v>1.5</v>
      </c>
      <c r="B331" s="469" t="s">
        <v>884</v>
      </c>
      <c r="C331" s="397" t="s">
        <v>24</v>
      </c>
      <c r="D331" s="462"/>
      <c r="E331" s="462"/>
      <c r="F331" s="462"/>
      <c r="G331" s="398">
        <f t="shared" si="129"/>
        <v>0</v>
      </c>
      <c r="H331" s="398">
        <f t="shared" si="130"/>
        <v>0</v>
      </c>
      <c r="I331" s="399"/>
      <c r="J331" s="411" t="s">
        <v>29</v>
      </c>
      <c r="K331" s="460" t="s">
        <v>402</v>
      </c>
      <c r="L331" s="411" t="s">
        <v>112</v>
      </c>
      <c r="M331" s="461"/>
      <c r="N331" s="460"/>
      <c r="O331" s="463"/>
      <c r="P331" s="464"/>
    </row>
    <row r="332" spans="1:16" s="416" customFormat="1" ht="14.65" customHeight="1" outlineLevel="2">
      <c r="A332" s="400">
        <v>1.6</v>
      </c>
      <c r="B332" s="469" t="s">
        <v>885</v>
      </c>
      <c r="C332" s="397" t="s">
        <v>30</v>
      </c>
      <c r="D332" s="462"/>
      <c r="E332" s="462"/>
      <c r="F332" s="462"/>
      <c r="G332" s="398">
        <f t="shared" si="129"/>
        <v>0</v>
      </c>
      <c r="H332" s="398">
        <f t="shared" si="130"/>
        <v>0</v>
      </c>
      <c r="I332" s="399"/>
      <c r="J332" s="411" t="s">
        <v>29</v>
      </c>
      <c r="K332" s="460" t="s">
        <v>402</v>
      </c>
      <c r="L332" s="411" t="s">
        <v>112</v>
      </c>
      <c r="M332" s="461"/>
      <c r="N332" s="460"/>
      <c r="O332" s="463"/>
      <c r="P332" s="464"/>
    </row>
    <row r="333" spans="1:16" s="416" customFormat="1" ht="14.65" customHeight="1" outlineLevel="2">
      <c r="A333" s="400">
        <v>1.7</v>
      </c>
      <c r="B333" s="469" t="s">
        <v>886</v>
      </c>
      <c r="C333" s="397" t="s">
        <v>30</v>
      </c>
      <c r="D333" s="462"/>
      <c r="E333" s="462"/>
      <c r="F333" s="462"/>
      <c r="G333" s="398">
        <f t="shared" si="129"/>
        <v>0</v>
      </c>
      <c r="H333" s="398">
        <f t="shared" si="130"/>
        <v>0</v>
      </c>
      <c r="I333" s="399"/>
      <c r="J333" s="411" t="s">
        <v>29</v>
      </c>
      <c r="K333" s="460" t="s">
        <v>402</v>
      </c>
      <c r="L333" s="411" t="s">
        <v>112</v>
      </c>
      <c r="M333" s="461"/>
      <c r="N333" s="460"/>
      <c r="O333" s="463"/>
      <c r="P333" s="464"/>
    </row>
    <row r="334" spans="1:16" s="416" customFormat="1" ht="14.65" customHeight="1" outlineLevel="2">
      <c r="A334" s="400">
        <v>1.8</v>
      </c>
      <c r="B334" s="469" t="s">
        <v>887</v>
      </c>
      <c r="C334" s="397" t="s">
        <v>24</v>
      </c>
      <c r="D334" s="462"/>
      <c r="E334" s="462"/>
      <c r="F334" s="462"/>
      <c r="G334" s="398">
        <f t="shared" si="129"/>
        <v>0</v>
      </c>
      <c r="H334" s="398">
        <f t="shared" si="130"/>
        <v>0</v>
      </c>
      <c r="I334" s="399"/>
      <c r="J334" s="411" t="s">
        <v>29</v>
      </c>
      <c r="K334" s="460" t="s">
        <v>402</v>
      </c>
      <c r="L334" s="411" t="s">
        <v>112</v>
      </c>
      <c r="M334" s="461"/>
      <c r="N334" s="460"/>
      <c r="O334" s="463"/>
      <c r="P334" s="464"/>
    </row>
    <row r="335" spans="1:16" s="416" customFormat="1" ht="14.65" customHeight="1" outlineLevel="2">
      <c r="A335" s="400">
        <v>1.9</v>
      </c>
      <c r="B335" s="469" t="s">
        <v>888</v>
      </c>
      <c r="C335" s="397" t="s">
        <v>24</v>
      </c>
      <c r="D335" s="462"/>
      <c r="E335" s="462"/>
      <c r="F335" s="462"/>
      <c r="G335" s="398">
        <f t="shared" si="129"/>
        <v>0</v>
      </c>
      <c r="H335" s="398">
        <f t="shared" si="130"/>
        <v>0</v>
      </c>
      <c r="I335" s="399"/>
      <c r="J335" s="411" t="s">
        <v>29</v>
      </c>
      <c r="K335" s="460" t="s">
        <v>402</v>
      </c>
      <c r="L335" s="411" t="s">
        <v>112</v>
      </c>
      <c r="M335" s="461"/>
      <c r="N335" s="460"/>
      <c r="O335" s="463"/>
      <c r="P335" s="464"/>
    </row>
    <row r="336" spans="1:16" s="416" customFormat="1" ht="14.65" customHeight="1" outlineLevel="2">
      <c r="A336" s="481">
        <v>1.1000000000000001</v>
      </c>
      <c r="B336" s="469" t="s">
        <v>889</v>
      </c>
      <c r="C336" s="397" t="s">
        <v>36</v>
      </c>
      <c r="D336" s="462"/>
      <c r="E336" s="462"/>
      <c r="F336" s="462"/>
      <c r="G336" s="398">
        <f t="shared" si="129"/>
        <v>0</v>
      </c>
      <c r="H336" s="398">
        <f t="shared" si="130"/>
        <v>0</v>
      </c>
      <c r="I336" s="399"/>
      <c r="J336" s="411" t="s">
        <v>29</v>
      </c>
      <c r="K336" s="460" t="s">
        <v>402</v>
      </c>
      <c r="L336" s="411" t="s">
        <v>112</v>
      </c>
      <c r="M336" s="461"/>
      <c r="N336" s="460"/>
      <c r="O336" s="463"/>
      <c r="P336" s="464"/>
    </row>
    <row r="337" spans="1:16" s="416" customFormat="1" ht="14.65" customHeight="1" outlineLevel="2">
      <c r="A337" s="400">
        <v>1.1100000000000001</v>
      </c>
      <c r="B337" s="469" t="s">
        <v>890</v>
      </c>
      <c r="C337" s="397" t="s">
        <v>470</v>
      </c>
      <c r="D337" s="462"/>
      <c r="E337" s="462"/>
      <c r="F337" s="462"/>
      <c r="G337" s="398">
        <f t="shared" si="129"/>
        <v>0</v>
      </c>
      <c r="H337" s="398">
        <f t="shared" si="130"/>
        <v>0</v>
      </c>
      <c r="I337" s="399"/>
      <c r="J337" s="411" t="s">
        <v>29</v>
      </c>
      <c r="K337" s="460" t="s">
        <v>402</v>
      </c>
      <c r="L337" s="411" t="s">
        <v>112</v>
      </c>
      <c r="M337" s="461"/>
      <c r="N337" s="460"/>
      <c r="O337" s="463"/>
      <c r="P337" s="464"/>
    </row>
    <row r="338" spans="1:16" s="416" customFormat="1" ht="14.65" customHeight="1" outlineLevel="2">
      <c r="A338" s="481">
        <v>1.1200000000000001</v>
      </c>
      <c r="B338" s="469" t="s">
        <v>891</v>
      </c>
      <c r="C338" s="397" t="s">
        <v>36</v>
      </c>
      <c r="D338" s="462"/>
      <c r="E338" s="462"/>
      <c r="F338" s="462"/>
      <c r="G338" s="398">
        <f t="shared" si="129"/>
        <v>0</v>
      </c>
      <c r="H338" s="398">
        <f t="shared" si="130"/>
        <v>0</v>
      </c>
      <c r="I338" s="399"/>
      <c r="J338" s="411" t="s">
        <v>29</v>
      </c>
      <c r="K338" s="460" t="s">
        <v>402</v>
      </c>
      <c r="L338" s="411" t="s">
        <v>112</v>
      </c>
      <c r="M338" s="461"/>
      <c r="N338" s="460"/>
      <c r="O338" s="463"/>
      <c r="P338" s="464"/>
    </row>
    <row r="339" spans="1:16" s="416" customFormat="1" ht="14.65" customHeight="1" outlineLevel="2">
      <c r="A339" s="400">
        <v>1.1299999999999999</v>
      </c>
      <c r="B339" s="469" t="s">
        <v>892</v>
      </c>
      <c r="C339" s="397" t="s">
        <v>470</v>
      </c>
      <c r="D339" s="462"/>
      <c r="E339" s="462"/>
      <c r="F339" s="462"/>
      <c r="G339" s="398">
        <f t="shared" si="129"/>
        <v>0</v>
      </c>
      <c r="H339" s="398">
        <f t="shared" si="130"/>
        <v>0</v>
      </c>
      <c r="I339" s="399"/>
      <c r="J339" s="411" t="s">
        <v>29</v>
      </c>
      <c r="K339" s="460" t="s">
        <v>402</v>
      </c>
      <c r="L339" s="411" t="s">
        <v>112</v>
      </c>
      <c r="M339" s="461"/>
      <c r="N339" s="460"/>
      <c r="O339" s="463"/>
      <c r="P339" s="464"/>
    </row>
    <row r="340" spans="1:16" s="416" customFormat="1" ht="14.65" customHeight="1" outlineLevel="2">
      <c r="A340" s="481">
        <v>1.1399999999999999</v>
      </c>
      <c r="B340" s="469" t="s">
        <v>893</v>
      </c>
      <c r="C340" s="397" t="s">
        <v>24</v>
      </c>
      <c r="D340" s="462"/>
      <c r="E340" s="462"/>
      <c r="F340" s="462"/>
      <c r="G340" s="398">
        <f t="shared" si="129"/>
        <v>0</v>
      </c>
      <c r="H340" s="398">
        <f t="shared" si="130"/>
        <v>0</v>
      </c>
      <c r="I340" s="399"/>
      <c r="J340" s="411" t="s">
        <v>29</v>
      </c>
      <c r="K340" s="460" t="s">
        <v>402</v>
      </c>
      <c r="L340" s="411" t="s">
        <v>112</v>
      </c>
      <c r="M340" s="461"/>
      <c r="N340" s="460"/>
      <c r="O340" s="463"/>
      <c r="P340" s="464"/>
    </row>
    <row r="341" spans="1:16" s="416" customFormat="1" ht="14.65" customHeight="1" outlineLevel="2">
      <c r="A341" s="400">
        <v>1.1499999999999999</v>
      </c>
      <c r="B341" s="469" t="s">
        <v>894</v>
      </c>
      <c r="C341" s="397" t="s">
        <v>50</v>
      </c>
      <c r="D341" s="462"/>
      <c r="E341" s="462"/>
      <c r="F341" s="462"/>
      <c r="G341" s="398">
        <f t="shared" si="129"/>
        <v>0</v>
      </c>
      <c r="H341" s="398">
        <f t="shared" si="130"/>
        <v>0</v>
      </c>
      <c r="I341" s="399"/>
      <c r="J341" s="411" t="s">
        <v>29</v>
      </c>
      <c r="K341" s="460" t="s">
        <v>402</v>
      </c>
      <c r="L341" s="411" t="s">
        <v>112</v>
      </c>
      <c r="M341" s="461"/>
      <c r="N341" s="460"/>
      <c r="O341" s="463"/>
      <c r="P341" s="464"/>
    </row>
    <row r="342" spans="1:16" s="416" customFormat="1" ht="14.65" customHeight="1" outlineLevel="2">
      <c r="A342" s="481">
        <v>1.1599999999999999</v>
      </c>
      <c r="B342" s="469" t="s">
        <v>895</v>
      </c>
      <c r="C342" s="397" t="s">
        <v>24</v>
      </c>
      <c r="D342" s="462"/>
      <c r="E342" s="462"/>
      <c r="F342" s="462"/>
      <c r="G342" s="398">
        <f t="shared" si="129"/>
        <v>0</v>
      </c>
      <c r="H342" s="398">
        <f t="shared" si="130"/>
        <v>0</v>
      </c>
      <c r="I342" s="399"/>
      <c r="J342" s="411" t="s">
        <v>29</v>
      </c>
      <c r="K342" s="460" t="s">
        <v>402</v>
      </c>
      <c r="L342" s="411" t="s">
        <v>112</v>
      </c>
      <c r="M342" s="461"/>
      <c r="N342" s="460"/>
      <c r="O342" s="463"/>
      <c r="P342" s="464"/>
    </row>
    <row r="343" spans="1:16" s="416" customFormat="1" ht="14.65" customHeight="1" outlineLevel="2">
      <c r="A343" s="400">
        <v>1.17</v>
      </c>
      <c r="B343" s="469" t="s">
        <v>896</v>
      </c>
      <c r="C343" s="397" t="s">
        <v>15</v>
      </c>
      <c r="D343" s="462"/>
      <c r="E343" s="462"/>
      <c r="F343" s="462"/>
      <c r="G343" s="398">
        <f t="shared" si="129"/>
        <v>0</v>
      </c>
      <c r="H343" s="398">
        <f t="shared" si="130"/>
        <v>0</v>
      </c>
      <c r="I343" s="399"/>
      <c r="J343" s="411" t="s">
        <v>29</v>
      </c>
      <c r="K343" s="460" t="s">
        <v>402</v>
      </c>
      <c r="L343" s="411" t="s">
        <v>112</v>
      </c>
      <c r="M343" s="461"/>
      <c r="N343" s="460"/>
      <c r="O343" s="463"/>
      <c r="P343" s="464"/>
    </row>
    <row r="344" spans="1:16" s="416" customFormat="1" ht="14" outlineLevel="2">
      <c r="A344" s="405">
        <v>1</v>
      </c>
      <c r="B344" s="415"/>
      <c r="C344" s="397" t="s">
        <v>263</v>
      </c>
      <c r="D344" s="398"/>
      <c r="E344" s="398"/>
      <c r="F344" s="398"/>
      <c r="G344" s="398">
        <f t="shared" ref="G344:G347" si="131">F344*D344</f>
        <v>0</v>
      </c>
      <c r="H344" s="398">
        <f t="shared" ref="H344:H347" si="132">F344*E344</f>
        <v>0</v>
      </c>
      <c r="I344" s="399"/>
      <c r="J344" s="411" t="s">
        <v>29</v>
      </c>
      <c r="K344" s="411" t="s">
        <v>402</v>
      </c>
      <c r="L344" s="411" t="s">
        <v>112</v>
      </c>
      <c r="M344" s="411"/>
      <c r="N344" s="411"/>
      <c r="P344" s="417"/>
    </row>
    <row r="345" spans="1:16" s="416" customFormat="1" ht="14" outlineLevel="2">
      <c r="A345" s="405">
        <v>2</v>
      </c>
      <c r="B345" s="415"/>
      <c r="C345" s="397" t="s">
        <v>263</v>
      </c>
      <c r="D345" s="398"/>
      <c r="E345" s="398"/>
      <c r="F345" s="398"/>
      <c r="G345" s="398">
        <f t="shared" si="131"/>
        <v>0</v>
      </c>
      <c r="H345" s="398">
        <f t="shared" si="132"/>
        <v>0</v>
      </c>
      <c r="I345" s="399"/>
      <c r="J345" s="411" t="s">
        <v>29</v>
      </c>
      <c r="K345" s="411" t="s">
        <v>402</v>
      </c>
      <c r="L345" s="411" t="s">
        <v>112</v>
      </c>
      <c r="M345" s="411"/>
      <c r="N345" s="411"/>
      <c r="P345" s="417"/>
    </row>
    <row r="346" spans="1:16" s="416" customFormat="1" ht="14" outlineLevel="2">
      <c r="A346" s="405">
        <v>3</v>
      </c>
      <c r="B346" s="415"/>
      <c r="C346" s="397" t="s">
        <v>9</v>
      </c>
      <c r="D346" s="398"/>
      <c r="E346" s="398"/>
      <c r="F346" s="398"/>
      <c r="G346" s="398">
        <f t="shared" si="131"/>
        <v>0</v>
      </c>
      <c r="H346" s="398">
        <f t="shared" si="132"/>
        <v>0</v>
      </c>
      <c r="I346" s="399"/>
      <c r="J346" s="411" t="s">
        <v>29</v>
      </c>
      <c r="K346" s="411" t="s">
        <v>402</v>
      </c>
      <c r="L346" s="411" t="s">
        <v>112</v>
      </c>
      <c r="M346" s="411"/>
      <c r="N346" s="411"/>
      <c r="P346" s="417"/>
    </row>
    <row r="347" spans="1:16" s="416" customFormat="1" ht="14" outlineLevel="2">
      <c r="A347" s="405">
        <v>4</v>
      </c>
      <c r="B347" s="415"/>
      <c r="C347" s="397" t="s">
        <v>9</v>
      </c>
      <c r="D347" s="398"/>
      <c r="E347" s="398"/>
      <c r="F347" s="398"/>
      <c r="G347" s="398">
        <f t="shared" si="131"/>
        <v>0</v>
      </c>
      <c r="H347" s="398">
        <f t="shared" si="132"/>
        <v>0</v>
      </c>
      <c r="I347" s="399"/>
      <c r="J347" s="411" t="s">
        <v>29</v>
      </c>
      <c r="K347" s="411" t="s">
        <v>402</v>
      </c>
      <c r="L347" s="411" t="s">
        <v>112</v>
      </c>
      <c r="M347" s="411"/>
      <c r="N347" s="411"/>
      <c r="P347" s="417"/>
    </row>
    <row r="348" spans="1:16" s="413" customFormat="1" ht="14" outlineLevel="1">
      <c r="A348" s="466" t="s">
        <v>37</v>
      </c>
      <c r="B348" s="350" t="s">
        <v>109</v>
      </c>
      <c r="C348" s="466" t="s">
        <v>106</v>
      </c>
      <c r="D348" s="391"/>
      <c r="E348" s="391"/>
      <c r="F348" s="409"/>
      <c r="G348" s="479">
        <f>SUBTOTAL(9,G349:G366)</f>
        <v>0</v>
      </c>
      <c r="H348" s="479">
        <f>SUBTOTAL(9,H349:H366)</f>
        <v>0</v>
      </c>
      <c r="I348" s="392"/>
      <c r="J348" s="411"/>
      <c r="K348" s="412"/>
      <c r="L348" s="467"/>
      <c r="M348" s="461"/>
      <c r="N348" s="467"/>
      <c r="O348" s="468"/>
      <c r="P348" s="414"/>
    </row>
    <row r="349" spans="1:16" s="416" customFormat="1" ht="14.65" customHeight="1" outlineLevel="2">
      <c r="A349" s="400">
        <v>1.1000000000000001</v>
      </c>
      <c r="B349" s="469" t="s">
        <v>880</v>
      </c>
      <c r="C349" s="397" t="s">
        <v>24</v>
      </c>
      <c r="D349" s="462"/>
      <c r="E349" s="462"/>
      <c r="F349" s="462"/>
      <c r="G349" s="398">
        <f t="shared" ref="G349:G365" si="133">F349*D349</f>
        <v>0</v>
      </c>
      <c r="H349" s="398">
        <f t="shared" ref="H349:H365" si="134">F349*E349</f>
        <v>0</v>
      </c>
      <c r="I349" s="399"/>
      <c r="J349" s="411" t="s">
        <v>29</v>
      </c>
      <c r="K349" s="411" t="s">
        <v>259</v>
      </c>
      <c r="L349" s="411" t="s">
        <v>112</v>
      </c>
      <c r="M349" s="461"/>
      <c r="N349" s="460"/>
      <c r="O349" s="463"/>
      <c r="P349" s="464"/>
    </row>
    <row r="350" spans="1:16" s="416" customFormat="1" ht="14.65" customHeight="1" outlineLevel="2">
      <c r="A350" s="400">
        <v>1.2</v>
      </c>
      <c r="B350" s="469" t="s">
        <v>881</v>
      </c>
      <c r="C350" s="397" t="s">
        <v>24</v>
      </c>
      <c r="D350" s="462"/>
      <c r="E350" s="462"/>
      <c r="F350" s="462"/>
      <c r="G350" s="398">
        <f t="shared" si="133"/>
        <v>0</v>
      </c>
      <c r="H350" s="398">
        <f t="shared" si="134"/>
        <v>0</v>
      </c>
      <c r="I350" s="399"/>
      <c r="J350" s="411" t="s">
        <v>29</v>
      </c>
      <c r="K350" s="411" t="s">
        <v>259</v>
      </c>
      <c r="L350" s="411" t="s">
        <v>112</v>
      </c>
      <c r="M350" s="461"/>
      <c r="N350" s="460"/>
      <c r="O350" s="463"/>
      <c r="P350" s="464"/>
    </row>
    <row r="351" spans="1:16" s="416" customFormat="1" ht="14.65" customHeight="1" outlineLevel="2">
      <c r="A351" s="400">
        <v>1.3</v>
      </c>
      <c r="B351" s="469" t="s">
        <v>882</v>
      </c>
      <c r="C351" s="397" t="s">
        <v>24</v>
      </c>
      <c r="D351" s="462"/>
      <c r="E351" s="462"/>
      <c r="F351" s="462"/>
      <c r="G351" s="398">
        <f t="shared" si="133"/>
        <v>0</v>
      </c>
      <c r="H351" s="398">
        <f t="shared" si="134"/>
        <v>0</v>
      </c>
      <c r="I351" s="399"/>
      <c r="J351" s="411" t="s">
        <v>29</v>
      </c>
      <c r="K351" s="411" t="s">
        <v>259</v>
      </c>
      <c r="L351" s="411" t="s">
        <v>112</v>
      </c>
      <c r="M351" s="461"/>
      <c r="N351" s="460"/>
      <c r="O351" s="463"/>
      <c r="P351" s="464"/>
    </row>
    <row r="352" spans="1:16" s="416" customFormat="1" ht="14.65" customHeight="1" outlineLevel="2">
      <c r="A352" s="400">
        <v>1.4</v>
      </c>
      <c r="B352" s="469" t="s">
        <v>883</v>
      </c>
      <c r="C352" s="397" t="s">
        <v>24</v>
      </c>
      <c r="D352" s="462"/>
      <c r="E352" s="462"/>
      <c r="F352" s="462"/>
      <c r="G352" s="398">
        <f t="shared" si="133"/>
        <v>0</v>
      </c>
      <c r="H352" s="398">
        <f t="shared" si="134"/>
        <v>0</v>
      </c>
      <c r="I352" s="399"/>
      <c r="J352" s="411" t="s">
        <v>29</v>
      </c>
      <c r="K352" s="411" t="s">
        <v>259</v>
      </c>
      <c r="L352" s="411" t="s">
        <v>112</v>
      </c>
      <c r="M352" s="461"/>
      <c r="N352" s="460"/>
      <c r="O352" s="463"/>
      <c r="P352" s="464"/>
    </row>
    <row r="353" spans="1:17" s="416" customFormat="1" ht="14.65" customHeight="1" outlineLevel="2">
      <c r="A353" s="400">
        <v>1.5</v>
      </c>
      <c r="B353" s="469" t="s">
        <v>884</v>
      </c>
      <c r="C353" s="397" t="s">
        <v>24</v>
      </c>
      <c r="D353" s="462"/>
      <c r="E353" s="462"/>
      <c r="F353" s="462"/>
      <c r="G353" s="398">
        <f t="shared" si="133"/>
        <v>0</v>
      </c>
      <c r="H353" s="398">
        <f t="shared" si="134"/>
        <v>0</v>
      </c>
      <c r="I353" s="399"/>
      <c r="J353" s="411" t="s">
        <v>29</v>
      </c>
      <c r="K353" s="411" t="s">
        <v>259</v>
      </c>
      <c r="L353" s="411" t="s">
        <v>112</v>
      </c>
      <c r="M353" s="461"/>
      <c r="N353" s="460"/>
      <c r="O353" s="463"/>
      <c r="P353" s="464"/>
    </row>
    <row r="354" spans="1:17" s="416" customFormat="1" ht="14.65" customHeight="1" outlineLevel="2">
      <c r="A354" s="400">
        <v>1.6</v>
      </c>
      <c r="B354" s="469" t="s">
        <v>885</v>
      </c>
      <c r="C354" s="397" t="s">
        <v>30</v>
      </c>
      <c r="D354" s="462"/>
      <c r="E354" s="462"/>
      <c r="F354" s="462"/>
      <c r="G354" s="398">
        <f t="shared" si="133"/>
        <v>0</v>
      </c>
      <c r="H354" s="398">
        <f t="shared" si="134"/>
        <v>0</v>
      </c>
      <c r="I354" s="399"/>
      <c r="J354" s="411" t="s">
        <v>29</v>
      </c>
      <c r="K354" s="411" t="s">
        <v>259</v>
      </c>
      <c r="L354" s="411" t="s">
        <v>112</v>
      </c>
      <c r="M354" s="461"/>
      <c r="N354" s="460"/>
      <c r="O354" s="463"/>
      <c r="P354" s="464"/>
    </row>
    <row r="355" spans="1:17" s="416" customFormat="1" ht="14.65" customHeight="1" outlineLevel="2">
      <c r="A355" s="400">
        <v>1.7</v>
      </c>
      <c r="B355" s="469" t="s">
        <v>886</v>
      </c>
      <c r="C355" s="397" t="s">
        <v>30</v>
      </c>
      <c r="D355" s="462"/>
      <c r="E355" s="462"/>
      <c r="F355" s="462"/>
      <c r="G355" s="398">
        <f t="shared" si="133"/>
        <v>0</v>
      </c>
      <c r="H355" s="398">
        <f t="shared" si="134"/>
        <v>0</v>
      </c>
      <c r="I355" s="399"/>
      <c r="J355" s="411" t="s">
        <v>29</v>
      </c>
      <c r="K355" s="411" t="s">
        <v>259</v>
      </c>
      <c r="L355" s="411" t="s">
        <v>112</v>
      </c>
      <c r="M355" s="461"/>
      <c r="N355" s="460"/>
      <c r="O355" s="463"/>
      <c r="P355" s="464"/>
    </row>
    <row r="356" spans="1:17" s="416" customFormat="1" ht="14.65" customHeight="1" outlineLevel="2">
      <c r="A356" s="400">
        <v>1.8</v>
      </c>
      <c r="B356" s="469" t="s">
        <v>887</v>
      </c>
      <c r="C356" s="397" t="s">
        <v>24</v>
      </c>
      <c r="D356" s="462"/>
      <c r="E356" s="462"/>
      <c r="F356" s="462"/>
      <c r="G356" s="398">
        <f t="shared" si="133"/>
        <v>0</v>
      </c>
      <c r="H356" s="398">
        <f t="shared" si="134"/>
        <v>0</v>
      </c>
      <c r="I356" s="399"/>
      <c r="J356" s="411" t="s">
        <v>29</v>
      </c>
      <c r="K356" s="411" t="s">
        <v>259</v>
      </c>
      <c r="L356" s="411" t="s">
        <v>112</v>
      </c>
      <c r="M356" s="461"/>
      <c r="N356" s="460"/>
      <c r="O356" s="463"/>
      <c r="P356" s="464"/>
    </row>
    <row r="357" spans="1:17" s="416" customFormat="1" ht="14.65" customHeight="1" outlineLevel="2">
      <c r="A357" s="400">
        <v>1.9</v>
      </c>
      <c r="B357" s="469" t="s">
        <v>888</v>
      </c>
      <c r="C357" s="397" t="s">
        <v>24</v>
      </c>
      <c r="D357" s="462"/>
      <c r="E357" s="462"/>
      <c r="F357" s="462"/>
      <c r="G357" s="398">
        <f t="shared" si="133"/>
        <v>0</v>
      </c>
      <c r="H357" s="398">
        <f t="shared" si="134"/>
        <v>0</v>
      </c>
      <c r="I357" s="399"/>
      <c r="J357" s="411" t="s">
        <v>29</v>
      </c>
      <c r="K357" s="411" t="s">
        <v>259</v>
      </c>
      <c r="L357" s="411" t="s">
        <v>112</v>
      </c>
      <c r="M357" s="461"/>
      <c r="N357" s="460"/>
      <c r="O357" s="463"/>
      <c r="P357" s="464"/>
    </row>
    <row r="358" spans="1:17" s="416" customFormat="1" ht="14.65" customHeight="1" outlineLevel="2">
      <c r="A358" s="481">
        <v>1.1000000000000001</v>
      </c>
      <c r="B358" s="469" t="s">
        <v>889</v>
      </c>
      <c r="C358" s="397" t="s">
        <v>36</v>
      </c>
      <c r="D358" s="462"/>
      <c r="E358" s="462"/>
      <c r="F358" s="462"/>
      <c r="G358" s="398">
        <f t="shared" si="133"/>
        <v>0</v>
      </c>
      <c r="H358" s="398">
        <f t="shared" si="134"/>
        <v>0</v>
      </c>
      <c r="I358" s="399"/>
      <c r="J358" s="411" t="s">
        <v>29</v>
      </c>
      <c r="K358" s="411" t="s">
        <v>259</v>
      </c>
      <c r="L358" s="411" t="s">
        <v>112</v>
      </c>
      <c r="M358" s="461"/>
      <c r="N358" s="460"/>
      <c r="O358" s="463"/>
      <c r="P358" s="464"/>
    </row>
    <row r="359" spans="1:17" s="416" customFormat="1" ht="14.65" customHeight="1" outlineLevel="2">
      <c r="A359" s="400">
        <v>1.1100000000000001</v>
      </c>
      <c r="B359" s="469" t="s">
        <v>890</v>
      </c>
      <c r="C359" s="397" t="s">
        <v>470</v>
      </c>
      <c r="D359" s="462"/>
      <c r="E359" s="462"/>
      <c r="F359" s="462"/>
      <c r="G359" s="398">
        <f t="shared" si="133"/>
        <v>0</v>
      </c>
      <c r="H359" s="398">
        <f t="shared" si="134"/>
        <v>0</v>
      </c>
      <c r="I359" s="399"/>
      <c r="J359" s="411" t="s">
        <v>29</v>
      </c>
      <c r="K359" s="411" t="s">
        <v>259</v>
      </c>
      <c r="L359" s="411" t="s">
        <v>112</v>
      </c>
      <c r="M359" s="461"/>
      <c r="N359" s="460"/>
      <c r="O359" s="463"/>
      <c r="P359" s="464"/>
    </row>
    <row r="360" spans="1:17" s="416" customFormat="1" ht="14.65" customHeight="1" outlineLevel="2">
      <c r="A360" s="481">
        <v>1.1200000000000001</v>
      </c>
      <c r="B360" s="469" t="s">
        <v>891</v>
      </c>
      <c r="C360" s="397" t="s">
        <v>36</v>
      </c>
      <c r="D360" s="462"/>
      <c r="E360" s="462"/>
      <c r="F360" s="462"/>
      <c r="G360" s="398">
        <f t="shared" si="133"/>
        <v>0</v>
      </c>
      <c r="H360" s="398">
        <f t="shared" si="134"/>
        <v>0</v>
      </c>
      <c r="I360" s="399"/>
      <c r="J360" s="411" t="s">
        <v>29</v>
      </c>
      <c r="K360" s="411" t="s">
        <v>259</v>
      </c>
      <c r="L360" s="411" t="s">
        <v>112</v>
      </c>
      <c r="M360" s="461"/>
      <c r="N360" s="460"/>
      <c r="O360" s="463"/>
      <c r="P360" s="464"/>
    </row>
    <row r="361" spans="1:17" s="416" customFormat="1" ht="14.65" customHeight="1" outlineLevel="2">
      <c r="A361" s="400">
        <v>1.1299999999999999</v>
      </c>
      <c r="B361" s="469" t="s">
        <v>892</v>
      </c>
      <c r="C361" s="397" t="s">
        <v>470</v>
      </c>
      <c r="D361" s="462"/>
      <c r="E361" s="462"/>
      <c r="F361" s="462"/>
      <c r="G361" s="398">
        <f t="shared" si="133"/>
        <v>0</v>
      </c>
      <c r="H361" s="398">
        <f t="shared" si="134"/>
        <v>0</v>
      </c>
      <c r="I361" s="399"/>
      <c r="J361" s="411" t="s">
        <v>29</v>
      </c>
      <c r="K361" s="411" t="s">
        <v>259</v>
      </c>
      <c r="L361" s="411" t="s">
        <v>112</v>
      </c>
      <c r="M361" s="461"/>
      <c r="N361" s="460"/>
      <c r="O361" s="463"/>
      <c r="P361" s="464"/>
    </row>
    <row r="362" spans="1:17" s="416" customFormat="1" ht="14.65" customHeight="1" outlineLevel="2">
      <c r="A362" s="481">
        <v>1.1399999999999999</v>
      </c>
      <c r="B362" s="469" t="s">
        <v>893</v>
      </c>
      <c r="C362" s="397" t="s">
        <v>24</v>
      </c>
      <c r="D362" s="462"/>
      <c r="E362" s="462"/>
      <c r="F362" s="462"/>
      <c r="G362" s="398">
        <f t="shared" si="133"/>
        <v>0</v>
      </c>
      <c r="H362" s="398">
        <f t="shared" si="134"/>
        <v>0</v>
      </c>
      <c r="I362" s="399"/>
      <c r="J362" s="411" t="s">
        <v>29</v>
      </c>
      <c r="K362" s="411" t="s">
        <v>259</v>
      </c>
      <c r="L362" s="411" t="s">
        <v>112</v>
      </c>
      <c r="M362" s="461"/>
      <c r="N362" s="460"/>
      <c r="O362" s="463"/>
      <c r="P362" s="464"/>
    </row>
    <row r="363" spans="1:17" s="416" customFormat="1" ht="14.65" customHeight="1" outlineLevel="2">
      <c r="A363" s="400">
        <v>1.1499999999999999</v>
      </c>
      <c r="B363" s="469" t="s">
        <v>894</v>
      </c>
      <c r="C363" s="397" t="s">
        <v>50</v>
      </c>
      <c r="D363" s="462"/>
      <c r="E363" s="462"/>
      <c r="F363" s="462"/>
      <c r="G363" s="398">
        <f t="shared" si="133"/>
        <v>0</v>
      </c>
      <c r="H363" s="398">
        <f t="shared" si="134"/>
        <v>0</v>
      </c>
      <c r="I363" s="399"/>
      <c r="J363" s="411" t="s">
        <v>29</v>
      </c>
      <c r="K363" s="411" t="s">
        <v>259</v>
      </c>
      <c r="L363" s="411" t="s">
        <v>112</v>
      </c>
      <c r="M363" s="461"/>
      <c r="N363" s="460"/>
      <c r="O363" s="463"/>
      <c r="P363" s="464"/>
    </row>
    <row r="364" spans="1:17" s="416" customFormat="1" ht="14.65" customHeight="1" outlineLevel="2">
      <c r="A364" s="481">
        <v>1.1599999999999999</v>
      </c>
      <c r="B364" s="469" t="s">
        <v>895</v>
      </c>
      <c r="C364" s="397" t="s">
        <v>24</v>
      </c>
      <c r="D364" s="462"/>
      <c r="E364" s="462"/>
      <c r="F364" s="462"/>
      <c r="G364" s="398">
        <f t="shared" si="133"/>
        <v>0</v>
      </c>
      <c r="H364" s="398">
        <f t="shared" si="134"/>
        <v>0</v>
      </c>
      <c r="I364" s="399"/>
      <c r="J364" s="411" t="s">
        <v>29</v>
      </c>
      <c r="K364" s="411" t="s">
        <v>259</v>
      </c>
      <c r="L364" s="411" t="s">
        <v>112</v>
      </c>
      <c r="M364" s="461"/>
      <c r="N364" s="460"/>
      <c r="O364" s="463"/>
      <c r="P364" s="464"/>
    </row>
    <row r="365" spans="1:17" s="416" customFormat="1" ht="14.65" customHeight="1" outlineLevel="2">
      <c r="A365" s="400">
        <v>1.17</v>
      </c>
      <c r="B365" s="469" t="s">
        <v>896</v>
      </c>
      <c r="C365" s="397" t="s">
        <v>15</v>
      </c>
      <c r="D365" s="462"/>
      <c r="E365" s="462"/>
      <c r="F365" s="462"/>
      <c r="G365" s="398">
        <f t="shared" si="133"/>
        <v>0</v>
      </c>
      <c r="H365" s="398">
        <f t="shared" si="134"/>
        <v>0</v>
      </c>
      <c r="I365" s="399"/>
      <c r="J365" s="411" t="s">
        <v>29</v>
      </c>
      <c r="K365" s="411" t="s">
        <v>259</v>
      </c>
      <c r="L365" s="411" t="s">
        <v>112</v>
      </c>
      <c r="M365" s="461"/>
      <c r="N365" s="460"/>
      <c r="O365" s="463"/>
      <c r="P365" s="464"/>
    </row>
    <row r="366" spans="1:17" s="416" customFormat="1" ht="14" outlineLevel="2">
      <c r="A366" s="400" t="s">
        <v>8</v>
      </c>
      <c r="B366" s="415" t="s">
        <v>246</v>
      </c>
      <c r="C366" s="397" t="s">
        <v>30</v>
      </c>
      <c r="D366" s="398"/>
      <c r="E366" s="398"/>
      <c r="F366" s="398"/>
      <c r="G366" s="398">
        <f>F366*D366</f>
        <v>0</v>
      </c>
      <c r="H366" s="398">
        <f>F366*E366</f>
        <v>0</v>
      </c>
      <c r="I366" s="399"/>
      <c r="J366" s="411" t="s">
        <v>29</v>
      </c>
      <c r="K366" s="411" t="s">
        <v>259</v>
      </c>
      <c r="L366" s="411" t="s">
        <v>112</v>
      </c>
      <c r="M366" s="460"/>
      <c r="N366" s="463"/>
      <c r="O366" s="470"/>
      <c r="P366" s="417"/>
    </row>
    <row r="367" spans="1:17" s="425" customFormat="1" ht="14">
      <c r="A367" s="482" t="s">
        <v>54</v>
      </c>
      <c r="B367" s="483" t="s">
        <v>582</v>
      </c>
      <c r="C367" s="484"/>
      <c r="D367" s="485"/>
      <c r="E367" s="485"/>
      <c r="F367" s="486"/>
      <c r="G367" s="485">
        <f>SUBTOTAL(9,G368:G916)</f>
        <v>3143013.0000000005</v>
      </c>
      <c r="H367" s="485">
        <f>SUBTOTAL(9,H368:H916)</f>
        <v>6911891.8000000007</v>
      </c>
      <c r="I367" s="487"/>
      <c r="J367" s="410"/>
      <c r="K367" s="424"/>
      <c r="L367" s="424"/>
      <c r="M367" s="424"/>
      <c r="N367" s="424"/>
      <c r="O367" s="413"/>
      <c r="P367" s="414"/>
      <c r="Q367" s="413"/>
    </row>
    <row r="368" spans="1:17" s="372" customFormat="1" ht="14" outlineLevel="1">
      <c r="A368" s="388" t="s">
        <v>4</v>
      </c>
      <c r="B368" s="488" t="s">
        <v>595</v>
      </c>
      <c r="C368" s="390"/>
      <c r="D368" s="391"/>
      <c r="E368" s="391"/>
      <c r="F368" s="391"/>
      <c r="G368" s="391">
        <f>SUBTOTAL(9,G369:G473)</f>
        <v>2129663</v>
      </c>
      <c r="H368" s="391">
        <f>SUBTOTAL(9,H369:H473)</f>
        <v>6011736</v>
      </c>
      <c r="I368" s="391"/>
      <c r="J368" s="363"/>
      <c r="K368" s="362"/>
      <c r="L368" s="362"/>
      <c r="M368" s="362"/>
      <c r="N368" s="362"/>
      <c r="P368" s="371"/>
    </row>
    <row r="369" spans="1:16" s="385" customFormat="1" ht="14" outlineLevel="2">
      <c r="A369" s="388">
        <v>1</v>
      </c>
      <c r="B369" s="489" t="s">
        <v>454</v>
      </c>
      <c r="C369" s="390"/>
      <c r="D369" s="391"/>
      <c r="E369" s="391"/>
      <c r="F369" s="391"/>
      <c r="G369" s="391"/>
      <c r="H369" s="391"/>
      <c r="I369" s="391"/>
      <c r="J369" s="384"/>
      <c r="K369" s="383"/>
      <c r="L369" s="383"/>
      <c r="M369" s="383"/>
      <c r="N369" s="383"/>
      <c r="P369" s="386"/>
    </row>
    <row r="370" spans="1:16" s="372" customFormat="1" ht="14" outlineLevel="3">
      <c r="A370" s="388" t="s">
        <v>8</v>
      </c>
      <c r="B370" s="490" t="s">
        <v>193</v>
      </c>
      <c r="C370" s="397" t="s">
        <v>24</v>
      </c>
      <c r="D370" s="398">
        <v>2</v>
      </c>
      <c r="E370" s="398"/>
      <c r="F370" s="398">
        <v>62563</v>
      </c>
      <c r="G370" s="398">
        <f t="shared" ref="G370:G375" si="135">F370*D370</f>
        <v>125126</v>
      </c>
      <c r="H370" s="398">
        <f t="shared" ref="H370:H375" si="136">F370*E370</f>
        <v>0</v>
      </c>
      <c r="I370" s="399"/>
      <c r="J370" s="362" t="s">
        <v>38</v>
      </c>
      <c r="K370" s="362" t="s">
        <v>258</v>
      </c>
      <c r="L370" s="362" t="s">
        <v>112</v>
      </c>
      <c r="M370" s="362" t="s">
        <v>144</v>
      </c>
      <c r="N370" s="362"/>
      <c r="P370" s="371"/>
    </row>
    <row r="371" spans="1:16" s="372" customFormat="1" ht="14" outlineLevel="3">
      <c r="A371" s="405" t="s">
        <v>8</v>
      </c>
      <c r="B371" s="490" t="s">
        <v>455</v>
      </c>
      <c r="C371" s="397" t="s">
        <v>24</v>
      </c>
      <c r="D371" s="398">
        <v>10</v>
      </c>
      <c r="E371" s="398">
        <v>20</v>
      </c>
      <c r="F371" s="491">
        <v>59563</v>
      </c>
      <c r="G371" s="398">
        <f t="shared" si="135"/>
        <v>595630</v>
      </c>
      <c r="H371" s="398">
        <f t="shared" si="136"/>
        <v>1191260</v>
      </c>
      <c r="I371" s="399"/>
      <c r="J371" s="362" t="s">
        <v>38</v>
      </c>
      <c r="K371" s="362" t="s">
        <v>258</v>
      </c>
      <c r="L371" s="362" t="s">
        <v>112</v>
      </c>
      <c r="M371" s="362" t="s">
        <v>144</v>
      </c>
      <c r="N371" s="362"/>
      <c r="P371" s="492"/>
    </row>
    <row r="372" spans="1:16" s="372" customFormat="1" ht="14" outlineLevel="3">
      <c r="A372" s="405" t="s">
        <v>8</v>
      </c>
      <c r="B372" s="490" t="s">
        <v>456</v>
      </c>
      <c r="C372" s="397" t="s">
        <v>24</v>
      </c>
      <c r="D372" s="398"/>
      <c r="E372" s="398"/>
      <c r="F372" s="491"/>
      <c r="G372" s="398">
        <f t="shared" si="135"/>
        <v>0</v>
      </c>
      <c r="H372" s="398">
        <f t="shared" si="136"/>
        <v>0</v>
      </c>
      <c r="I372" s="399"/>
      <c r="J372" s="362" t="s">
        <v>38</v>
      </c>
      <c r="K372" s="362" t="s">
        <v>258</v>
      </c>
      <c r="L372" s="362" t="s">
        <v>112</v>
      </c>
      <c r="M372" s="362" t="s">
        <v>144</v>
      </c>
      <c r="N372" s="362"/>
      <c r="P372" s="492"/>
    </row>
    <row r="373" spans="1:16" s="372" customFormat="1" ht="14" outlineLevel="3">
      <c r="A373" s="405" t="s">
        <v>8</v>
      </c>
      <c r="B373" s="490" t="s">
        <v>457</v>
      </c>
      <c r="C373" s="397" t="s">
        <v>24</v>
      </c>
      <c r="D373" s="398"/>
      <c r="E373" s="398"/>
      <c r="F373" s="491"/>
      <c r="G373" s="398"/>
      <c r="H373" s="398"/>
      <c r="I373" s="399"/>
      <c r="J373" s="362" t="s">
        <v>38</v>
      </c>
      <c r="K373" s="362" t="s">
        <v>258</v>
      </c>
      <c r="L373" s="362" t="s">
        <v>112</v>
      </c>
      <c r="M373" s="362" t="s">
        <v>144</v>
      </c>
      <c r="N373" s="362"/>
      <c r="P373" s="371"/>
    </row>
    <row r="374" spans="1:16" s="372" customFormat="1" ht="14" outlineLevel="3">
      <c r="A374" s="405" t="s">
        <v>8</v>
      </c>
      <c r="B374" s="490" t="s">
        <v>195</v>
      </c>
      <c r="C374" s="397" t="s">
        <v>24</v>
      </c>
      <c r="D374" s="398"/>
      <c r="E374" s="398"/>
      <c r="F374" s="491"/>
      <c r="G374" s="398">
        <f t="shared" si="135"/>
        <v>0</v>
      </c>
      <c r="H374" s="398">
        <f t="shared" si="136"/>
        <v>0</v>
      </c>
      <c r="I374" s="399"/>
      <c r="J374" s="362" t="s">
        <v>38</v>
      </c>
      <c r="K374" s="362" t="s">
        <v>250</v>
      </c>
      <c r="L374" s="362" t="s">
        <v>112</v>
      </c>
      <c r="M374" s="362" t="s">
        <v>144</v>
      </c>
      <c r="N374" s="362"/>
      <c r="P374" s="371"/>
    </row>
    <row r="375" spans="1:16" s="372" customFormat="1" ht="14" outlineLevel="3">
      <c r="A375" s="405" t="s">
        <v>8</v>
      </c>
      <c r="B375" s="490" t="s">
        <v>265</v>
      </c>
      <c r="C375" s="397" t="s">
        <v>24</v>
      </c>
      <c r="D375" s="398"/>
      <c r="E375" s="398"/>
      <c r="F375" s="398"/>
      <c r="G375" s="398">
        <f t="shared" si="135"/>
        <v>0</v>
      </c>
      <c r="H375" s="398">
        <f t="shared" si="136"/>
        <v>0</v>
      </c>
      <c r="I375" s="399"/>
      <c r="J375" s="362" t="s">
        <v>38</v>
      </c>
      <c r="K375" s="362" t="s">
        <v>250</v>
      </c>
      <c r="L375" s="362" t="s">
        <v>112</v>
      </c>
      <c r="M375" s="362" t="s">
        <v>144</v>
      </c>
      <c r="N375" s="362"/>
      <c r="P375" s="371"/>
    </row>
    <row r="376" spans="1:16" s="372" customFormat="1" ht="14" outlineLevel="3">
      <c r="A376" s="405">
        <v>2</v>
      </c>
      <c r="B376" s="489" t="s">
        <v>458</v>
      </c>
      <c r="C376" s="397" t="s">
        <v>24</v>
      </c>
      <c r="D376" s="398"/>
      <c r="E376" s="398"/>
      <c r="F376" s="491"/>
      <c r="G376" s="398"/>
      <c r="H376" s="398"/>
      <c r="I376" s="399"/>
      <c r="J376" s="362" t="s">
        <v>38</v>
      </c>
      <c r="K376" s="362" t="s">
        <v>258</v>
      </c>
      <c r="L376" s="362" t="s">
        <v>112</v>
      </c>
      <c r="M376" s="362" t="s">
        <v>144</v>
      </c>
      <c r="N376" s="362"/>
      <c r="P376" s="371"/>
    </row>
    <row r="377" spans="1:16" s="372" customFormat="1" ht="14" outlineLevel="3">
      <c r="A377" s="405" t="s">
        <v>8</v>
      </c>
      <c r="B377" s="490" t="s">
        <v>455</v>
      </c>
      <c r="C377" s="397" t="s">
        <v>24</v>
      </c>
      <c r="D377" s="398"/>
      <c r="E377" s="398"/>
      <c r="F377" s="491"/>
      <c r="G377" s="398">
        <f t="shared" ref="G377:G381" si="137">F377*D377</f>
        <v>0</v>
      </c>
      <c r="H377" s="398">
        <f t="shared" ref="H377:H381" si="138">F377*E377</f>
        <v>0</v>
      </c>
      <c r="I377" s="399"/>
      <c r="J377" s="362" t="s">
        <v>38</v>
      </c>
      <c r="K377" s="362" t="s">
        <v>257</v>
      </c>
      <c r="L377" s="362" t="s">
        <v>112</v>
      </c>
      <c r="M377" s="362" t="s">
        <v>144</v>
      </c>
      <c r="N377" s="362"/>
      <c r="P377" s="492"/>
    </row>
    <row r="378" spans="1:16" s="372" customFormat="1" ht="14" outlineLevel="3">
      <c r="A378" s="405" t="s">
        <v>8</v>
      </c>
      <c r="B378" s="490" t="s">
        <v>456</v>
      </c>
      <c r="C378" s="397" t="s">
        <v>24</v>
      </c>
      <c r="D378" s="398"/>
      <c r="E378" s="398"/>
      <c r="F378" s="491"/>
      <c r="G378" s="398">
        <f t="shared" si="137"/>
        <v>0</v>
      </c>
      <c r="H378" s="398">
        <f t="shared" si="138"/>
        <v>0</v>
      </c>
      <c r="I378" s="399"/>
      <c r="J378" s="362" t="s">
        <v>38</v>
      </c>
      <c r="K378" s="362" t="s">
        <v>257</v>
      </c>
      <c r="L378" s="362" t="s">
        <v>112</v>
      </c>
      <c r="M378" s="362" t="s">
        <v>144</v>
      </c>
      <c r="N378" s="362"/>
      <c r="P378" s="492"/>
    </row>
    <row r="379" spans="1:16" s="372" customFormat="1" ht="14" outlineLevel="3">
      <c r="A379" s="405" t="s">
        <v>8</v>
      </c>
      <c r="B379" s="490" t="s">
        <v>457</v>
      </c>
      <c r="C379" s="397" t="s">
        <v>24</v>
      </c>
      <c r="D379" s="398"/>
      <c r="E379" s="398"/>
      <c r="F379" s="491"/>
      <c r="G379" s="398">
        <f t="shared" si="137"/>
        <v>0</v>
      </c>
      <c r="H379" s="398">
        <f t="shared" si="138"/>
        <v>0</v>
      </c>
      <c r="I379" s="399"/>
      <c r="J379" s="362" t="s">
        <v>38</v>
      </c>
      <c r="K379" s="362" t="s">
        <v>257</v>
      </c>
      <c r="L379" s="362" t="s">
        <v>112</v>
      </c>
      <c r="M379" s="362" t="s">
        <v>144</v>
      </c>
      <c r="N379" s="362"/>
      <c r="P379" s="371"/>
    </row>
    <row r="380" spans="1:16" s="372" customFormat="1" ht="14" outlineLevel="3">
      <c r="A380" s="405" t="s">
        <v>8</v>
      </c>
      <c r="B380" s="490" t="s">
        <v>195</v>
      </c>
      <c r="C380" s="397" t="s">
        <v>24</v>
      </c>
      <c r="D380" s="398"/>
      <c r="E380" s="398"/>
      <c r="F380" s="493"/>
      <c r="G380" s="398">
        <f t="shared" si="137"/>
        <v>0</v>
      </c>
      <c r="H380" s="398">
        <f t="shared" si="138"/>
        <v>0</v>
      </c>
      <c r="I380" s="399"/>
      <c r="J380" s="362" t="s">
        <v>38</v>
      </c>
      <c r="K380" s="362" t="s">
        <v>250</v>
      </c>
      <c r="L380" s="362" t="s">
        <v>112</v>
      </c>
      <c r="M380" s="362" t="s">
        <v>144</v>
      </c>
      <c r="N380" s="362"/>
      <c r="P380" s="371"/>
    </row>
    <row r="381" spans="1:16" s="372" customFormat="1" ht="14" outlineLevel="3">
      <c r="A381" s="405" t="s">
        <v>8</v>
      </c>
      <c r="B381" s="490" t="s">
        <v>265</v>
      </c>
      <c r="C381" s="397" t="s">
        <v>24</v>
      </c>
      <c r="D381" s="398"/>
      <c r="E381" s="398"/>
      <c r="F381" s="494"/>
      <c r="G381" s="398">
        <f t="shared" si="137"/>
        <v>0</v>
      </c>
      <c r="H381" s="398">
        <f t="shared" si="138"/>
        <v>0</v>
      </c>
      <c r="I381" s="399"/>
      <c r="J381" s="362" t="s">
        <v>38</v>
      </c>
      <c r="K381" s="362" t="s">
        <v>250</v>
      </c>
      <c r="L381" s="362" t="s">
        <v>112</v>
      </c>
      <c r="M381" s="362" t="s">
        <v>144</v>
      </c>
      <c r="N381" s="362"/>
      <c r="P381" s="371"/>
    </row>
    <row r="382" spans="1:16" s="372" customFormat="1" ht="14" outlineLevel="3">
      <c r="A382" s="405">
        <v>3</v>
      </c>
      <c r="B382" s="495" t="s">
        <v>584</v>
      </c>
      <c r="C382" s="397"/>
      <c r="D382" s="398"/>
      <c r="E382" s="398"/>
      <c r="F382" s="491"/>
      <c r="G382" s="398"/>
      <c r="H382" s="398"/>
      <c r="I382" s="399"/>
      <c r="J382" s="362"/>
      <c r="K382" s="362"/>
      <c r="L382" s="362"/>
      <c r="M382" s="362"/>
      <c r="N382" s="362"/>
      <c r="P382" s="371"/>
    </row>
    <row r="383" spans="1:16" s="372" customFormat="1" ht="14" outlineLevel="3">
      <c r="A383" s="405">
        <v>3.1</v>
      </c>
      <c r="B383" s="495" t="s">
        <v>485</v>
      </c>
      <c r="C383" s="397"/>
      <c r="D383" s="398"/>
      <c r="E383" s="398"/>
      <c r="F383" s="491"/>
      <c r="G383" s="398">
        <f>SUBTOTAL(9,G384:G389)</f>
        <v>0</v>
      </c>
      <c r="H383" s="398">
        <f>SUBTOTAL(9,H384:H389)</f>
        <v>178689</v>
      </c>
      <c r="I383" s="399"/>
      <c r="J383" s="362"/>
      <c r="K383" s="362"/>
      <c r="L383" s="362"/>
      <c r="M383" s="362"/>
      <c r="N383" s="362"/>
      <c r="P383" s="371"/>
    </row>
    <row r="384" spans="1:16" s="372" customFormat="1" ht="14" outlineLevel="3">
      <c r="A384" s="405" t="s">
        <v>8</v>
      </c>
      <c r="B384" s="490" t="s">
        <v>455</v>
      </c>
      <c r="C384" s="397" t="s">
        <v>24</v>
      </c>
      <c r="D384" s="398"/>
      <c r="E384" s="398"/>
      <c r="F384" s="496"/>
      <c r="G384" s="398">
        <f t="shared" ref="G384:G389" si="139">F384*D384</f>
        <v>0</v>
      </c>
      <c r="H384" s="398">
        <f t="shared" ref="H384:H389" si="140">F384*E384</f>
        <v>0</v>
      </c>
      <c r="I384" s="399"/>
      <c r="J384" s="362" t="s">
        <v>38</v>
      </c>
      <c r="K384" s="362" t="s">
        <v>257</v>
      </c>
      <c r="L384" s="362" t="s">
        <v>112</v>
      </c>
      <c r="M384" s="362" t="s">
        <v>144</v>
      </c>
      <c r="N384" s="362"/>
      <c r="P384" s="497"/>
    </row>
    <row r="385" spans="1:16" s="372" customFormat="1" ht="14" outlineLevel="3">
      <c r="A385" s="405" t="s">
        <v>8</v>
      </c>
      <c r="B385" s="490" t="s">
        <v>456</v>
      </c>
      <c r="C385" s="397" t="s">
        <v>24</v>
      </c>
      <c r="D385" s="398"/>
      <c r="E385" s="398"/>
      <c r="F385" s="491"/>
      <c r="G385" s="398">
        <f t="shared" si="139"/>
        <v>0</v>
      </c>
      <c r="H385" s="398">
        <f t="shared" si="140"/>
        <v>0</v>
      </c>
      <c r="I385" s="399"/>
      <c r="J385" s="362" t="s">
        <v>38</v>
      </c>
      <c r="K385" s="362" t="s">
        <v>257</v>
      </c>
      <c r="L385" s="362" t="s">
        <v>112</v>
      </c>
      <c r="M385" s="362" t="s">
        <v>144</v>
      </c>
      <c r="N385" s="362"/>
      <c r="P385" s="371"/>
    </row>
    <row r="386" spans="1:16" s="372" customFormat="1" ht="14" outlineLevel="3">
      <c r="A386" s="405" t="s">
        <v>8</v>
      </c>
      <c r="B386" s="490" t="s">
        <v>457</v>
      </c>
      <c r="C386" s="397" t="s">
        <v>24</v>
      </c>
      <c r="D386" s="398"/>
      <c r="E386" s="398">
        <v>3</v>
      </c>
      <c r="F386" s="496">
        <v>59563</v>
      </c>
      <c r="G386" s="398">
        <f t="shared" si="139"/>
        <v>0</v>
      </c>
      <c r="H386" s="398">
        <f t="shared" si="140"/>
        <v>178689</v>
      </c>
      <c r="I386" s="399"/>
      <c r="J386" s="362" t="s">
        <v>38</v>
      </c>
      <c r="K386" s="362" t="s">
        <v>257</v>
      </c>
      <c r="L386" s="362" t="s">
        <v>112</v>
      </c>
      <c r="M386" s="362" t="s">
        <v>144</v>
      </c>
      <c r="N386" s="362"/>
      <c r="P386" s="497"/>
    </row>
    <row r="387" spans="1:16" s="372" customFormat="1" ht="14" outlineLevel="3">
      <c r="A387" s="405" t="s">
        <v>8</v>
      </c>
      <c r="B387" s="490" t="s">
        <v>580</v>
      </c>
      <c r="C387" s="397" t="s">
        <v>24</v>
      </c>
      <c r="D387" s="398"/>
      <c r="E387" s="398"/>
      <c r="F387" s="496"/>
      <c r="G387" s="398">
        <f t="shared" ref="G387" si="141">F387*D387</f>
        <v>0</v>
      </c>
      <c r="H387" s="398">
        <f t="shared" ref="H387" si="142">F387*E387</f>
        <v>0</v>
      </c>
      <c r="I387" s="399"/>
      <c r="J387" s="362" t="s">
        <v>38</v>
      </c>
      <c r="K387" s="362" t="s">
        <v>257</v>
      </c>
      <c r="L387" s="362" t="s">
        <v>112</v>
      </c>
      <c r="M387" s="362" t="s">
        <v>144</v>
      </c>
      <c r="N387" s="362"/>
      <c r="P387" s="371"/>
    </row>
    <row r="388" spans="1:16" s="372" customFormat="1" ht="14" outlineLevel="3">
      <c r="A388" s="405" t="s">
        <v>8</v>
      </c>
      <c r="B388" s="490" t="s">
        <v>195</v>
      </c>
      <c r="C388" s="397" t="s">
        <v>24</v>
      </c>
      <c r="D388" s="398"/>
      <c r="E388" s="398"/>
      <c r="F388" s="491"/>
      <c r="G388" s="398">
        <f t="shared" si="139"/>
        <v>0</v>
      </c>
      <c r="H388" s="398">
        <f t="shared" si="140"/>
        <v>0</v>
      </c>
      <c r="I388" s="399"/>
      <c r="J388" s="362" t="s">
        <v>38</v>
      </c>
      <c r="K388" s="362" t="s">
        <v>250</v>
      </c>
      <c r="L388" s="362" t="s">
        <v>112</v>
      </c>
      <c r="M388" s="362" t="s">
        <v>144</v>
      </c>
      <c r="N388" s="362"/>
      <c r="P388" s="371"/>
    </row>
    <row r="389" spans="1:16" s="372" customFormat="1" ht="14" outlineLevel="3">
      <c r="A389" s="405" t="s">
        <v>8</v>
      </c>
      <c r="B389" s="490" t="s">
        <v>265</v>
      </c>
      <c r="C389" s="397" t="s">
        <v>24</v>
      </c>
      <c r="D389" s="398"/>
      <c r="E389" s="398"/>
      <c r="F389" s="494"/>
      <c r="G389" s="398">
        <f t="shared" si="139"/>
        <v>0</v>
      </c>
      <c r="H389" s="398">
        <f t="shared" si="140"/>
        <v>0</v>
      </c>
      <c r="I389" s="399"/>
      <c r="J389" s="362" t="s">
        <v>38</v>
      </c>
      <c r="K389" s="362" t="s">
        <v>250</v>
      </c>
      <c r="L389" s="362" t="s">
        <v>112</v>
      </c>
      <c r="M389" s="362" t="s">
        <v>144</v>
      </c>
      <c r="N389" s="362"/>
      <c r="P389" s="371"/>
    </row>
    <row r="390" spans="1:16" s="372" customFormat="1" ht="14" outlineLevel="3">
      <c r="A390" s="405">
        <v>3.2</v>
      </c>
      <c r="B390" s="498" t="s">
        <v>465</v>
      </c>
      <c r="C390" s="397"/>
      <c r="D390" s="398"/>
      <c r="E390" s="398"/>
      <c r="F390" s="491"/>
      <c r="G390" s="398"/>
      <c r="H390" s="398"/>
      <c r="I390" s="399"/>
      <c r="J390" s="362"/>
      <c r="K390" s="362"/>
      <c r="L390" s="362"/>
      <c r="M390" s="362"/>
      <c r="N390" s="362"/>
      <c r="P390" s="371"/>
    </row>
    <row r="391" spans="1:16" s="372" customFormat="1" ht="14" outlineLevel="3">
      <c r="A391" s="405" t="s">
        <v>8</v>
      </c>
      <c r="B391" s="490" t="s">
        <v>162</v>
      </c>
      <c r="C391" s="397" t="s">
        <v>24</v>
      </c>
      <c r="D391" s="398">
        <v>1</v>
      </c>
      <c r="E391" s="398">
        <v>2</v>
      </c>
      <c r="F391" s="499">
        <v>231000</v>
      </c>
      <c r="G391" s="398">
        <f t="shared" ref="G391:G395" si="143">F391*D391</f>
        <v>231000</v>
      </c>
      <c r="H391" s="398">
        <f t="shared" ref="H391:H395" si="144">F391*E391</f>
        <v>462000</v>
      </c>
      <c r="I391" s="399"/>
      <c r="J391" s="362" t="s">
        <v>38</v>
      </c>
      <c r="K391" s="362" t="s">
        <v>257</v>
      </c>
      <c r="L391" s="362" t="s">
        <v>112</v>
      </c>
      <c r="M391" s="362" t="s">
        <v>144</v>
      </c>
      <c r="N391" s="362"/>
      <c r="P391" s="371"/>
    </row>
    <row r="392" spans="1:16" s="372" customFormat="1" ht="14" outlineLevel="3">
      <c r="A392" s="405" t="s">
        <v>8</v>
      </c>
      <c r="B392" s="490" t="s">
        <v>235</v>
      </c>
      <c r="C392" s="397" t="s">
        <v>24</v>
      </c>
      <c r="D392" s="398"/>
      <c r="E392" s="398"/>
      <c r="F392" s="398"/>
      <c r="G392" s="398">
        <f t="shared" si="143"/>
        <v>0</v>
      </c>
      <c r="H392" s="398">
        <f t="shared" si="144"/>
        <v>0</v>
      </c>
      <c r="I392" s="399"/>
      <c r="J392" s="362" t="s">
        <v>38</v>
      </c>
      <c r="K392" s="362" t="s">
        <v>257</v>
      </c>
      <c r="L392" s="362" t="s">
        <v>112</v>
      </c>
      <c r="M392" s="362" t="s">
        <v>144</v>
      </c>
      <c r="N392" s="362"/>
      <c r="P392" s="371"/>
    </row>
    <row r="393" spans="1:16" s="372" customFormat="1" ht="14" outlineLevel="3">
      <c r="A393" s="405" t="s">
        <v>8</v>
      </c>
      <c r="B393" s="490" t="s">
        <v>196</v>
      </c>
      <c r="C393" s="397" t="s">
        <v>24</v>
      </c>
      <c r="D393" s="398">
        <v>2</v>
      </c>
      <c r="E393" s="398">
        <v>4</v>
      </c>
      <c r="F393" s="500">
        <v>22680</v>
      </c>
      <c r="G393" s="398">
        <f t="shared" si="143"/>
        <v>45360</v>
      </c>
      <c r="H393" s="398">
        <f t="shared" si="144"/>
        <v>90720</v>
      </c>
      <c r="I393" s="399"/>
      <c r="J393" s="362" t="s">
        <v>38</v>
      </c>
      <c r="K393" s="362" t="s">
        <v>257</v>
      </c>
      <c r="L393" s="362" t="s">
        <v>112</v>
      </c>
      <c r="M393" s="362" t="s">
        <v>144</v>
      </c>
      <c r="N393" s="362"/>
      <c r="P393" s="371"/>
    </row>
    <row r="394" spans="1:16" s="372" customFormat="1" ht="14" outlineLevel="3">
      <c r="A394" s="405" t="s">
        <v>8</v>
      </c>
      <c r="B394" s="501" t="s">
        <v>266</v>
      </c>
      <c r="C394" s="397" t="s">
        <v>9</v>
      </c>
      <c r="D394" s="398"/>
      <c r="E394" s="398"/>
      <c r="F394" s="398"/>
      <c r="G394" s="398">
        <f t="shared" si="143"/>
        <v>0</v>
      </c>
      <c r="H394" s="398">
        <f t="shared" si="144"/>
        <v>0</v>
      </c>
      <c r="I394" s="399"/>
      <c r="J394" s="362" t="s">
        <v>38</v>
      </c>
      <c r="K394" s="362" t="s">
        <v>257</v>
      </c>
      <c r="L394" s="362" t="s">
        <v>112</v>
      </c>
      <c r="M394" s="362" t="s">
        <v>144</v>
      </c>
      <c r="N394" s="362"/>
      <c r="P394" s="371"/>
    </row>
    <row r="395" spans="1:16" s="372" customFormat="1" ht="14" outlineLevel="3">
      <c r="A395" s="405" t="s">
        <v>8</v>
      </c>
      <c r="B395" s="490" t="s">
        <v>267</v>
      </c>
      <c r="C395" s="397" t="s">
        <v>9</v>
      </c>
      <c r="D395" s="502"/>
      <c r="E395" s="502"/>
      <c r="F395" s="503"/>
      <c r="G395" s="398">
        <f t="shared" si="143"/>
        <v>0</v>
      </c>
      <c r="H395" s="398">
        <f t="shared" si="144"/>
        <v>0</v>
      </c>
      <c r="I395" s="399"/>
      <c r="J395" s="362" t="s">
        <v>38</v>
      </c>
      <c r="K395" s="362" t="s">
        <v>257</v>
      </c>
      <c r="L395" s="362" t="s">
        <v>112</v>
      </c>
      <c r="M395" s="362" t="s">
        <v>144</v>
      </c>
      <c r="N395" s="362"/>
      <c r="P395" s="371"/>
    </row>
    <row r="396" spans="1:16" s="372" customFormat="1" ht="14" outlineLevel="3">
      <c r="A396" s="405">
        <v>3.3</v>
      </c>
      <c r="B396" s="498" t="s">
        <v>466</v>
      </c>
      <c r="C396" s="397"/>
      <c r="D396" s="398"/>
      <c r="E396" s="504"/>
      <c r="F396" s="505"/>
      <c r="G396" s="398"/>
      <c r="H396" s="398"/>
      <c r="I396" s="399"/>
      <c r="J396" s="362"/>
      <c r="K396" s="362"/>
      <c r="L396" s="362"/>
      <c r="M396" s="362"/>
      <c r="N396" s="362"/>
      <c r="P396" s="371"/>
    </row>
    <row r="397" spans="1:16" s="372" customFormat="1" ht="14" outlineLevel="4">
      <c r="A397" s="405" t="s">
        <v>8</v>
      </c>
      <c r="B397" s="396" t="s">
        <v>197</v>
      </c>
      <c r="C397" s="397" t="s">
        <v>24</v>
      </c>
      <c r="D397" s="398"/>
      <c r="E397" s="398">
        <v>4</v>
      </c>
      <c r="F397" s="398">
        <v>40000</v>
      </c>
      <c r="G397" s="398">
        <f t="shared" ref="G397:G419" si="145">F397*D397</f>
        <v>0</v>
      </c>
      <c r="H397" s="398">
        <f t="shared" ref="H397:H419" si="146">F397*E397</f>
        <v>160000</v>
      </c>
      <c r="I397" s="399"/>
      <c r="J397" s="362" t="s">
        <v>38</v>
      </c>
      <c r="K397" s="362" t="s">
        <v>257</v>
      </c>
      <c r="L397" s="362" t="s">
        <v>112</v>
      </c>
      <c r="M397" s="362" t="s">
        <v>144</v>
      </c>
      <c r="N397" s="362"/>
      <c r="P397" s="371"/>
    </row>
    <row r="398" spans="1:16" s="372" customFormat="1" ht="14" outlineLevel="4">
      <c r="A398" s="405" t="s">
        <v>8</v>
      </c>
      <c r="B398" s="396" t="s">
        <v>268</v>
      </c>
      <c r="C398" s="397" t="s">
        <v>24</v>
      </c>
      <c r="D398" s="398"/>
      <c r="E398" s="506">
        <v>2</v>
      </c>
      <c r="F398" s="507">
        <v>40000</v>
      </c>
      <c r="G398" s="398">
        <f t="shared" si="145"/>
        <v>0</v>
      </c>
      <c r="H398" s="398">
        <f t="shared" si="146"/>
        <v>80000</v>
      </c>
      <c r="I398" s="399"/>
      <c r="J398" s="362" t="s">
        <v>38</v>
      </c>
      <c r="K398" s="362" t="s">
        <v>257</v>
      </c>
      <c r="L398" s="362" t="s">
        <v>112</v>
      </c>
      <c r="M398" s="362" t="s">
        <v>144</v>
      </c>
      <c r="N398" s="362"/>
      <c r="P398" s="371"/>
    </row>
    <row r="399" spans="1:16" s="372" customFormat="1" ht="14" outlineLevel="4">
      <c r="A399" s="405" t="s">
        <v>8</v>
      </c>
      <c r="B399" s="396" t="s">
        <v>269</v>
      </c>
      <c r="C399" s="397" t="s">
        <v>24</v>
      </c>
      <c r="D399" s="398"/>
      <c r="E399" s="398"/>
      <c r="F399" s="507"/>
      <c r="G399" s="398">
        <f t="shared" si="145"/>
        <v>0</v>
      </c>
      <c r="H399" s="398">
        <f t="shared" si="146"/>
        <v>0</v>
      </c>
      <c r="I399" s="399"/>
      <c r="J399" s="362" t="s">
        <v>38</v>
      </c>
      <c r="K399" s="362" t="s">
        <v>257</v>
      </c>
      <c r="L399" s="362" t="s">
        <v>112</v>
      </c>
      <c r="M399" s="362" t="s">
        <v>144</v>
      </c>
      <c r="N399" s="362"/>
      <c r="P399" s="371"/>
    </row>
    <row r="400" spans="1:16" s="372" customFormat="1" ht="14" outlineLevel="4">
      <c r="A400" s="405" t="s">
        <v>8</v>
      </c>
      <c r="B400" s="396" t="s">
        <v>270</v>
      </c>
      <c r="C400" s="397" t="s">
        <v>9</v>
      </c>
      <c r="D400" s="398"/>
      <c r="E400" s="398">
        <v>1</v>
      </c>
      <c r="F400" s="398">
        <v>5000</v>
      </c>
      <c r="G400" s="398">
        <f t="shared" si="145"/>
        <v>0</v>
      </c>
      <c r="H400" s="398">
        <f t="shared" si="146"/>
        <v>5000</v>
      </c>
      <c r="I400" s="399"/>
      <c r="J400" s="362" t="s">
        <v>38</v>
      </c>
      <c r="K400" s="362" t="s">
        <v>257</v>
      </c>
      <c r="L400" s="362" t="s">
        <v>112</v>
      </c>
      <c r="M400" s="362" t="s">
        <v>144</v>
      </c>
      <c r="N400" s="362"/>
      <c r="P400" s="371"/>
    </row>
    <row r="401" spans="1:16" s="372" customFormat="1" ht="14" outlineLevel="4">
      <c r="A401" s="405" t="s">
        <v>8</v>
      </c>
      <c r="B401" s="396" t="s">
        <v>199</v>
      </c>
      <c r="C401" s="397" t="s">
        <v>24</v>
      </c>
      <c r="D401" s="398"/>
      <c r="E401" s="398">
        <v>2</v>
      </c>
      <c r="F401" s="398">
        <v>40000</v>
      </c>
      <c r="G401" s="398">
        <f t="shared" si="145"/>
        <v>0</v>
      </c>
      <c r="H401" s="398">
        <f t="shared" si="146"/>
        <v>80000</v>
      </c>
      <c r="I401" s="399"/>
      <c r="J401" s="362" t="s">
        <v>38</v>
      </c>
      <c r="K401" s="362" t="s">
        <v>257</v>
      </c>
      <c r="L401" s="362" t="s">
        <v>112</v>
      </c>
      <c r="M401" s="362" t="s">
        <v>144</v>
      </c>
      <c r="N401" s="362"/>
      <c r="P401" s="371"/>
    </row>
    <row r="402" spans="1:16" s="372" customFormat="1" ht="14" outlineLevel="4">
      <c r="A402" s="405" t="s">
        <v>8</v>
      </c>
      <c r="B402" s="396" t="s">
        <v>200</v>
      </c>
      <c r="C402" s="397" t="s">
        <v>24</v>
      </c>
      <c r="D402" s="398"/>
      <c r="E402" s="398"/>
      <c r="F402" s="398"/>
      <c r="G402" s="398">
        <f t="shared" si="145"/>
        <v>0</v>
      </c>
      <c r="H402" s="398">
        <f t="shared" si="146"/>
        <v>0</v>
      </c>
      <c r="I402" s="399"/>
      <c r="J402" s="362" t="s">
        <v>38</v>
      </c>
      <c r="K402" s="362" t="s">
        <v>257</v>
      </c>
      <c r="L402" s="362" t="s">
        <v>112</v>
      </c>
      <c r="M402" s="362" t="s">
        <v>144</v>
      </c>
      <c r="N402" s="362"/>
      <c r="P402" s="371"/>
    </row>
    <row r="403" spans="1:16" s="372" customFormat="1" ht="14" outlineLevel="4">
      <c r="A403" s="405" t="s">
        <v>8</v>
      </c>
      <c r="B403" s="490" t="s">
        <v>271</v>
      </c>
      <c r="C403" s="397" t="s">
        <v>24</v>
      </c>
      <c r="D403" s="398"/>
      <c r="E403" s="398">
        <v>2</v>
      </c>
      <c r="F403" s="508">
        <v>40000</v>
      </c>
      <c r="G403" s="398">
        <f t="shared" si="145"/>
        <v>0</v>
      </c>
      <c r="H403" s="398">
        <f t="shared" si="146"/>
        <v>80000</v>
      </c>
      <c r="I403" s="399"/>
      <c r="J403" s="362" t="s">
        <v>38</v>
      </c>
      <c r="K403" s="362" t="s">
        <v>257</v>
      </c>
      <c r="L403" s="362" t="s">
        <v>112</v>
      </c>
      <c r="M403" s="362" t="s">
        <v>144</v>
      </c>
      <c r="N403" s="362"/>
      <c r="P403" s="371"/>
    </row>
    <row r="404" spans="1:16" s="372" customFormat="1" ht="14" outlineLevel="4">
      <c r="A404" s="405" t="s">
        <v>8</v>
      </c>
      <c r="B404" s="396" t="s">
        <v>272</v>
      </c>
      <c r="C404" s="397" t="s">
        <v>24</v>
      </c>
      <c r="D404" s="398"/>
      <c r="E404" s="398"/>
      <c r="F404" s="398"/>
      <c r="G404" s="398">
        <f t="shared" si="145"/>
        <v>0</v>
      </c>
      <c r="H404" s="398">
        <f t="shared" si="146"/>
        <v>0</v>
      </c>
      <c r="I404" s="399"/>
      <c r="J404" s="362" t="s">
        <v>38</v>
      </c>
      <c r="K404" s="362" t="s">
        <v>257</v>
      </c>
      <c r="L404" s="362" t="s">
        <v>112</v>
      </c>
      <c r="M404" s="362" t="s">
        <v>144</v>
      </c>
      <c r="N404" s="362"/>
      <c r="P404" s="371"/>
    </row>
    <row r="405" spans="1:16" s="372" customFormat="1" ht="14" outlineLevel="4">
      <c r="A405" s="405" t="s">
        <v>8</v>
      </c>
      <c r="B405" s="509" t="s">
        <v>273</v>
      </c>
      <c r="C405" s="397" t="s">
        <v>9</v>
      </c>
      <c r="D405" s="398"/>
      <c r="E405" s="398"/>
      <c r="F405" s="398"/>
      <c r="G405" s="398">
        <f t="shared" si="145"/>
        <v>0</v>
      </c>
      <c r="H405" s="398">
        <f t="shared" si="146"/>
        <v>0</v>
      </c>
      <c r="I405" s="399"/>
      <c r="J405" s="362" t="s">
        <v>38</v>
      </c>
      <c r="K405" s="362" t="s">
        <v>257</v>
      </c>
      <c r="L405" s="362" t="s">
        <v>112</v>
      </c>
      <c r="M405" s="362" t="s">
        <v>144</v>
      </c>
      <c r="N405" s="362"/>
      <c r="P405" s="371"/>
    </row>
    <row r="406" spans="1:16" s="372" customFormat="1" ht="14" outlineLevel="4">
      <c r="A406" s="405" t="s">
        <v>8</v>
      </c>
      <c r="B406" s="509" t="s">
        <v>274</v>
      </c>
      <c r="C406" s="397" t="s">
        <v>24</v>
      </c>
      <c r="D406" s="398"/>
      <c r="E406" s="398"/>
      <c r="F406" s="398"/>
      <c r="G406" s="398">
        <f t="shared" si="145"/>
        <v>0</v>
      </c>
      <c r="H406" s="398">
        <f t="shared" si="146"/>
        <v>0</v>
      </c>
      <c r="I406" s="399"/>
      <c r="J406" s="362" t="s">
        <v>38</v>
      </c>
      <c r="K406" s="362" t="s">
        <v>257</v>
      </c>
      <c r="L406" s="362" t="s">
        <v>112</v>
      </c>
      <c r="M406" s="362" t="s">
        <v>144</v>
      </c>
      <c r="N406" s="362"/>
      <c r="P406" s="371"/>
    </row>
    <row r="407" spans="1:16" s="372" customFormat="1" ht="14" outlineLevel="4">
      <c r="A407" s="405" t="s">
        <v>8</v>
      </c>
      <c r="B407" s="396" t="s">
        <v>275</v>
      </c>
      <c r="C407" s="397" t="s">
        <v>24</v>
      </c>
      <c r="D407" s="398"/>
      <c r="E407" s="398"/>
      <c r="F407" s="398"/>
      <c r="G407" s="398">
        <f t="shared" si="145"/>
        <v>0</v>
      </c>
      <c r="H407" s="398">
        <f t="shared" si="146"/>
        <v>0</v>
      </c>
      <c r="I407" s="399"/>
      <c r="J407" s="362" t="s">
        <v>38</v>
      </c>
      <c r="K407" s="362" t="s">
        <v>257</v>
      </c>
      <c r="L407" s="362" t="s">
        <v>112</v>
      </c>
      <c r="M407" s="362" t="s">
        <v>144</v>
      </c>
      <c r="N407" s="362"/>
      <c r="P407" s="371"/>
    </row>
    <row r="408" spans="1:16" s="372" customFormat="1" ht="14" outlineLevel="4">
      <c r="A408" s="405" t="s">
        <v>8</v>
      </c>
      <c r="B408" s="396" t="s">
        <v>276</v>
      </c>
      <c r="C408" s="397" t="s">
        <v>24</v>
      </c>
      <c r="D408" s="398"/>
      <c r="E408" s="398"/>
      <c r="F408" s="398"/>
      <c r="G408" s="398">
        <f t="shared" si="145"/>
        <v>0</v>
      </c>
      <c r="H408" s="398">
        <f t="shared" si="146"/>
        <v>0</v>
      </c>
      <c r="I408" s="399"/>
      <c r="J408" s="362" t="s">
        <v>38</v>
      </c>
      <c r="K408" s="362" t="s">
        <v>257</v>
      </c>
      <c r="L408" s="362" t="s">
        <v>112</v>
      </c>
      <c r="M408" s="362" t="s">
        <v>144</v>
      </c>
      <c r="N408" s="362"/>
      <c r="P408" s="371"/>
    </row>
    <row r="409" spans="1:16" s="372" customFormat="1" ht="14" outlineLevel="4">
      <c r="A409" s="405" t="s">
        <v>8</v>
      </c>
      <c r="B409" s="396" t="s">
        <v>277</v>
      </c>
      <c r="C409" s="397" t="s">
        <v>24</v>
      </c>
      <c r="D409" s="398"/>
      <c r="E409" s="398"/>
      <c r="F409" s="398"/>
      <c r="G409" s="398">
        <f t="shared" si="145"/>
        <v>0</v>
      </c>
      <c r="H409" s="398">
        <f t="shared" si="146"/>
        <v>0</v>
      </c>
      <c r="I409" s="399"/>
      <c r="J409" s="362" t="s">
        <v>38</v>
      </c>
      <c r="K409" s="362" t="s">
        <v>257</v>
      </c>
      <c r="L409" s="362" t="s">
        <v>112</v>
      </c>
      <c r="M409" s="362" t="s">
        <v>144</v>
      </c>
      <c r="N409" s="362"/>
      <c r="P409" s="371"/>
    </row>
    <row r="410" spans="1:16" s="372" customFormat="1" ht="14" outlineLevel="4">
      <c r="A410" s="405" t="s">
        <v>8</v>
      </c>
      <c r="B410" s="490" t="s">
        <v>201</v>
      </c>
      <c r="C410" s="397" t="s">
        <v>24</v>
      </c>
      <c r="D410" s="398"/>
      <c r="E410" s="398"/>
      <c r="F410" s="510"/>
      <c r="G410" s="398">
        <f t="shared" si="145"/>
        <v>0</v>
      </c>
      <c r="H410" s="398">
        <f t="shared" si="146"/>
        <v>0</v>
      </c>
      <c r="I410" s="399"/>
      <c r="J410" s="362" t="s">
        <v>38</v>
      </c>
      <c r="K410" s="362" t="s">
        <v>257</v>
      </c>
      <c r="L410" s="362" t="s">
        <v>112</v>
      </c>
      <c r="M410" s="362" t="s">
        <v>144</v>
      </c>
      <c r="N410" s="362"/>
      <c r="P410" s="371"/>
    </row>
    <row r="411" spans="1:16" s="372" customFormat="1" ht="14" outlineLevel="4">
      <c r="A411" s="405" t="s">
        <v>8</v>
      </c>
      <c r="B411" s="396" t="s">
        <v>207</v>
      </c>
      <c r="C411" s="397" t="s">
        <v>24</v>
      </c>
      <c r="D411" s="398"/>
      <c r="E411" s="398">
        <v>2</v>
      </c>
      <c r="F411" s="510">
        <v>20000</v>
      </c>
      <c r="G411" s="398">
        <f t="shared" si="145"/>
        <v>0</v>
      </c>
      <c r="H411" s="398">
        <f t="shared" si="146"/>
        <v>40000</v>
      </c>
      <c r="I411" s="399"/>
      <c r="J411" s="362" t="s">
        <v>38</v>
      </c>
      <c r="K411" s="362" t="s">
        <v>257</v>
      </c>
      <c r="L411" s="362" t="s">
        <v>112</v>
      </c>
      <c r="M411" s="362" t="s">
        <v>144</v>
      </c>
      <c r="N411" s="362"/>
      <c r="P411" s="371"/>
    </row>
    <row r="412" spans="1:16" s="372" customFormat="1" ht="14" outlineLevel="4">
      <c r="A412" s="405" t="s">
        <v>8</v>
      </c>
      <c r="B412" s="509" t="s">
        <v>202</v>
      </c>
      <c r="C412" s="397" t="s">
        <v>24</v>
      </c>
      <c r="D412" s="398">
        <v>6</v>
      </c>
      <c r="E412" s="398">
        <v>4</v>
      </c>
      <c r="F412" s="510">
        <v>10000</v>
      </c>
      <c r="G412" s="398">
        <f t="shared" si="145"/>
        <v>60000</v>
      </c>
      <c r="H412" s="398">
        <f t="shared" si="146"/>
        <v>40000</v>
      </c>
      <c r="I412" s="399"/>
      <c r="J412" s="362" t="s">
        <v>38</v>
      </c>
      <c r="K412" s="362" t="s">
        <v>257</v>
      </c>
      <c r="L412" s="362" t="s">
        <v>112</v>
      </c>
      <c r="M412" s="362" t="s">
        <v>144</v>
      </c>
      <c r="N412" s="362"/>
      <c r="P412" s="371"/>
    </row>
    <row r="413" spans="1:16" s="372" customFormat="1" ht="14" outlineLevel="4">
      <c r="A413" s="405" t="s">
        <v>8</v>
      </c>
      <c r="B413" s="509" t="s">
        <v>203</v>
      </c>
      <c r="C413" s="397" t="s">
        <v>24</v>
      </c>
      <c r="D413" s="398">
        <v>2</v>
      </c>
      <c r="E413" s="398"/>
      <c r="F413" s="510">
        <v>10000</v>
      </c>
      <c r="G413" s="398">
        <f t="shared" si="145"/>
        <v>20000</v>
      </c>
      <c r="H413" s="398">
        <f t="shared" si="146"/>
        <v>0</v>
      </c>
      <c r="I413" s="399"/>
      <c r="J413" s="362" t="s">
        <v>38</v>
      </c>
      <c r="K413" s="362" t="s">
        <v>257</v>
      </c>
      <c r="L413" s="362" t="s">
        <v>112</v>
      </c>
      <c r="M413" s="362" t="s">
        <v>144</v>
      </c>
      <c r="N413" s="362"/>
      <c r="P413" s="371"/>
    </row>
    <row r="414" spans="1:16" s="372" customFormat="1" ht="14" outlineLevel="4">
      <c r="A414" s="405" t="s">
        <v>8</v>
      </c>
      <c r="B414" s="509" t="s">
        <v>278</v>
      </c>
      <c r="C414" s="397" t="s">
        <v>24</v>
      </c>
      <c r="D414" s="398"/>
      <c r="E414" s="398"/>
      <c r="F414" s="398"/>
      <c r="G414" s="398">
        <f t="shared" si="145"/>
        <v>0</v>
      </c>
      <c r="H414" s="398">
        <f t="shared" si="146"/>
        <v>0</v>
      </c>
      <c r="I414" s="399"/>
      <c r="J414" s="362" t="s">
        <v>38</v>
      </c>
      <c r="K414" s="362" t="s">
        <v>257</v>
      </c>
      <c r="L414" s="362" t="s">
        <v>112</v>
      </c>
      <c r="M414" s="362" t="s">
        <v>144</v>
      </c>
      <c r="N414" s="362"/>
      <c r="P414" s="371"/>
    </row>
    <row r="415" spans="1:16" s="372" customFormat="1" ht="14" outlineLevel="4">
      <c r="A415" s="405" t="s">
        <v>8</v>
      </c>
      <c r="B415" s="509" t="s">
        <v>545</v>
      </c>
      <c r="C415" s="397" t="s">
        <v>24</v>
      </c>
      <c r="D415" s="398"/>
      <c r="E415" s="398">
        <v>2</v>
      </c>
      <c r="F415" s="398">
        <v>10000</v>
      </c>
      <c r="G415" s="398">
        <f t="shared" si="145"/>
        <v>0</v>
      </c>
      <c r="H415" s="398">
        <f t="shared" si="146"/>
        <v>20000</v>
      </c>
      <c r="I415" s="399"/>
      <c r="J415" s="362" t="s">
        <v>38</v>
      </c>
      <c r="K415" s="362" t="s">
        <v>257</v>
      </c>
      <c r="L415" s="362" t="s">
        <v>112</v>
      </c>
      <c r="M415" s="362" t="s">
        <v>144</v>
      </c>
      <c r="N415" s="362"/>
      <c r="P415" s="371"/>
    </row>
    <row r="416" spans="1:16" s="372" customFormat="1" ht="14" outlineLevel="4">
      <c r="A416" s="405" t="s">
        <v>8</v>
      </c>
      <c r="B416" s="509" t="s">
        <v>142</v>
      </c>
      <c r="C416" s="397" t="s">
        <v>24</v>
      </c>
      <c r="D416" s="398">
        <v>2</v>
      </c>
      <c r="E416" s="398">
        <v>2</v>
      </c>
      <c r="F416" s="507">
        <v>10000</v>
      </c>
      <c r="G416" s="398">
        <f t="shared" si="145"/>
        <v>20000</v>
      </c>
      <c r="H416" s="398">
        <f t="shared" si="146"/>
        <v>20000</v>
      </c>
      <c r="I416" s="399"/>
      <c r="J416" s="362" t="s">
        <v>38</v>
      </c>
      <c r="K416" s="362" t="s">
        <v>257</v>
      </c>
      <c r="L416" s="362" t="s">
        <v>112</v>
      </c>
      <c r="M416" s="362" t="s">
        <v>144</v>
      </c>
      <c r="N416" s="362"/>
      <c r="P416" s="371"/>
    </row>
    <row r="417" spans="1:16" s="372" customFormat="1" ht="14" outlineLevel="4">
      <c r="A417" s="405" t="s">
        <v>8</v>
      </c>
      <c r="B417" s="509" t="s">
        <v>143</v>
      </c>
      <c r="C417" s="397" t="s">
        <v>24</v>
      </c>
      <c r="D417" s="398">
        <v>2</v>
      </c>
      <c r="E417" s="398">
        <v>2</v>
      </c>
      <c r="F417" s="510">
        <v>4488</v>
      </c>
      <c r="G417" s="398">
        <f t="shared" si="145"/>
        <v>8976</v>
      </c>
      <c r="H417" s="398">
        <f t="shared" si="146"/>
        <v>8976</v>
      </c>
      <c r="I417" s="399"/>
      <c r="J417" s="362" t="s">
        <v>38</v>
      </c>
      <c r="K417" s="362" t="s">
        <v>257</v>
      </c>
      <c r="L417" s="362" t="s">
        <v>112</v>
      </c>
      <c r="M417" s="362" t="s">
        <v>144</v>
      </c>
      <c r="N417" s="362"/>
      <c r="P417" s="371"/>
    </row>
    <row r="418" spans="1:16" s="372" customFormat="1" ht="14" outlineLevel="4">
      <c r="A418" s="405" t="s">
        <v>8</v>
      </c>
      <c r="B418" s="509" t="s">
        <v>204</v>
      </c>
      <c r="C418" s="397" t="s">
        <v>9</v>
      </c>
      <c r="D418" s="398">
        <v>1</v>
      </c>
      <c r="E418" s="398"/>
      <c r="F418" s="511">
        <v>5000</v>
      </c>
      <c r="G418" s="398">
        <f t="shared" si="145"/>
        <v>5000</v>
      </c>
      <c r="H418" s="398">
        <f t="shared" si="146"/>
        <v>0</v>
      </c>
      <c r="I418" s="399"/>
      <c r="J418" s="362" t="s">
        <v>38</v>
      </c>
      <c r="K418" s="362" t="s">
        <v>257</v>
      </c>
      <c r="L418" s="362" t="s">
        <v>112</v>
      </c>
      <c r="M418" s="362" t="s">
        <v>144</v>
      </c>
      <c r="N418" s="362"/>
      <c r="P418" s="371"/>
    </row>
    <row r="419" spans="1:16" s="372" customFormat="1" ht="14" outlineLevel="3">
      <c r="A419" s="405" t="s">
        <v>8</v>
      </c>
      <c r="B419" s="512" t="s">
        <v>585</v>
      </c>
      <c r="C419" s="397" t="s">
        <v>9</v>
      </c>
      <c r="D419" s="398"/>
      <c r="E419" s="504"/>
      <c r="F419" s="505"/>
      <c r="G419" s="398">
        <f t="shared" si="145"/>
        <v>0</v>
      </c>
      <c r="H419" s="398">
        <f t="shared" si="146"/>
        <v>0</v>
      </c>
      <c r="I419" s="399"/>
      <c r="J419" s="362" t="s">
        <v>38</v>
      </c>
      <c r="K419" s="362" t="s">
        <v>257</v>
      </c>
      <c r="L419" s="362" t="s">
        <v>112</v>
      </c>
      <c r="M419" s="362" t="s">
        <v>144</v>
      </c>
      <c r="N419" s="362"/>
      <c r="P419" s="371"/>
    </row>
    <row r="420" spans="1:16" s="372" customFormat="1" ht="14" outlineLevel="3">
      <c r="A420" s="388">
        <v>4</v>
      </c>
      <c r="B420" s="513" t="s">
        <v>459</v>
      </c>
      <c r="C420" s="397"/>
      <c r="D420" s="398"/>
      <c r="E420" s="398"/>
      <c r="F420" s="491"/>
      <c r="G420" s="398"/>
      <c r="H420" s="398"/>
      <c r="I420" s="399"/>
      <c r="J420" s="362"/>
      <c r="K420" s="362"/>
      <c r="L420" s="362"/>
      <c r="M420" s="362"/>
      <c r="N420" s="362"/>
      <c r="P420" s="371"/>
    </row>
    <row r="421" spans="1:16" s="372" customFormat="1" ht="14" outlineLevel="3">
      <c r="A421" s="405" t="s">
        <v>8</v>
      </c>
      <c r="B421" s="490" t="s">
        <v>195</v>
      </c>
      <c r="C421" s="397" t="s">
        <v>24</v>
      </c>
      <c r="D421" s="398">
        <v>2</v>
      </c>
      <c r="E421" s="398"/>
      <c r="F421" s="493">
        <v>62563</v>
      </c>
      <c r="G421" s="398">
        <f t="shared" ref="G421:G422" si="147">F421*D421</f>
        <v>125126</v>
      </c>
      <c r="H421" s="398">
        <f t="shared" ref="H421:H422" si="148">F421*E421</f>
        <v>0</v>
      </c>
      <c r="I421" s="399"/>
      <c r="J421" s="362" t="s">
        <v>38</v>
      </c>
      <c r="K421" s="362" t="s">
        <v>250</v>
      </c>
      <c r="L421" s="362" t="s">
        <v>112</v>
      </c>
      <c r="M421" s="362" t="s">
        <v>144</v>
      </c>
      <c r="N421" s="362"/>
      <c r="P421" s="514"/>
    </row>
    <row r="422" spans="1:16" s="372" customFormat="1" ht="14.5" outlineLevel="3">
      <c r="A422" s="405" t="s">
        <v>8</v>
      </c>
      <c r="B422" s="490" t="s">
        <v>265</v>
      </c>
      <c r="C422" s="397" t="s">
        <v>24</v>
      </c>
      <c r="D422" s="398"/>
      <c r="E422" s="398"/>
      <c r="F422" s="515"/>
      <c r="G422" s="398">
        <f t="shared" si="147"/>
        <v>0</v>
      </c>
      <c r="H422" s="398">
        <f t="shared" si="148"/>
        <v>0</v>
      </c>
      <c r="I422" s="399"/>
      <c r="J422" s="362" t="s">
        <v>38</v>
      </c>
      <c r="K422" s="362" t="s">
        <v>250</v>
      </c>
      <c r="L422" s="362" t="s">
        <v>112</v>
      </c>
      <c r="M422" s="362" t="s">
        <v>144</v>
      </c>
      <c r="N422" s="362"/>
      <c r="P422" s="371"/>
    </row>
    <row r="423" spans="1:16" s="372" customFormat="1" ht="14" outlineLevel="3">
      <c r="A423" s="388">
        <v>5</v>
      </c>
      <c r="B423" s="513" t="s">
        <v>542</v>
      </c>
      <c r="C423" s="397"/>
      <c r="D423" s="398"/>
      <c r="E423" s="398"/>
      <c r="F423" s="398"/>
      <c r="G423" s="398">
        <f>SUBTOTAL(9,G424:G428)</f>
        <v>893445</v>
      </c>
      <c r="H423" s="398">
        <f>SUBTOTAL(9,H424:H428)</f>
        <v>0</v>
      </c>
      <c r="I423" s="399"/>
      <c r="J423" s="362"/>
      <c r="K423" s="362"/>
      <c r="L423" s="362"/>
      <c r="M423" s="362"/>
      <c r="N423" s="362"/>
      <c r="P423" s="371"/>
    </row>
    <row r="424" spans="1:16" s="372" customFormat="1" ht="14" outlineLevel="3">
      <c r="A424" s="405" t="s">
        <v>8</v>
      </c>
      <c r="B424" s="490" t="s">
        <v>455</v>
      </c>
      <c r="C424" s="397" t="s">
        <v>24</v>
      </c>
      <c r="D424" s="398"/>
      <c r="E424" s="398"/>
      <c r="F424" s="491"/>
      <c r="G424" s="398">
        <f t="shared" ref="G424:G428" si="149">F424*D424</f>
        <v>0</v>
      </c>
      <c r="H424" s="398">
        <f t="shared" ref="H424:H428" si="150">F424*E424</f>
        <v>0</v>
      </c>
      <c r="I424" s="399"/>
      <c r="J424" s="362" t="s">
        <v>38</v>
      </c>
      <c r="K424" s="362" t="s">
        <v>258</v>
      </c>
      <c r="L424" s="362" t="s">
        <v>112</v>
      </c>
      <c r="M424" s="362" t="s">
        <v>144</v>
      </c>
      <c r="N424" s="362"/>
      <c r="P424" s="371"/>
    </row>
    <row r="425" spans="1:16" s="372" customFormat="1" ht="14" outlineLevel="3">
      <c r="A425" s="405" t="s">
        <v>8</v>
      </c>
      <c r="B425" s="490" t="s">
        <v>456</v>
      </c>
      <c r="C425" s="397" t="s">
        <v>24</v>
      </c>
      <c r="D425" s="398">
        <v>15</v>
      </c>
      <c r="E425" s="398"/>
      <c r="F425" s="516">
        <v>59563</v>
      </c>
      <c r="G425" s="398">
        <f t="shared" si="149"/>
        <v>893445</v>
      </c>
      <c r="H425" s="398">
        <f t="shared" si="150"/>
        <v>0</v>
      </c>
      <c r="I425" s="399"/>
      <c r="J425" s="362" t="s">
        <v>38</v>
      </c>
      <c r="K425" s="362" t="s">
        <v>258</v>
      </c>
      <c r="L425" s="362" t="s">
        <v>112</v>
      </c>
      <c r="M425" s="362" t="s">
        <v>144</v>
      </c>
      <c r="N425" s="362"/>
      <c r="P425" s="371"/>
    </row>
    <row r="426" spans="1:16" s="372" customFormat="1" ht="14" outlineLevel="3">
      <c r="A426" s="405" t="s">
        <v>8</v>
      </c>
      <c r="B426" s="490" t="s">
        <v>457</v>
      </c>
      <c r="C426" s="397" t="s">
        <v>24</v>
      </c>
      <c r="D426" s="398"/>
      <c r="E426" s="398"/>
      <c r="F426" s="491"/>
      <c r="G426" s="398">
        <f t="shared" si="149"/>
        <v>0</v>
      </c>
      <c r="H426" s="398">
        <f t="shared" si="150"/>
        <v>0</v>
      </c>
      <c r="I426" s="399"/>
      <c r="J426" s="362" t="s">
        <v>38</v>
      </c>
      <c r="K426" s="362" t="s">
        <v>258</v>
      </c>
      <c r="L426" s="362" t="s">
        <v>112</v>
      </c>
      <c r="M426" s="362" t="s">
        <v>144</v>
      </c>
      <c r="N426" s="362"/>
      <c r="P426" s="371"/>
    </row>
    <row r="427" spans="1:16" s="372" customFormat="1" ht="14" outlineLevel="3">
      <c r="A427" s="405" t="s">
        <v>8</v>
      </c>
      <c r="B427" s="490" t="s">
        <v>195</v>
      </c>
      <c r="C427" s="397" t="s">
        <v>24</v>
      </c>
      <c r="D427" s="398"/>
      <c r="E427" s="398"/>
      <c r="F427" s="493"/>
      <c r="G427" s="398">
        <f t="shared" si="149"/>
        <v>0</v>
      </c>
      <c r="H427" s="398">
        <f t="shared" si="150"/>
        <v>0</v>
      </c>
      <c r="I427" s="399"/>
      <c r="J427" s="362" t="s">
        <v>38</v>
      </c>
      <c r="K427" s="362" t="s">
        <v>258</v>
      </c>
      <c r="L427" s="362" t="s">
        <v>112</v>
      </c>
      <c r="M427" s="362" t="s">
        <v>144</v>
      </c>
      <c r="N427" s="362"/>
      <c r="P427" s="371"/>
    </row>
    <row r="428" spans="1:16" s="372" customFormat="1" ht="14" outlineLevel="3">
      <c r="A428" s="405" t="s">
        <v>8</v>
      </c>
      <c r="B428" s="490" t="s">
        <v>265</v>
      </c>
      <c r="C428" s="397" t="s">
        <v>24</v>
      </c>
      <c r="D428" s="398"/>
      <c r="E428" s="398"/>
      <c r="F428" s="494"/>
      <c r="G428" s="398">
        <f t="shared" si="149"/>
        <v>0</v>
      </c>
      <c r="H428" s="398">
        <f t="shared" si="150"/>
        <v>0</v>
      </c>
      <c r="I428" s="399"/>
      <c r="J428" s="362" t="s">
        <v>38</v>
      </c>
      <c r="K428" s="362" t="s">
        <v>258</v>
      </c>
      <c r="L428" s="362" t="s">
        <v>112</v>
      </c>
      <c r="M428" s="362" t="s">
        <v>144</v>
      </c>
      <c r="N428" s="362"/>
      <c r="P428" s="371"/>
    </row>
    <row r="429" spans="1:16" s="372" customFormat="1" ht="14" outlineLevel="3">
      <c r="A429" s="405">
        <v>6</v>
      </c>
      <c r="B429" s="513" t="s">
        <v>587</v>
      </c>
      <c r="C429" s="397"/>
      <c r="D429" s="398"/>
      <c r="E429" s="398"/>
      <c r="F429" s="398"/>
      <c r="G429" s="398"/>
      <c r="H429" s="398"/>
      <c r="I429" s="399"/>
      <c r="J429" s="362"/>
      <c r="K429" s="362"/>
      <c r="L429" s="362"/>
      <c r="M429" s="362"/>
      <c r="N429" s="362"/>
      <c r="P429" s="371"/>
    </row>
    <row r="430" spans="1:16" s="372" customFormat="1" ht="14" outlineLevel="3">
      <c r="A430" s="405">
        <v>6.1</v>
      </c>
      <c r="B430" s="495" t="s">
        <v>485</v>
      </c>
      <c r="C430" s="397" t="s">
        <v>24</v>
      </c>
      <c r="D430" s="398"/>
      <c r="E430" s="398"/>
      <c r="F430" s="491"/>
      <c r="G430" s="398">
        <f>SUBTOTAL(9,G431:G436)</f>
        <v>0</v>
      </c>
      <c r="H430" s="398">
        <f>SUBTOTAL(9,H431:H436)</f>
        <v>3395091</v>
      </c>
      <c r="I430" s="399"/>
      <c r="J430" s="362"/>
      <c r="K430" s="362"/>
      <c r="L430" s="362"/>
      <c r="M430" s="362"/>
      <c r="N430" s="362"/>
      <c r="P430" s="371"/>
    </row>
    <row r="431" spans="1:16" s="372" customFormat="1" ht="14" outlineLevel="3">
      <c r="A431" s="405" t="s">
        <v>8</v>
      </c>
      <c r="B431" s="490" t="s">
        <v>455</v>
      </c>
      <c r="C431" s="397" t="s">
        <v>24</v>
      </c>
      <c r="D431" s="398"/>
      <c r="E431" s="398">
        <v>34</v>
      </c>
      <c r="F431" s="491">
        <v>59563</v>
      </c>
      <c r="G431" s="398">
        <f t="shared" ref="G431:G436" si="151">F431*D431</f>
        <v>0</v>
      </c>
      <c r="H431" s="398">
        <f t="shared" ref="H431:H436" si="152">F431*E431</f>
        <v>2025142</v>
      </c>
      <c r="I431" s="399"/>
      <c r="J431" s="362" t="s">
        <v>38</v>
      </c>
      <c r="K431" s="362" t="s">
        <v>258</v>
      </c>
      <c r="L431" s="362" t="s">
        <v>112</v>
      </c>
      <c r="M431" s="362" t="s">
        <v>144</v>
      </c>
      <c r="N431" s="362"/>
      <c r="P431" s="371"/>
    </row>
    <row r="432" spans="1:16" s="372" customFormat="1" ht="14" outlineLevel="3">
      <c r="A432" s="405" t="s">
        <v>8</v>
      </c>
      <c r="B432" s="490" t="s">
        <v>456</v>
      </c>
      <c r="C432" s="397" t="s">
        <v>24</v>
      </c>
      <c r="D432" s="398"/>
      <c r="E432" s="398">
        <v>11</v>
      </c>
      <c r="F432" s="491">
        <v>59563</v>
      </c>
      <c r="G432" s="398">
        <f t="shared" si="151"/>
        <v>0</v>
      </c>
      <c r="H432" s="398">
        <f t="shared" si="152"/>
        <v>655193</v>
      </c>
      <c r="I432" s="399"/>
      <c r="J432" s="362" t="s">
        <v>38</v>
      </c>
      <c r="K432" s="362" t="s">
        <v>258</v>
      </c>
      <c r="L432" s="362" t="s">
        <v>112</v>
      </c>
      <c r="M432" s="362" t="s">
        <v>144</v>
      </c>
      <c r="N432" s="362"/>
      <c r="P432" s="371"/>
    </row>
    <row r="433" spans="1:16" s="372" customFormat="1" ht="14" outlineLevel="3">
      <c r="A433" s="405" t="s">
        <v>8</v>
      </c>
      <c r="B433" s="490" t="s">
        <v>457</v>
      </c>
      <c r="C433" s="397" t="s">
        <v>24</v>
      </c>
      <c r="D433" s="398"/>
      <c r="E433" s="398"/>
      <c r="F433" s="491"/>
      <c r="G433" s="398">
        <f t="shared" si="151"/>
        <v>0</v>
      </c>
      <c r="H433" s="398">
        <f t="shared" si="152"/>
        <v>0</v>
      </c>
      <c r="I433" s="399"/>
      <c r="J433" s="362" t="s">
        <v>38</v>
      </c>
      <c r="K433" s="362" t="s">
        <v>258</v>
      </c>
      <c r="L433" s="362" t="s">
        <v>112</v>
      </c>
      <c r="M433" s="362" t="s">
        <v>144</v>
      </c>
      <c r="N433" s="362"/>
      <c r="P433" s="371"/>
    </row>
    <row r="434" spans="1:16" s="372" customFormat="1" ht="14" outlineLevel="3">
      <c r="A434" s="405" t="s">
        <v>8</v>
      </c>
      <c r="B434" s="490" t="s">
        <v>580</v>
      </c>
      <c r="C434" s="397" t="s">
        <v>24</v>
      </c>
      <c r="D434" s="398"/>
      <c r="E434" s="398">
        <v>12</v>
      </c>
      <c r="F434" s="491">
        <v>59563</v>
      </c>
      <c r="G434" s="398">
        <f t="shared" ref="G434" si="153">F434*D434</f>
        <v>0</v>
      </c>
      <c r="H434" s="398">
        <f t="shared" ref="H434" si="154">F434*E434</f>
        <v>714756</v>
      </c>
      <c r="I434" s="399"/>
      <c r="J434" s="362" t="s">
        <v>38</v>
      </c>
      <c r="K434" s="362" t="s">
        <v>258</v>
      </c>
      <c r="L434" s="362" t="s">
        <v>112</v>
      </c>
      <c r="M434" s="362" t="s">
        <v>144</v>
      </c>
      <c r="N434" s="362"/>
      <c r="P434" s="371"/>
    </row>
    <row r="435" spans="1:16" s="372" customFormat="1" ht="14" outlineLevel="3">
      <c r="A435" s="405" t="s">
        <v>8</v>
      </c>
      <c r="B435" s="490" t="s">
        <v>195</v>
      </c>
      <c r="C435" s="397" t="s">
        <v>24</v>
      </c>
      <c r="D435" s="398"/>
      <c r="E435" s="398"/>
      <c r="F435" s="493"/>
      <c r="G435" s="398">
        <f t="shared" si="151"/>
        <v>0</v>
      </c>
      <c r="H435" s="398">
        <f t="shared" si="152"/>
        <v>0</v>
      </c>
      <c r="I435" s="399"/>
      <c r="J435" s="362" t="s">
        <v>38</v>
      </c>
      <c r="K435" s="362" t="s">
        <v>250</v>
      </c>
      <c r="L435" s="362" t="s">
        <v>112</v>
      </c>
      <c r="M435" s="362" t="s">
        <v>144</v>
      </c>
      <c r="N435" s="362"/>
      <c r="P435" s="371"/>
    </row>
    <row r="436" spans="1:16" s="372" customFormat="1" ht="14" outlineLevel="3">
      <c r="A436" s="405" t="s">
        <v>8</v>
      </c>
      <c r="B436" s="490" t="s">
        <v>265</v>
      </c>
      <c r="C436" s="397" t="s">
        <v>24</v>
      </c>
      <c r="D436" s="398"/>
      <c r="E436" s="398"/>
      <c r="F436" s="494"/>
      <c r="G436" s="398">
        <f t="shared" si="151"/>
        <v>0</v>
      </c>
      <c r="H436" s="398">
        <f t="shared" si="152"/>
        <v>0</v>
      </c>
      <c r="I436" s="399"/>
      <c r="J436" s="362" t="s">
        <v>38</v>
      </c>
      <c r="K436" s="362" t="s">
        <v>250</v>
      </c>
      <c r="L436" s="362" t="s">
        <v>112</v>
      </c>
      <c r="M436" s="362" t="s">
        <v>144</v>
      </c>
      <c r="N436" s="362"/>
      <c r="P436" s="371"/>
    </row>
    <row r="437" spans="1:16" s="372" customFormat="1" ht="14" outlineLevel="3">
      <c r="A437" s="405">
        <v>6.2</v>
      </c>
      <c r="B437" s="498" t="s">
        <v>465</v>
      </c>
      <c r="C437" s="397"/>
      <c r="D437" s="398"/>
      <c r="E437" s="398"/>
      <c r="F437" s="491"/>
      <c r="G437" s="398">
        <f>SUBTOTAL(9,G438:G442)</f>
        <v>0</v>
      </c>
      <c r="H437" s="398">
        <f>SUBTOTAL(9,H438:H442)</f>
        <v>0</v>
      </c>
      <c r="I437" s="399"/>
      <c r="J437" s="362"/>
      <c r="K437" s="362"/>
      <c r="L437" s="362"/>
      <c r="M437" s="362"/>
      <c r="N437" s="362"/>
      <c r="P437" s="371"/>
    </row>
    <row r="438" spans="1:16" s="372" customFormat="1" ht="14" outlineLevel="3">
      <c r="A438" s="405" t="s">
        <v>8</v>
      </c>
      <c r="B438" s="490" t="s">
        <v>162</v>
      </c>
      <c r="C438" s="397" t="s">
        <v>24</v>
      </c>
      <c r="D438" s="398"/>
      <c r="E438" s="398"/>
      <c r="F438" s="499"/>
      <c r="G438" s="398">
        <f t="shared" ref="G438:G442" si="155">F438*D438</f>
        <v>0</v>
      </c>
      <c r="H438" s="398">
        <f t="shared" ref="H438:H442" si="156">F438*E438</f>
        <v>0</v>
      </c>
      <c r="I438" s="399"/>
      <c r="J438" s="362" t="s">
        <v>38</v>
      </c>
      <c r="K438" s="362" t="s">
        <v>258</v>
      </c>
      <c r="L438" s="362" t="s">
        <v>112</v>
      </c>
      <c r="M438" s="362" t="s">
        <v>144</v>
      </c>
      <c r="N438" s="362"/>
      <c r="P438" s="371"/>
    </row>
    <row r="439" spans="1:16" s="372" customFormat="1" ht="14" outlineLevel="3">
      <c r="A439" s="405" t="s">
        <v>8</v>
      </c>
      <c r="B439" s="490" t="s">
        <v>235</v>
      </c>
      <c r="C439" s="397" t="s">
        <v>24</v>
      </c>
      <c r="D439" s="398"/>
      <c r="E439" s="398"/>
      <c r="F439" s="398"/>
      <c r="G439" s="398">
        <f t="shared" si="155"/>
        <v>0</v>
      </c>
      <c r="H439" s="398">
        <f t="shared" si="156"/>
        <v>0</v>
      </c>
      <c r="I439" s="399"/>
      <c r="J439" s="362" t="s">
        <v>38</v>
      </c>
      <c r="K439" s="362" t="s">
        <v>258</v>
      </c>
      <c r="L439" s="362" t="s">
        <v>112</v>
      </c>
      <c r="M439" s="362" t="s">
        <v>144</v>
      </c>
      <c r="N439" s="362"/>
      <c r="P439" s="371"/>
    </row>
    <row r="440" spans="1:16" s="372" customFormat="1" ht="14" outlineLevel="3">
      <c r="A440" s="405" t="s">
        <v>8</v>
      </c>
      <c r="B440" s="490" t="s">
        <v>196</v>
      </c>
      <c r="C440" s="397" t="s">
        <v>24</v>
      </c>
      <c r="D440" s="398"/>
      <c r="E440" s="398"/>
      <c r="F440" s="500"/>
      <c r="G440" s="398">
        <f t="shared" si="155"/>
        <v>0</v>
      </c>
      <c r="H440" s="398">
        <f t="shared" si="156"/>
        <v>0</v>
      </c>
      <c r="I440" s="399"/>
      <c r="J440" s="362" t="s">
        <v>38</v>
      </c>
      <c r="K440" s="362" t="s">
        <v>258</v>
      </c>
      <c r="L440" s="362" t="s">
        <v>112</v>
      </c>
      <c r="M440" s="362" t="s">
        <v>144</v>
      </c>
      <c r="N440" s="362"/>
      <c r="P440" s="371"/>
    </row>
    <row r="441" spans="1:16" s="372" customFormat="1" ht="14" outlineLevel="3">
      <c r="A441" s="405" t="s">
        <v>8</v>
      </c>
      <c r="B441" s="501" t="s">
        <v>266</v>
      </c>
      <c r="C441" s="397" t="s">
        <v>9</v>
      </c>
      <c r="D441" s="398"/>
      <c r="E441" s="398"/>
      <c r="F441" s="398"/>
      <c r="G441" s="398">
        <f t="shared" si="155"/>
        <v>0</v>
      </c>
      <c r="H441" s="398">
        <f t="shared" si="156"/>
        <v>0</v>
      </c>
      <c r="I441" s="399"/>
      <c r="J441" s="362" t="s">
        <v>38</v>
      </c>
      <c r="K441" s="362" t="s">
        <v>258</v>
      </c>
      <c r="L441" s="362" t="s">
        <v>112</v>
      </c>
      <c r="M441" s="362" t="s">
        <v>144</v>
      </c>
      <c r="N441" s="362"/>
      <c r="P441" s="371"/>
    </row>
    <row r="442" spans="1:16" s="372" customFormat="1" ht="14" outlineLevel="3">
      <c r="A442" s="405" t="s">
        <v>8</v>
      </c>
      <c r="B442" s="490" t="s">
        <v>267</v>
      </c>
      <c r="C442" s="397" t="s">
        <v>9</v>
      </c>
      <c r="D442" s="502"/>
      <c r="E442" s="502"/>
      <c r="F442" s="503"/>
      <c r="G442" s="398">
        <f t="shared" si="155"/>
        <v>0</v>
      </c>
      <c r="H442" s="398">
        <f t="shared" si="156"/>
        <v>0</v>
      </c>
      <c r="I442" s="399"/>
      <c r="J442" s="362" t="s">
        <v>38</v>
      </c>
      <c r="K442" s="362" t="s">
        <v>258</v>
      </c>
      <c r="L442" s="362" t="s">
        <v>112</v>
      </c>
      <c r="M442" s="362" t="s">
        <v>144</v>
      </c>
      <c r="N442" s="362"/>
      <c r="P442" s="371"/>
    </row>
    <row r="443" spans="1:16" s="372" customFormat="1" ht="14" outlineLevel="3">
      <c r="A443" s="405">
        <v>6.3</v>
      </c>
      <c r="B443" s="498" t="s">
        <v>466</v>
      </c>
      <c r="C443" s="397"/>
      <c r="D443" s="398"/>
      <c r="E443" s="504"/>
      <c r="F443" s="505"/>
      <c r="G443" s="398"/>
      <c r="H443" s="398"/>
      <c r="I443" s="399"/>
      <c r="J443" s="362"/>
      <c r="K443" s="362"/>
      <c r="L443" s="362"/>
      <c r="M443" s="362"/>
      <c r="N443" s="362"/>
      <c r="P443" s="371"/>
    </row>
    <row r="444" spans="1:16" s="372" customFormat="1" ht="14" outlineLevel="4">
      <c r="A444" s="405" t="s">
        <v>8</v>
      </c>
      <c r="B444" s="396" t="s">
        <v>197</v>
      </c>
      <c r="C444" s="397" t="s">
        <v>24</v>
      </c>
      <c r="D444" s="398"/>
      <c r="E444" s="398"/>
      <c r="F444" s="398"/>
      <c r="G444" s="398">
        <f t="shared" ref="G444:G463" si="157">F444*D444</f>
        <v>0</v>
      </c>
      <c r="H444" s="398">
        <f t="shared" ref="H444:H453" si="158">F444*E444</f>
        <v>0</v>
      </c>
      <c r="I444" s="399"/>
      <c r="J444" s="362" t="s">
        <v>38</v>
      </c>
      <c r="K444" s="362" t="s">
        <v>258</v>
      </c>
      <c r="L444" s="362" t="s">
        <v>112</v>
      </c>
      <c r="M444" s="362" t="s">
        <v>144</v>
      </c>
      <c r="N444" s="362"/>
      <c r="P444" s="371"/>
    </row>
    <row r="445" spans="1:16" s="372" customFormat="1" ht="14" outlineLevel="4">
      <c r="A445" s="405" t="s">
        <v>8</v>
      </c>
      <c r="B445" s="396" t="s">
        <v>268</v>
      </c>
      <c r="C445" s="397" t="s">
        <v>24</v>
      </c>
      <c r="D445" s="398"/>
      <c r="E445" s="506"/>
      <c r="F445" s="398"/>
      <c r="G445" s="398">
        <f t="shared" si="157"/>
        <v>0</v>
      </c>
      <c r="H445" s="398">
        <f t="shared" si="158"/>
        <v>0</v>
      </c>
      <c r="I445" s="399"/>
      <c r="J445" s="362" t="s">
        <v>38</v>
      </c>
      <c r="K445" s="362" t="s">
        <v>258</v>
      </c>
      <c r="L445" s="362" t="s">
        <v>112</v>
      </c>
      <c r="M445" s="362" t="s">
        <v>144</v>
      </c>
      <c r="N445" s="362"/>
      <c r="P445" s="371"/>
    </row>
    <row r="446" spans="1:16" s="372" customFormat="1" ht="14" outlineLevel="4">
      <c r="A446" s="405" t="s">
        <v>8</v>
      </c>
      <c r="B446" s="396" t="s">
        <v>269</v>
      </c>
      <c r="C446" s="397" t="s">
        <v>24</v>
      </c>
      <c r="D446" s="398"/>
      <c r="E446" s="398"/>
      <c r="F446" s="398"/>
      <c r="G446" s="398">
        <f t="shared" si="157"/>
        <v>0</v>
      </c>
      <c r="H446" s="398">
        <f t="shared" si="158"/>
        <v>0</v>
      </c>
      <c r="I446" s="399"/>
      <c r="J446" s="362" t="s">
        <v>38</v>
      </c>
      <c r="K446" s="362" t="s">
        <v>258</v>
      </c>
      <c r="L446" s="362" t="s">
        <v>112</v>
      </c>
      <c r="M446" s="362" t="s">
        <v>144</v>
      </c>
      <c r="N446" s="362"/>
      <c r="P446" s="371"/>
    </row>
    <row r="447" spans="1:16" s="372" customFormat="1" ht="14" outlineLevel="4">
      <c r="A447" s="405" t="s">
        <v>8</v>
      </c>
      <c r="B447" s="396" t="s">
        <v>270</v>
      </c>
      <c r="C447" s="397" t="s">
        <v>9</v>
      </c>
      <c r="D447" s="398"/>
      <c r="E447" s="398"/>
      <c r="F447" s="398"/>
      <c r="G447" s="398">
        <f t="shared" si="157"/>
        <v>0</v>
      </c>
      <c r="H447" s="398">
        <f t="shared" si="158"/>
        <v>0</v>
      </c>
      <c r="I447" s="399"/>
      <c r="J447" s="362" t="s">
        <v>38</v>
      </c>
      <c r="K447" s="362" t="s">
        <v>258</v>
      </c>
      <c r="L447" s="362" t="s">
        <v>112</v>
      </c>
      <c r="M447" s="362" t="s">
        <v>144</v>
      </c>
      <c r="N447" s="362"/>
      <c r="P447" s="371"/>
    </row>
    <row r="448" spans="1:16" s="372" customFormat="1" ht="14" outlineLevel="4">
      <c r="A448" s="405" t="s">
        <v>8</v>
      </c>
      <c r="B448" s="396" t="s">
        <v>199</v>
      </c>
      <c r="C448" s="397" t="s">
        <v>24</v>
      </c>
      <c r="D448" s="398"/>
      <c r="E448" s="398"/>
      <c r="F448" s="398"/>
      <c r="G448" s="398">
        <f t="shared" si="157"/>
        <v>0</v>
      </c>
      <c r="H448" s="398">
        <f t="shared" si="158"/>
        <v>0</v>
      </c>
      <c r="I448" s="399"/>
      <c r="J448" s="362" t="s">
        <v>38</v>
      </c>
      <c r="K448" s="362" t="s">
        <v>258</v>
      </c>
      <c r="L448" s="362" t="s">
        <v>112</v>
      </c>
      <c r="M448" s="362" t="s">
        <v>144</v>
      </c>
      <c r="N448" s="362"/>
      <c r="P448" s="371"/>
    </row>
    <row r="449" spans="1:16" s="372" customFormat="1" ht="14" outlineLevel="4">
      <c r="A449" s="405" t="s">
        <v>8</v>
      </c>
      <c r="B449" s="396" t="s">
        <v>200</v>
      </c>
      <c r="C449" s="397" t="s">
        <v>24</v>
      </c>
      <c r="D449" s="398"/>
      <c r="E449" s="398"/>
      <c r="F449" s="398"/>
      <c r="G449" s="398">
        <f t="shared" si="157"/>
        <v>0</v>
      </c>
      <c r="H449" s="398">
        <f t="shared" si="158"/>
        <v>0</v>
      </c>
      <c r="I449" s="399"/>
      <c r="J449" s="362" t="s">
        <v>38</v>
      </c>
      <c r="K449" s="362" t="s">
        <v>258</v>
      </c>
      <c r="L449" s="362" t="s">
        <v>112</v>
      </c>
      <c r="M449" s="362" t="s">
        <v>144</v>
      </c>
      <c r="N449" s="362"/>
      <c r="P449" s="371"/>
    </row>
    <row r="450" spans="1:16" s="372" customFormat="1" ht="14" outlineLevel="4">
      <c r="A450" s="405" t="s">
        <v>8</v>
      </c>
      <c r="B450" s="490" t="s">
        <v>271</v>
      </c>
      <c r="C450" s="397" t="s">
        <v>24</v>
      </c>
      <c r="D450" s="398"/>
      <c r="E450" s="398"/>
      <c r="F450" s="398"/>
      <c r="G450" s="398">
        <f t="shared" si="157"/>
        <v>0</v>
      </c>
      <c r="H450" s="398">
        <f t="shared" si="158"/>
        <v>0</v>
      </c>
      <c r="I450" s="399"/>
      <c r="J450" s="362" t="s">
        <v>38</v>
      </c>
      <c r="K450" s="362" t="s">
        <v>258</v>
      </c>
      <c r="L450" s="362" t="s">
        <v>112</v>
      </c>
      <c r="M450" s="362" t="s">
        <v>144</v>
      </c>
      <c r="N450" s="362"/>
      <c r="P450" s="371"/>
    </row>
    <row r="451" spans="1:16" s="372" customFormat="1" ht="14" outlineLevel="4">
      <c r="A451" s="405" t="s">
        <v>8</v>
      </c>
      <c r="B451" s="396" t="s">
        <v>272</v>
      </c>
      <c r="C451" s="397" t="s">
        <v>24</v>
      </c>
      <c r="D451" s="398"/>
      <c r="E451" s="398"/>
      <c r="F451" s="398"/>
      <c r="G451" s="398">
        <f t="shared" si="157"/>
        <v>0</v>
      </c>
      <c r="H451" s="398">
        <f t="shared" si="158"/>
        <v>0</v>
      </c>
      <c r="I451" s="399"/>
      <c r="J451" s="362" t="s">
        <v>38</v>
      </c>
      <c r="K451" s="362" t="s">
        <v>258</v>
      </c>
      <c r="L451" s="362" t="s">
        <v>112</v>
      </c>
      <c r="M451" s="362" t="s">
        <v>144</v>
      </c>
      <c r="N451" s="362"/>
      <c r="P451" s="371"/>
    </row>
    <row r="452" spans="1:16" s="372" customFormat="1" ht="14" outlineLevel="4">
      <c r="A452" s="405" t="s">
        <v>8</v>
      </c>
      <c r="B452" s="509" t="s">
        <v>273</v>
      </c>
      <c r="C452" s="397" t="s">
        <v>9</v>
      </c>
      <c r="D452" s="398"/>
      <c r="E452" s="398"/>
      <c r="F452" s="398"/>
      <c r="G452" s="398">
        <f t="shared" si="157"/>
        <v>0</v>
      </c>
      <c r="H452" s="398">
        <f t="shared" si="158"/>
        <v>0</v>
      </c>
      <c r="I452" s="399"/>
      <c r="J452" s="362" t="s">
        <v>38</v>
      </c>
      <c r="K452" s="362" t="s">
        <v>258</v>
      </c>
      <c r="L452" s="362" t="s">
        <v>112</v>
      </c>
      <c r="M452" s="362" t="s">
        <v>144</v>
      </c>
      <c r="N452" s="362"/>
      <c r="P452" s="371"/>
    </row>
    <row r="453" spans="1:16" s="372" customFormat="1" ht="14" outlineLevel="4">
      <c r="A453" s="405" t="s">
        <v>8</v>
      </c>
      <c r="B453" s="490" t="s">
        <v>201</v>
      </c>
      <c r="C453" s="397" t="s">
        <v>24</v>
      </c>
      <c r="D453" s="398"/>
      <c r="E453" s="398"/>
      <c r="F453" s="398"/>
      <c r="G453" s="398">
        <f t="shared" si="157"/>
        <v>0</v>
      </c>
      <c r="H453" s="398">
        <f t="shared" si="158"/>
        <v>0</v>
      </c>
      <c r="I453" s="399"/>
      <c r="J453" s="362" t="s">
        <v>38</v>
      </c>
      <c r="K453" s="362" t="s">
        <v>258</v>
      </c>
      <c r="L453" s="362" t="s">
        <v>112</v>
      </c>
      <c r="M453" s="362" t="s">
        <v>144</v>
      </c>
      <c r="N453" s="362"/>
      <c r="P453" s="371"/>
    </row>
    <row r="454" spans="1:16" s="372" customFormat="1" ht="14" outlineLevel="4">
      <c r="A454" s="405" t="s">
        <v>8</v>
      </c>
      <c r="B454" s="396" t="s">
        <v>207</v>
      </c>
      <c r="C454" s="397" t="s">
        <v>24</v>
      </c>
      <c r="D454" s="398"/>
      <c r="E454" s="398">
        <v>2</v>
      </c>
      <c r="F454" s="398">
        <v>20000</v>
      </c>
      <c r="G454" s="398">
        <f t="shared" si="157"/>
        <v>0</v>
      </c>
      <c r="H454" s="398">
        <f>F454*E454</f>
        <v>40000</v>
      </c>
      <c r="I454" s="399"/>
      <c r="J454" s="362" t="s">
        <v>38</v>
      </c>
      <c r="K454" s="362" t="s">
        <v>258</v>
      </c>
      <c r="L454" s="362" t="s">
        <v>112</v>
      </c>
      <c r="M454" s="362" t="s">
        <v>144</v>
      </c>
      <c r="N454" s="362"/>
      <c r="P454" s="371"/>
    </row>
    <row r="455" spans="1:16" s="372" customFormat="1" ht="14" outlineLevel="4">
      <c r="A455" s="405" t="s">
        <v>8</v>
      </c>
      <c r="B455" s="509" t="s">
        <v>202</v>
      </c>
      <c r="C455" s="397" t="s">
        <v>24</v>
      </c>
      <c r="D455" s="398"/>
      <c r="E455" s="398">
        <v>8</v>
      </c>
      <c r="F455" s="398">
        <v>10000</v>
      </c>
      <c r="G455" s="398">
        <f t="shared" si="157"/>
        <v>0</v>
      </c>
      <c r="H455" s="398">
        <f t="shared" ref="H455:H461" si="159">F455*E455</f>
        <v>80000</v>
      </c>
      <c r="I455" s="399"/>
      <c r="J455" s="362" t="s">
        <v>38</v>
      </c>
      <c r="K455" s="362" t="s">
        <v>258</v>
      </c>
      <c r="L455" s="362" t="s">
        <v>112</v>
      </c>
      <c r="M455" s="362" t="s">
        <v>144</v>
      </c>
      <c r="N455" s="362"/>
      <c r="P455" s="371"/>
    </row>
    <row r="456" spans="1:16" s="372" customFormat="1" ht="14" outlineLevel="4">
      <c r="A456" s="405" t="s">
        <v>8</v>
      </c>
      <c r="B456" s="509" t="s">
        <v>203</v>
      </c>
      <c r="C456" s="397" t="s">
        <v>24</v>
      </c>
      <c r="D456" s="398"/>
      <c r="E456" s="398"/>
      <c r="F456" s="398"/>
      <c r="G456" s="398">
        <f t="shared" si="157"/>
        <v>0</v>
      </c>
      <c r="H456" s="398">
        <f t="shared" si="159"/>
        <v>0</v>
      </c>
      <c r="I456" s="399"/>
      <c r="J456" s="362" t="s">
        <v>38</v>
      </c>
      <c r="K456" s="362" t="s">
        <v>258</v>
      </c>
      <c r="L456" s="362" t="s">
        <v>112</v>
      </c>
      <c r="M456" s="362" t="s">
        <v>144</v>
      </c>
      <c r="N456" s="362"/>
      <c r="P456" s="371"/>
    </row>
    <row r="457" spans="1:16" s="372" customFormat="1" ht="14" outlineLevel="4">
      <c r="A457" s="405" t="s">
        <v>8</v>
      </c>
      <c r="B457" s="509" t="s">
        <v>278</v>
      </c>
      <c r="C457" s="397" t="s">
        <v>24</v>
      </c>
      <c r="D457" s="398"/>
      <c r="E457" s="398"/>
      <c r="F457" s="398"/>
      <c r="G457" s="398">
        <f t="shared" si="157"/>
        <v>0</v>
      </c>
      <c r="H457" s="398">
        <f t="shared" si="159"/>
        <v>0</v>
      </c>
      <c r="I457" s="399"/>
      <c r="J457" s="362" t="s">
        <v>38</v>
      </c>
      <c r="K457" s="362" t="s">
        <v>258</v>
      </c>
      <c r="L457" s="362" t="s">
        <v>112</v>
      </c>
      <c r="M457" s="362" t="s">
        <v>144</v>
      </c>
      <c r="N457" s="362"/>
      <c r="P457" s="371"/>
    </row>
    <row r="458" spans="1:16" s="372" customFormat="1" ht="14" outlineLevel="4">
      <c r="A458" s="405" t="s">
        <v>8</v>
      </c>
      <c r="B458" s="509" t="s">
        <v>545</v>
      </c>
      <c r="C458" s="397" t="s">
        <v>24</v>
      </c>
      <c r="D458" s="398"/>
      <c r="E458" s="398"/>
      <c r="F458" s="398"/>
      <c r="G458" s="398">
        <f t="shared" si="157"/>
        <v>0</v>
      </c>
      <c r="H458" s="398">
        <f t="shared" si="159"/>
        <v>0</v>
      </c>
      <c r="I458" s="399"/>
      <c r="J458" s="362" t="s">
        <v>38</v>
      </c>
      <c r="K458" s="362" t="s">
        <v>258</v>
      </c>
      <c r="L458" s="362" t="s">
        <v>112</v>
      </c>
      <c r="M458" s="362" t="s">
        <v>144</v>
      </c>
      <c r="N458" s="362"/>
      <c r="P458" s="371"/>
    </row>
    <row r="459" spans="1:16" s="372" customFormat="1" ht="14" outlineLevel="4">
      <c r="A459" s="405" t="s">
        <v>8</v>
      </c>
      <c r="B459" s="509" t="s">
        <v>142</v>
      </c>
      <c r="C459" s="397" t="s">
        <v>24</v>
      </c>
      <c r="D459" s="398"/>
      <c r="E459" s="398">
        <v>2</v>
      </c>
      <c r="F459" s="398">
        <v>10000</v>
      </c>
      <c r="G459" s="398">
        <f t="shared" si="157"/>
        <v>0</v>
      </c>
      <c r="H459" s="398">
        <f t="shared" si="159"/>
        <v>20000</v>
      </c>
      <c r="I459" s="399"/>
      <c r="J459" s="362" t="s">
        <v>38</v>
      </c>
      <c r="K459" s="362" t="s">
        <v>258</v>
      </c>
      <c r="L459" s="362" t="s">
        <v>112</v>
      </c>
      <c r="M459" s="362" t="s">
        <v>144</v>
      </c>
      <c r="N459" s="362"/>
      <c r="P459" s="371"/>
    </row>
    <row r="460" spans="1:16" s="372" customFormat="1" ht="14" outlineLevel="4">
      <c r="A460" s="405" t="s">
        <v>8</v>
      </c>
      <c r="B460" s="509" t="s">
        <v>143</v>
      </c>
      <c r="C460" s="397" t="s">
        <v>24</v>
      </c>
      <c r="D460" s="398"/>
      <c r="E460" s="398">
        <v>2</v>
      </c>
      <c r="F460" s="398">
        <v>10000</v>
      </c>
      <c r="G460" s="398">
        <f t="shared" si="157"/>
        <v>0</v>
      </c>
      <c r="H460" s="398">
        <f t="shared" si="159"/>
        <v>20000</v>
      </c>
      <c r="I460" s="399"/>
      <c r="J460" s="362" t="s">
        <v>38</v>
      </c>
      <c r="K460" s="362" t="s">
        <v>258</v>
      </c>
      <c r="L460" s="362" t="s">
        <v>112</v>
      </c>
      <c r="M460" s="362" t="s">
        <v>144</v>
      </c>
      <c r="N460" s="362"/>
      <c r="P460" s="371"/>
    </row>
    <row r="461" spans="1:16" s="372" customFormat="1" ht="14" outlineLevel="4">
      <c r="A461" s="405" t="s">
        <v>8</v>
      </c>
      <c r="B461" s="509" t="s">
        <v>204</v>
      </c>
      <c r="C461" s="397" t="s">
        <v>9</v>
      </c>
      <c r="D461" s="398"/>
      <c r="E461" s="398"/>
      <c r="F461" s="398"/>
      <c r="G461" s="398">
        <f t="shared" si="157"/>
        <v>0</v>
      </c>
      <c r="H461" s="398">
        <f t="shared" si="159"/>
        <v>0</v>
      </c>
      <c r="I461" s="399"/>
      <c r="J461" s="362" t="s">
        <v>38</v>
      </c>
      <c r="K461" s="362" t="s">
        <v>258</v>
      </c>
      <c r="L461" s="362" t="s">
        <v>112</v>
      </c>
      <c r="M461" s="362" t="s">
        <v>144</v>
      </c>
      <c r="N461" s="362"/>
      <c r="P461" s="371"/>
    </row>
    <row r="462" spans="1:16" s="372" customFormat="1" ht="14" outlineLevel="3">
      <c r="A462" s="405" t="s">
        <v>8</v>
      </c>
      <c r="B462" s="512" t="s">
        <v>586</v>
      </c>
      <c r="C462" s="397" t="s">
        <v>9</v>
      </c>
      <c r="D462" s="517"/>
      <c r="E462" s="517"/>
      <c r="F462" s="518"/>
      <c r="G462" s="398">
        <f t="shared" ref="G462" si="160">F462*D462</f>
        <v>0</v>
      </c>
      <c r="H462" s="398">
        <f>F462*E462</f>
        <v>0</v>
      </c>
      <c r="I462" s="399"/>
      <c r="J462" s="362" t="s">
        <v>38</v>
      </c>
      <c r="K462" s="362" t="s">
        <v>258</v>
      </c>
      <c r="L462" s="362" t="s">
        <v>112</v>
      </c>
      <c r="M462" s="362" t="s">
        <v>144</v>
      </c>
      <c r="N462" s="362"/>
      <c r="P462" s="371"/>
    </row>
    <row r="463" spans="1:16" s="372" customFormat="1" ht="14" outlineLevel="3">
      <c r="A463" s="405" t="s">
        <v>8</v>
      </c>
      <c r="B463" s="512" t="s">
        <v>588</v>
      </c>
      <c r="C463" s="397" t="s">
        <v>9</v>
      </c>
      <c r="D463" s="517"/>
      <c r="E463" s="517"/>
      <c r="F463" s="518"/>
      <c r="G463" s="398">
        <f t="shared" si="157"/>
        <v>0</v>
      </c>
      <c r="H463" s="398">
        <f>F463*E463</f>
        <v>0</v>
      </c>
      <c r="I463" s="399"/>
      <c r="J463" s="362" t="s">
        <v>38</v>
      </c>
      <c r="K463" s="362" t="s">
        <v>258</v>
      </c>
      <c r="L463" s="362" t="s">
        <v>112</v>
      </c>
      <c r="M463" s="362" t="s">
        <v>144</v>
      </c>
      <c r="N463" s="362"/>
      <c r="P463" s="371"/>
    </row>
    <row r="464" spans="1:16" s="372" customFormat="1" ht="14" outlineLevel="3">
      <c r="A464" s="405">
        <v>7</v>
      </c>
      <c r="B464" s="513" t="s">
        <v>460</v>
      </c>
      <c r="C464" s="397" t="s">
        <v>9</v>
      </c>
      <c r="D464" s="398"/>
      <c r="E464" s="398"/>
      <c r="F464" s="398"/>
      <c r="G464" s="398"/>
      <c r="H464" s="398"/>
      <c r="I464" s="399"/>
      <c r="J464" s="362"/>
      <c r="K464" s="362"/>
      <c r="L464" s="362"/>
      <c r="M464" s="362"/>
      <c r="N464" s="362"/>
      <c r="P464" s="371"/>
    </row>
    <row r="465" spans="1:16" s="372" customFormat="1" ht="14" outlineLevel="3">
      <c r="A465" s="405" t="s">
        <v>8</v>
      </c>
      <c r="B465" s="490" t="s">
        <v>589</v>
      </c>
      <c r="C465" s="397" t="s">
        <v>9</v>
      </c>
      <c r="D465" s="398"/>
      <c r="E465" s="398"/>
      <c r="F465" s="519"/>
      <c r="G465" s="398">
        <f t="shared" ref="G465:G467" si="161">F465*D465</f>
        <v>0</v>
      </c>
      <c r="H465" s="398">
        <f t="shared" ref="H465:H467" si="162">G465*E465</f>
        <v>0</v>
      </c>
      <c r="I465" s="399"/>
      <c r="J465" s="362" t="s">
        <v>38</v>
      </c>
      <c r="K465" s="362" t="s">
        <v>258</v>
      </c>
      <c r="L465" s="362" t="s">
        <v>112</v>
      </c>
      <c r="M465" s="362" t="s">
        <v>144</v>
      </c>
      <c r="N465" s="362"/>
      <c r="P465" s="371"/>
    </row>
    <row r="466" spans="1:16" s="372" customFormat="1" ht="14" outlineLevel="3">
      <c r="A466" s="405" t="s">
        <v>8</v>
      </c>
      <c r="B466" s="490" t="s">
        <v>590</v>
      </c>
      <c r="C466" s="397" t="s">
        <v>9</v>
      </c>
      <c r="D466" s="398"/>
      <c r="E466" s="398"/>
      <c r="F466" s="520"/>
      <c r="G466" s="398">
        <f t="shared" si="161"/>
        <v>0</v>
      </c>
      <c r="H466" s="398">
        <f t="shared" si="162"/>
        <v>0</v>
      </c>
      <c r="I466" s="399"/>
      <c r="J466" s="362" t="s">
        <v>38</v>
      </c>
      <c r="K466" s="362" t="s">
        <v>258</v>
      </c>
      <c r="L466" s="362" t="s">
        <v>112</v>
      </c>
      <c r="M466" s="362" t="s">
        <v>144</v>
      </c>
      <c r="N466" s="362"/>
      <c r="P466" s="371"/>
    </row>
    <row r="467" spans="1:16" s="372" customFormat="1" ht="14" outlineLevel="3">
      <c r="A467" s="405" t="s">
        <v>8</v>
      </c>
      <c r="B467" s="490" t="s">
        <v>591</v>
      </c>
      <c r="C467" s="397" t="s">
        <v>9</v>
      </c>
      <c r="D467" s="398"/>
      <c r="E467" s="398"/>
      <c r="F467" s="520"/>
      <c r="G467" s="398">
        <f t="shared" si="161"/>
        <v>0</v>
      </c>
      <c r="H467" s="398">
        <f t="shared" si="162"/>
        <v>0</v>
      </c>
      <c r="I467" s="399"/>
      <c r="J467" s="362" t="s">
        <v>38</v>
      </c>
      <c r="K467" s="362" t="s">
        <v>258</v>
      </c>
      <c r="L467" s="362" t="s">
        <v>112</v>
      </c>
      <c r="M467" s="362" t="s">
        <v>144</v>
      </c>
      <c r="N467" s="362"/>
      <c r="P467" s="371"/>
    </row>
    <row r="468" spans="1:16" s="372" customFormat="1" ht="14" outlineLevel="3">
      <c r="A468" s="405" t="s">
        <v>8</v>
      </c>
      <c r="B468" s="490" t="s">
        <v>592</v>
      </c>
      <c r="C468" s="397" t="s">
        <v>9</v>
      </c>
      <c r="D468" s="398"/>
      <c r="E468" s="398"/>
      <c r="F468" s="520"/>
      <c r="G468" s="398">
        <f t="shared" ref="G468:G473" si="163">F468*D468</f>
        <v>0</v>
      </c>
      <c r="H468" s="398">
        <f t="shared" ref="H468:H473" si="164">G468*E468</f>
        <v>0</v>
      </c>
      <c r="I468" s="399"/>
      <c r="J468" s="362" t="s">
        <v>38</v>
      </c>
      <c r="K468" s="362" t="s">
        <v>258</v>
      </c>
      <c r="L468" s="362" t="s">
        <v>112</v>
      </c>
      <c r="M468" s="362" t="s">
        <v>144</v>
      </c>
      <c r="N468" s="362"/>
      <c r="P468" s="371"/>
    </row>
    <row r="469" spans="1:16" s="372" customFormat="1" ht="14" outlineLevel="3">
      <c r="A469" s="405" t="s">
        <v>8</v>
      </c>
      <c r="B469" s="490" t="s">
        <v>461</v>
      </c>
      <c r="C469" s="397" t="s">
        <v>9</v>
      </c>
      <c r="D469" s="398"/>
      <c r="E469" s="398"/>
      <c r="F469" s="520"/>
      <c r="G469" s="398">
        <f t="shared" si="163"/>
        <v>0</v>
      </c>
      <c r="H469" s="398">
        <f t="shared" si="164"/>
        <v>0</v>
      </c>
      <c r="I469" s="399"/>
      <c r="J469" s="362" t="s">
        <v>38</v>
      </c>
      <c r="K469" s="362" t="s">
        <v>258</v>
      </c>
      <c r="L469" s="362" t="s">
        <v>112</v>
      </c>
      <c r="M469" s="362" t="s">
        <v>144</v>
      </c>
      <c r="N469" s="362"/>
      <c r="P469" s="371"/>
    </row>
    <row r="470" spans="1:16" s="372" customFormat="1" ht="14" outlineLevel="3">
      <c r="A470" s="405" t="s">
        <v>8</v>
      </c>
      <c r="B470" s="490" t="s">
        <v>462</v>
      </c>
      <c r="C470" s="397" t="s">
        <v>9</v>
      </c>
      <c r="D470" s="398"/>
      <c r="E470" s="398"/>
      <c r="F470" s="520"/>
      <c r="G470" s="398">
        <f t="shared" si="163"/>
        <v>0</v>
      </c>
      <c r="H470" s="398">
        <f t="shared" si="164"/>
        <v>0</v>
      </c>
      <c r="I470" s="399"/>
      <c r="J470" s="362" t="s">
        <v>38</v>
      </c>
      <c r="K470" s="362" t="s">
        <v>258</v>
      </c>
      <c r="L470" s="362" t="s">
        <v>112</v>
      </c>
      <c r="M470" s="362" t="s">
        <v>144</v>
      </c>
      <c r="N470" s="362"/>
      <c r="P470" s="371"/>
    </row>
    <row r="471" spans="1:16" s="372" customFormat="1" ht="14" outlineLevel="3">
      <c r="A471" s="405" t="s">
        <v>8</v>
      </c>
      <c r="B471" s="490" t="s">
        <v>463</v>
      </c>
      <c r="C471" s="397" t="s">
        <v>9</v>
      </c>
      <c r="D471" s="398"/>
      <c r="E471" s="398"/>
      <c r="F471" s="520"/>
      <c r="G471" s="398">
        <f t="shared" si="163"/>
        <v>0</v>
      </c>
      <c r="H471" s="398">
        <f t="shared" si="164"/>
        <v>0</v>
      </c>
      <c r="I471" s="399"/>
      <c r="J471" s="362" t="s">
        <v>38</v>
      </c>
      <c r="K471" s="362" t="s">
        <v>258</v>
      </c>
      <c r="L471" s="362" t="s">
        <v>112</v>
      </c>
      <c r="M471" s="362" t="s">
        <v>144</v>
      </c>
      <c r="N471" s="362"/>
      <c r="P471" s="371"/>
    </row>
    <row r="472" spans="1:16" s="372" customFormat="1" ht="14" outlineLevel="3">
      <c r="A472" s="405" t="s">
        <v>8</v>
      </c>
      <c r="B472" s="490" t="s">
        <v>593</v>
      </c>
      <c r="C472" s="397" t="s">
        <v>9</v>
      </c>
      <c r="D472" s="398"/>
      <c r="E472" s="398"/>
      <c r="F472" s="520"/>
      <c r="G472" s="398">
        <f t="shared" si="163"/>
        <v>0</v>
      </c>
      <c r="H472" s="398">
        <f t="shared" si="164"/>
        <v>0</v>
      </c>
      <c r="I472" s="399"/>
      <c r="J472" s="362" t="s">
        <v>38</v>
      </c>
      <c r="K472" s="362" t="s">
        <v>258</v>
      </c>
      <c r="L472" s="362" t="s">
        <v>112</v>
      </c>
      <c r="M472" s="362" t="s">
        <v>144</v>
      </c>
      <c r="N472" s="362"/>
      <c r="P472" s="371"/>
    </row>
    <row r="473" spans="1:16" s="372" customFormat="1" ht="14" outlineLevel="3">
      <c r="A473" s="405" t="s">
        <v>8</v>
      </c>
      <c r="B473" s="490" t="s">
        <v>594</v>
      </c>
      <c r="C473" s="397" t="s">
        <v>9</v>
      </c>
      <c r="D473" s="398"/>
      <c r="E473" s="398"/>
      <c r="F473" s="520"/>
      <c r="G473" s="398">
        <f t="shared" si="163"/>
        <v>0</v>
      </c>
      <c r="H473" s="398">
        <f t="shared" si="164"/>
        <v>0</v>
      </c>
      <c r="I473" s="399"/>
      <c r="J473" s="362" t="s">
        <v>38</v>
      </c>
      <c r="K473" s="362" t="s">
        <v>258</v>
      </c>
      <c r="L473" s="362" t="s">
        <v>112</v>
      </c>
      <c r="M473" s="362" t="s">
        <v>144</v>
      </c>
      <c r="N473" s="362"/>
      <c r="P473" s="371"/>
    </row>
    <row r="474" spans="1:16" s="372" customFormat="1" ht="14" outlineLevel="1">
      <c r="A474" s="388" t="s">
        <v>12</v>
      </c>
      <c r="B474" s="521" t="s">
        <v>596</v>
      </c>
      <c r="C474" s="390"/>
      <c r="D474" s="391"/>
      <c r="E474" s="391"/>
      <c r="F474" s="391"/>
      <c r="G474" s="391">
        <f>SUBTOTAL(9,G475:G487)</f>
        <v>0</v>
      </c>
      <c r="H474" s="391">
        <f>SUBTOTAL(9,H475:H487)</f>
        <v>0</v>
      </c>
      <c r="I474" s="391"/>
      <c r="J474" s="363"/>
      <c r="K474" s="362"/>
      <c r="L474" s="362"/>
      <c r="M474" s="362"/>
      <c r="N474" s="362"/>
      <c r="P474" s="371"/>
    </row>
    <row r="475" spans="1:16" s="385" customFormat="1" ht="14" outlineLevel="2">
      <c r="A475" s="388">
        <v>1</v>
      </c>
      <c r="B475" s="522" t="s">
        <v>597</v>
      </c>
      <c r="C475" s="390"/>
      <c r="D475" s="391"/>
      <c r="E475" s="391"/>
      <c r="F475" s="391"/>
      <c r="G475" s="391"/>
      <c r="H475" s="391"/>
      <c r="I475" s="391"/>
      <c r="J475" s="384"/>
      <c r="K475" s="383"/>
      <c r="L475" s="383"/>
      <c r="M475" s="383"/>
      <c r="N475" s="383"/>
      <c r="P475" s="386"/>
    </row>
    <row r="476" spans="1:16" s="372" customFormat="1" ht="14" outlineLevel="3">
      <c r="A476" s="388" t="s">
        <v>8</v>
      </c>
      <c r="B476" s="490" t="s">
        <v>193</v>
      </c>
      <c r="C476" s="397" t="s">
        <v>24</v>
      </c>
      <c r="D476" s="398"/>
      <c r="E476" s="398"/>
      <c r="F476" s="398"/>
      <c r="G476" s="398">
        <f t="shared" ref="G476:G481" si="165">F476*D476</f>
        <v>0</v>
      </c>
      <c r="H476" s="398">
        <f t="shared" ref="H476:H481" si="166">F476*E476</f>
        <v>0</v>
      </c>
      <c r="I476" s="399"/>
      <c r="J476" s="362" t="s">
        <v>38</v>
      </c>
      <c r="K476" s="362" t="s">
        <v>258</v>
      </c>
      <c r="L476" s="362" t="s">
        <v>112</v>
      </c>
      <c r="M476" s="362" t="s">
        <v>144</v>
      </c>
      <c r="N476" s="362"/>
      <c r="P476" s="371"/>
    </row>
    <row r="477" spans="1:16" s="372" customFormat="1" ht="14" outlineLevel="3">
      <c r="A477" s="405" t="s">
        <v>8</v>
      </c>
      <c r="B477" s="490" t="s">
        <v>455</v>
      </c>
      <c r="C477" s="397" t="s">
        <v>24</v>
      </c>
      <c r="D477" s="398"/>
      <c r="E477" s="398"/>
      <c r="F477" s="491"/>
      <c r="G477" s="398">
        <f t="shared" si="165"/>
        <v>0</v>
      </c>
      <c r="H477" s="398">
        <f t="shared" si="166"/>
        <v>0</v>
      </c>
      <c r="I477" s="399"/>
      <c r="J477" s="362" t="s">
        <v>38</v>
      </c>
      <c r="K477" s="362" t="s">
        <v>258</v>
      </c>
      <c r="L477" s="362" t="s">
        <v>112</v>
      </c>
      <c r="M477" s="362" t="s">
        <v>144</v>
      </c>
      <c r="N477" s="362"/>
      <c r="P477" s="514"/>
    </row>
    <row r="478" spans="1:16" s="372" customFormat="1" ht="14" outlineLevel="3">
      <c r="A478" s="405" t="s">
        <v>8</v>
      </c>
      <c r="B478" s="490" t="s">
        <v>456</v>
      </c>
      <c r="C478" s="397" t="s">
        <v>24</v>
      </c>
      <c r="D478" s="398"/>
      <c r="E478" s="398"/>
      <c r="F478" s="491"/>
      <c r="G478" s="398">
        <f t="shared" si="165"/>
        <v>0</v>
      </c>
      <c r="H478" s="398">
        <f t="shared" si="166"/>
        <v>0</v>
      </c>
      <c r="I478" s="399"/>
      <c r="J478" s="362" t="s">
        <v>38</v>
      </c>
      <c r="K478" s="362" t="s">
        <v>258</v>
      </c>
      <c r="L478" s="362" t="s">
        <v>112</v>
      </c>
      <c r="M478" s="362" t="s">
        <v>144</v>
      </c>
      <c r="N478" s="362"/>
      <c r="P478" s="497"/>
    </row>
    <row r="479" spans="1:16" s="372" customFormat="1" ht="14" outlineLevel="3">
      <c r="A479" s="405" t="s">
        <v>8</v>
      </c>
      <c r="B479" s="490" t="s">
        <v>457</v>
      </c>
      <c r="C479" s="397" t="s">
        <v>24</v>
      </c>
      <c r="D479" s="398"/>
      <c r="E479" s="398"/>
      <c r="F479" s="491"/>
      <c r="G479" s="398">
        <f t="shared" si="165"/>
        <v>0</v>
      </c>
      <c r="H479" s="398">
        <f t="shared" si="166"/>
        <v>0</v>
      </c>
      <c r="I479" s="399"/>
      <c r="J479" s="362" t="s">
        <v>38</v>
      </c>
      <c r="K479" s="362" t="s">
        <v>258</v>
      </c>
      <c r="L479" s="362" t="s">
        <v>112</v>
      </c>
      <c r="M479" s="362" t="s">
        <v>144</v>
      </c>
      <c r="N479" s="362"/>
      <c r="P479" s="371"/>
    </row>
    <row r="480" spans="1:16" s="372" customFormat="1" ht="14" outlineLevel="3">
      <c r="A480" s="405" t="s">
        <v>8</v>
      </c>
      <c r="B480" s="490" t="s">
        <v>195</v>
      </c>
      <c r="C480" s="397" t="s">
        <v>24</v>
      </c>
      <c r="D480" s="398"/>
      <c r="E480" s="398"/>
      <c r="F480" s="491"/>
      <c r="G480" s="398">
        <f t="shared" si="165"/>
        <v>0</v>
      </c>
      <c r="H480" s="398">
        <f t="shared" si="166"/>
        <v>0</v>
      </c>
      <c r="I480" s="399"/>
      <c r="J480" s="362" t="s">
        <v>38</v>
      </c>
      <c r="K480" s="362" t="s">
        <v>250</v>
      </c>
      <c r="L480" s="362" t="s">
        <v>112</v>
      </c>
      <c r="M480" s="362" t="s">
        <v>144</v>
      </c>
      <c r="N480" s="362"/>
      <c r="P480" s="371"/>
    </row>
    <row r="481" spans="1:16" s="372" customFormat="1" ht="14" outlineLevel="3">
      <c r="A481" s="405" t="s">
        <v>8</v>
      </c>
      <c r="B481" s="490" t="s">
        <v>265</v>
      </c>
      <c r="C481" s="397" t="s">
        <v>24</v>
      </c>
      <c r="D481" s="398"/>
      <c r="E481" s="398"/>
      <c r="F481" s="398"/>
      <c r="G481" s="398">
        <f t="shared" si="165"/>
        <v>0</v>
      </c>
      <c r="H481" s="398">
        <f t="shared" si="166"/>
        <v>0</v>
      </c>
      <c r="I481" s="399"/>
      <c r="J481" s="362" t="s">
        <v>38</v>
      </c>
      <c r="K481" s="362" t="s">
        <v>250</v>
      </c>
      <c r="L481" s="362" t="s">
        <v>112</v>
      </c>
      <c r="M481" s="362" t="s">
        <v>144</v>
      </c>
      <c r="N481" s="362"/>
      <c r="P481" s="371"/>
    </row>
    <row r="482" spans="1:16" s="372" customFormat="1" ht="14" outlineLevel="3">
      <c r="A482" s="405">
        <v>2</v>
      </c>
      <c r="B482" s="523" t="s">
        <v>598</v>
      </c>
      <c r="C482" s="397" t="s">
        <v>24</v>
      </c>
      <c r="D482" s="398"/>
      <c r="E482" s="398"/>
      <c r="F482" s="491"/>
      <c r="G482" s="398"/>
      <c r="H482" s="398"/>
      <c r="I482" s="399"/>
      <c r="J482" s="362"/>
      <c r="K482" s="362"/>
      <c r="L482" s="362"/>
      <c r="M482" s="362"/>
      <c r="N482" s="362"/>
      <c r="P482" s="371"/>
    </row>
    <row r="483" spans="1:16" s="372" customFormat="1" ht="14" outlineLevel="3">
      <c r="A483" s="405" t="s">
        <v>8</v>
      </c>
      <c r="B483" s="490" t="s">
        <v>455</v>
      </c>
      <c r="C483" s="397" t="s">
        <v>24</v>
      </c>
      <c r="D483" s="398"/>
      <c r="E483" s="398"/>
      <c r="F483" s="491"/>
      <c r="G483" s="398">
        <f t="shared" ref="G483:G487" si="167">F483*D483</f>
        <v>0</v>
      </c>
      <c r="H483" s="398">
        <f t="shared" ref="H483:H487" si="168">F483*E483</f>
        <v>0</v>
      </c>
      <c r="I483" s="399"/>
      <c r="J483" s="362" t="s">
        <v>38</v>
      </c>
      <c r="K483" s="362" t="s">
        <v>257</v>
      </c>
      <c r="L483" s="362" t="s">
        <v>112</v>
      </c>
      <c r="M483" s="362" t="s">
        <v>144</v>
      </c>
      <c r="N483" s="362"/>
      <c r="P483" s="371"/>
    </row>
    <row r="484" spans="1:16" s="372" customFormat="1" ht="14" outlineLevel="3">
      <c r="A484" s="405" t="s">
        <v>8</v>
      </c>
      <c r="B484" s="490" t="s">
        <v>456</v>
      </c>
      <c r="C484" s="397" t="s">
        <v>24</v>
      </c>
      <c r="D484" s="398"/>
      <c r="E484" s="398"/>
      <c r="F484" s="491"/>
      <c r="G484" s="398">
        <f t="shared" si="167"/>
        <v>0</v>
      </c>
      <c r="H484" s="398">
        <f t="shared" si="168"/>
        <v>0</v>
      </c>
      <c r="I484" s="399"/>
      <c r="J484" s="362" t="s">
        <v>38</v>
      </c>
      <c r="K484" s="362" t="s">
        <v>257</v>
      </c>
      <c r="L484" s="362" t="s">
        <v>112</v>
      </c>
      <c r="M484" s="362" t="s">
        <v>144</v>
      </c>
      <c r="N484" s="362"/>
      <c r="P484" s="371"/>
    </row>
    <row r="485" spans="1:16" s="372" customFormat="1" ht="14" outlineLevel="3">
      <c r="A485" s="405" t="s">
        <v>8</v>
      </c>
      <c r="B485" s="490" t="s">
        <v>457</v>
      </c>
      <c r="C485" s="397" t="s">
        <v>24</v>
      </c>
      <c r="D485" s="398"/>
      <c r="E485" s="398"/>
      <c r="F485" s="524"/>
      <c r="G485" s="398">
        <f t="shared" si="167"/>
        <v>0</v>
      </c>
      <c r="H485" s="398">
        <f t="shared" si="168"/>
        <v>0</v>
      </c>
      <c r="I485" s="399"/>
      <c r="J485" s="362" t="s">
        <v>38</v>
      </c>
      <c r="K485" s="362" t="s">
        <v>257</v>
      </c>
      <c r="L485" s="362" t="s">
        <v>112</v>
      </c>
      <c r="M485" s="362" t="s">
        <v>144</v>
      </c>
      <c r="N485" s="362"/>
      <c r="P485" s="371"/>
    </row>
    <row r="486" spans="1:16" s="372" customFormat="1" ht="14" outlineLevel="3">
      <c r="A486" s="405" t="s">
        <v>8</v>
      </c>
      <c r="B486" s="490" t="s">
        <v>195</v>
      </c>
      <c r="C486" s="397" t="s">
        <v>24</v>
      </c>
      <c r="D486" s="398"/>
      <c r="E486" s="398"/>
      <c r="F486" s="493"/>
      <c r="G486" s="398">
        <f t="shared" si="167"/>
        <v>0</v>
      </c>
      <c r="H486" s="398">
        <f t="shared" si="168"/>
        <v>0</v>
      </c>
      <c r="I486" s="399"/>
      <c r="J486" s="362" t="s">
        <v>38</v>
      </c>
      <c r="K486" s="362" t="s">
        <v>250</v>
      </c>
      <c r="L486" s="362" t="s">
        <v>112</v>
      </c>
      <c r="M486" s="362" t="s">
        <v>144</v>
      </c>
      <c r="N486" s="362"/>
      <c r="P486" s="371"/>
    </row>
    <row r="487" spans="1:16" s="372" customFormat="1" ht="14" outlineLevel="3">
      <c r="A487" s="405" t="s">
        <v>8</v>
      </c>
      <c r="B487" s="490" t="s">
        <v>265</v>
      </c>
      <c r="C487" s="397" t="s">
        <v>24</v>
      </c>
      <c r="D487" s="398"/>
      <c r="E487" s="398"/>
      <c r="F487" s="494"/>
      <c r="G487" s="398">
        <f t="shared" si="167"/>
        <v>0</v>
      </c>
      <c r="H487" s="398">
        <f t="shared" si="168"/>
        <v>0</v>
      </c>
      <c r="I487" s="399"/>
      <c r="J487" s="362" t="s">
        <v>38</v>
      </c>
      <c r="K487" s="362" t="s">
        <v>250</v>
      </c>
      <c r="L487" s="362" t="s">
        <v>112</v>
      </c>
      <c r="M487" s="362" t="s">
        <v>144</v>
      </c>
      <c r="N487" s="362"/>
      <c r="P487" s="371"/>
    </row>
    <row r="488" spans="1:16" s="372" customFormat="1" ht="14" outlineLevel="1">
      <c r="A488" s="388" t="s">
        <v>19</v>
      </c>
      <c r="B488" s="521" t="s">
        <v>599</v>
      </c>
      <c r="C488" s="390"/>
      <c r="D488" s="391"/>
      <c r="E488" s="391"/>
      <c r="F488" s="391"/>
      <c r="G488" s="391">
        <f>SUBTOTAL(9,G489:G513)</f>
        <v>0</v>
      </c>
      <c r="H488" s="391">
        <f>SUBTOTAL(9,H489:H513)</f>
        <v>0</v>
      </c>
      <c r="I488" s="391"/>
      <c r="J488" s="363"/>
      <c r="K488" s="362"/>
      <c r="L488" s="362"/>
      <c r="M488" s="362"/>
      <c r="N488" s="362"/>
      <c r="P488" s="371"/>
    </row>
    <row r="489" spans="1:16" s="372" customFormat="1" ht="14" outlineLevel="3">
      <c r="A489" s="405">
        <v>1</v>
      </c>
      <c r="B489" s="498" t="s">
        <v>465</v>
      </c>
      <c r="C489" s="397"/>
      <c r="D489" s="398"/>
      <c r="E489" s="398"/>
      <c r="F489" s="491"/>
      <c r="G489" s="398"/>
      <c r="H489" s="398"/>
      <c r="I489" s="399"/>
      <c r="J489" s="362"/>
      <c r="K489" s="362"/>
      <c r="L489" s="362"/>
      <c r="M489" s="362"/>
      <c r="N489" s="362"/>
      <c r="P489" s="371"/>
    </row>
    <row r="490" spans="1:16" s="372" customFormat="1" ht="14" outlineLevel="3">
      <c r="A490" s="405" t="s">
        <v>8</v>
      </c>
      <c r="B490" s="490" t="s">
        <v>162</v>
      </c>
      <c r="C490" s="397" t="s">
        <v>24</v>
      </c>
      <c r="D490" s="398"/>
      <c r="E490" s="398"/>
      <c r="F490" s="499"/>
      <c r="G490" s="398">
        <f t="shared" ref="G490:G494" si="169">F490*D490</f>
        <v>0</v>
      </c>
      <c r="H490" s="398">
        <f t="shared" ref="H490:H494" si="170">F490*E490</f>
        <v>0</v>
      </c>
      <c r="I490" s="399"/>
      <c r="J490" s="362" t="s">
        <v>38</v>
      </c>
      <c r="K490" s="362" t="s">
        <v>258</v>
      </c>
      <c r="L490" s="362" t="s">
        <v>112</v>
      </c>
      <c r="M490" s="362" t="s">
        <v>144</v>
      </c>
      <c r="N490" s="362"/>
      <c r="P490" s="371"/>
    </row>
    <row r="491" spans="1:16" s="372" customFormat="1" ht="14" outlineLevel="3">
      <c r="A491" s="405" t="s">
        <v>8</v>
      </c>
      <c r="B491" s="490" t="s">
        <v>235</v>
      </c>
      <c r="C491" s="397" t="s">
        <v>24</v>
      </c>
      <c r="D491" s="398"/>
      <c r="E491" s="398"/>
      <c r="F491" s="398"/>
      <c r="G491" s="398">
        <f t="shared" si="169"/>
        <v>0</v>
      </c>
      <c r="H491" s="398">
        <f t="shared" si="170"/>
        <v>0</v>
      </c>
      <c r="I491" s="399"/>
      <c r="J491" s="362" t="s">
        <v>38</v>
      </c>
      <c r="K491" s="362" t="s">
        <v>258</v>
      </c>
      <c r="L491" s="362" t="s">
        <v>112</v>
      </c>
      <c r="M491" s="362" t="s">
        <v>144</v>
      </c>
      <c r="N491" s="362"/>
      <c r="P491" s="371"/>
    </row>
    <row r="492" spans="1:16" s="372" customFormat="1" ht="14" outlineLevel="3">
      <c r="A492" s="405" t="s">
        <v>8</v>
      </c>
      <c r="B492" s="490" t="s">
        <v>196</v>
      </c>
      <c r="C492" s="397" t="s">
        <v>24</v>
      </c>
      <c r="D492" s="398"/>
      <c r="E492" s="398"/>
      <c r="F492" s="500"/>
      <c r="G492" s="398">
        <f t="shared" si="169"/>
        <v>0</v>
      </c>
      <c r="H492" s="398">
        <f t="shared" si="170"/>
        <v>0</v>
      </c>
      <c r="I492" s="399"/>
      <c r="J492" s="362" t="s">
        <v>38</v>
      </c>
      <c r="K492" s="362" t="s">
        <v>258</v>
      </c>
      <c r="L492" s="362" t="s">
        <v>112</v>
      </c>
      <c r="M492" s="362" t="s">
        <v>144</v>
      </c>
      <c r="N492" s="362"/>
      <c r="P492" s="371"/>
    </row>
    <row r="493" spans="1:16" s="372" customFormat="1" ht="14" outlineLevel="3">
      <c r="A493" s="405" t="s">
        <v>8</v>
      </c>
      <c r="B493" s="501" t="s">
        <v>266</v>
      </c>
      <c r="C493" s="397" t="s">
        <v>9</v>
      </c>
      <c r="D493" s="398"/>
      <c r="E493" s="398"/>
      <c r="F493" s="398"/>
      <c r="G493" s="398">
        <f t="shared" si="169"/>
        <v>0</v>
      </c>
      <c r="H493" s="398">
        <f t="shared" si="170"/>
        <v>0</v>
      </c>
      <c r="I493" s="399"/>
      <c r="J493" s="362" t="s">
        <v>38</v>
      </c>
      <c r="K493" s="362" t="s">
        <v>258</v>
      </c>
      <c r="L493" s="362" t="s">
        <v>112</v>
      </c>
      <c r="M493" s="362" t="s">
        <v>144</v>
      </c>
      <c r="N493" s="362"/>
      <c r="P493" s="371"/>
    </row>
    <row r="494" spans="1:16" s="372" customFormat="1" ht="14" outlineLevel="3">
      <c r="A494" s="405" t="s">
        <v>8</v>
      </c>
      <c r="B494" s="490" t="s">
        <v>267</v>
      </c>
      <c r="C494" s="397" t="s">
        <v>9</v>
      </c>
      <c r="D494" s="502"/>
      <c r="E494" s="502"/>
      <c r="F494" s="402"/>
      <c r="G494" s="398">
        <f t="shared" si="169"/>
        <v>0</v>
      </c>
      <c r="H494" s="398">
        <f t="shared" si="170"/>
        <v>0</v>
      </c>
      <c r="I494" s="399"/>
      <c r="J494" s="362" t="s">
        <v>38</v>
      </c>
      <c r="K494" s="362" t="s">
        <v>258</v>
      </c>
      <c r="L494" s="362" t="s">
        <v>112</v>
      </c>
      <c r="M494" s="362" t="s">
        <v>144</v>
      </c>
      <c r="N494" s="362"/>
      <c r="P494" s="371"/>
    </row>
    <row r="495" spans="1:16" s="372" customFormat="1" ht="14" outlineLevel="3">
      <c r="A495" s="405">
        <v>2</v>
      </c>
      <c r="B495" s="498" t="s">
        <v>466</v>
      </c>
      <c r="C495" s="397"/>
      <c r="D495" s="398"/>
      <c r="E495" s="504"/>
      <c r="F495" s="505"/>
      <c r="G495" s="398"/>
      <c r="H495" s="398"/>
      <c r="I495" s="399"/>
      <c r="J495" s="362"/>
      <c r="K495" s="362"/>
      <c r="L495" s="362"/>
      <c r="M495" s="362"/>
      <c r="N495" s="362"/>
      <c r="P495" s="371"/>
    </row>
    <row r="496" spans="1:16" s="372" customFormat="1" ht="14" outlineLevel="4">
      <c r="A496" s="405" t="s">
        <v>8</v>
      </c>
      <c r="B496" s="396" t="s">
        <v>197</v>
      </c>
      <c r="C496" s="397" t="s">
        <v>24</v>
      </c>
      <c r="D496" s="398"/>
      <c r="E496" s="398"/>
      <c r="F496" s="398"/>
      <c r="G496" s="398">
        <f t="shared" ref="G496:G513" si="171">F496*D496</f>
        <v>0</v>
      </c>
      <c r="H496" s="398">
        <f t="shared" ref="H496:H505" si="172">F496*E496</f>
        <v>0</v>
      </c>
      <c r="I496" s="399"/>
      <c r="J496" s="362" t="s">
        <v>38</v>
      </c>
      <c r="K496" s="362" t="s">
        <v>258</v>
      </c>
      <c r="L496" s="362" t="s">
        <v>112</v>
      </c>
      <c r="M496" s="362" t="s">
        <v>144</v>
      </c>
      <c r="N496" s="362"/>
      <c r="P496" s="371"/>
    </row>
    <row r="497" spans="1:16" s="372" customFormat="1" ht="14" outlineLevel="4">
      <c r="A497" s="405" t="s">
        <v>8</v>
      </c>
      <c r="B497" s="396" t="s">
        <v>268</v>
      </c>
      <c r="C497" s="397" t="s">
        <v>24</v>
      </c>
      <c r="D497" s="398"/>
      <c r="E497" s="506"/>
      <c r="F497" s="398"/>
      <c r="G497" s="398">
        <f t="shared" si="171"/>
        <v>0</v>
      </c>
      <c r="H497" s="398">
        <f t="shared" si="172"/>
        <v>0</v>
      </c>
      <c r="I497" s="399"/>
      <c r="J497" s="362" t="s">
        <v>38</v>
      </c>
      <c r="K497" s="362" t="s">
        <v>258</v>
      </c>
      <c r="L497" s="362" t="s">
        <v>112</v>
      </c>
      <c r="M497" s="362" t="s">
        <v>144</v>
      </c>
      <c r="N497" s="362"/>
      <c r="P497" s="371"/>
    </row>
    <row r="498" spans="1:16" s="372" customFormat="1" ht="14" outlineLevel="4">
      <c r="A498" s="405" t="s">
        <v>8</v>
      </c>
      <c r="B498" s="396" t="s">
        <v>269</v>
      </c>
      <c r="C498" s="397" t="s">
        <v>24</v>
      </c>
      <c r="D498" s="398"/>
      <c r="E498" s="398"/>
      <c r="F498" s="398"/>
      <c r="G498" s="398">
        <f t="shared" si="171"/>
        <v>0</v>
      </c>
      <c r="H498" s="398">
        <f t="shared" si="172"/>
        <v>0</v>
      </c>
      <c r="I498" s="399"/>
      <c r="J498" s="362" t="s">
        <v>38</v>
      </c>
      <c r="K498" s="362" t="s">
        <v>258</v>
      </c>
      <c r="L498" s="362" t="s">
        <v>112</v>
      </c>
      <c r="M498" s="362" t="s">
        <v>144</v>
      </c>
      <c r="N498" s="362"/>
      <c r="P498" s="371"/>
    </row>
    <row r="499" spans="1:16" s="372" customFormat="1" ht="14" outlineLevel="4">
      <c r="A499" s="405" t="s">
        <v>8</v>
      </c>
      <c r="B499" s="396" t="s">
        <v>270</v>
      </c>
      <c r="C499" s="397" t="s">
        <v>9</v>
      </c>
      <c r="D499" s="398"/>
      <c r="E499" s="398"/>
      <c r="F499" s="398"/>
      <c r="G499" s="398">
        <f t="shared" si="171"/>
        <v>0</v>
      </c>
      <c r="H499" s="398">
        <f t="shared" si="172"/>
        <v>0</v>
      </c>
      <c r="I499" s="399"/>
      <c r="J499" s="362" t="s">
        <v>38</v>
      </c>
      <c r="K499" s="362" t="s">
        <v>258</v>
      </c>
      <c r="L499" s="362" t="s">
        <v>112</v>
      </c>
      <c r="M499" s="362" t="s">
        <v>144</v>
      </c>
      <c r="N499" s="362"/>
      <c r="P499" s="371"/>
    </row>
    <row r="500" spans="1:16" s="372" customFormat="1" ht="14" outlineLevel="4">
      <c r="A500" s="405" t="s">
        <v>8</v>
      </c>
      <c r="B500" s="396" t="s">
        <v>199</v>
      </c>
      <c r="C500" s="397" t="s">
        <v>24</v>
      </c>
      <c r="D500" s="398"/>
      <c r="E500" s="398"/>
      <c r="F500" s="398"/>
      <c r="G500" s="398">
        <f t="shared" si="171"/>
        <v>0</v>
      </c>
      <c r="H500" s="398">
        <f t="shared" si="172"/>
        <v>0</v>
      </c>
      <c r="I500" s="399"/>
      <c r="J500" s="362" t="s">
        <v>38</v>
      </c>
      <c r="K500" s="362" t="s">
        <v>258</v>
      </c>
      <c r="L500" s="362" t="s">
        <v>112</v>
      </c>
      <c r="M500" s="362" t="s">
        <v>144</v>
      </c>
      <c r="N500" s="362"/>
      <c r="P500" s="371"/>
    </row>
    <row r="501" spans="1:16" s="372" customFormat="1" ht="14" outlineLevel="4">
      <c r="A501" s="405" t="s">
        <v>8</v>
      </c>
      <c r="B501" s="396" t="s">
        <v>200</v>
      </c>
      <c r="C501" s="397" t="s">
        <v>24</v>
      </c>
      <c r="D501" s="398"/>
      <c r="E501" s="398"/>
      <c r="F501" s="398"/>
      <c r="G501" s="398">
        <f t="shared" si="171"/>
        <v>0</v>
      </c>
      <c r="H501" s="398">
        <f t="shared" si="172"/>
        <v>0</v>
      </c>
      <c r="I501" s="399"/>
      <c r="J501" s="362" t="s">
        <v>38</v>
      </c>
      <c r="K501" s="362" t="s">
        <v>258</v>
      </c>
      <c r="L501" s="362" t="s">
        <v>112</v>
      </c>
      <c r="M501" s="362" t="s">
        <v>144</v>
      </c>
      <c r="N501" s="362"/>
      <c r="P501" s="371"/>
    </row>
    <row r="502" spans="1:16" s="372" customFormat="1" ht="14" outlineLevel="4">
      <c r="A502" s="405" t="s">
        <v>8</v>
      </c>
      <c r="B502" s="490" t="s">
        <v>271</v>
      </c>
      <c r="C502" s="397" t="s">
        <v>24</v>
      </c>
      <c r="D502" s="398"/>
      <c r="E502" s="398"/>
      <c r="F502" s="398"/>
      <c r="G502" s="398">
        <f t="shared" si="171"/>
        <v>0</v>
      </c>
      <c r="H502" s="398">
        <f t="shared" si="172"/>
        <v>0</v>
      </c>
      <c r="I502" s="399"/>
      <c r="J502" s="362" t="s">
        <v>38</v>
      </c>
      <c r="K502" s="362" t="s">
        <v>258</v>
      </c>
      <c r="L502" s="362" t="s">
        <v>112</v>
      </c>
      <c r="M502" s="362" t="s">
        <v>144</v>
      </c>
      <c r="N502" s="362"/>
      <c r="P502" s="371"/>
    </row>
    <row r="503" spans="1:16" s="372" customFormat="1" ht="14" outlineLevel="4">
      <c r="A503" s="405" t="s">
        <v>8</v>
      </c>
      <c r="B503" s="396" t="s">
        <v>272</v>
      </c>
      <c r="C503" s="397" t="s">
        <v>24</v>
      </c>
      <c r="D503" s="398"/>
      <c r="E503" s="398"/>
      <c r="F503" s="398"/>
      <c r="G503" s="398">
        <f t="shared" si="171"/>
        <v>0</v>
      </c>
      <c r="H503" s="398">
        <f t="shared" si="172"/>
        <v>0</v>
      </c>
      <c r="I503" s="399"/>
      <c r="J503" s="362" t="s">
        <v>38</v>
      </c>
      <c r="K503" s="362" t="s">
        <v>258</v>
      </c>
      <c r="L503" s="362" t="s">
        <v>112</v>
      </c>
      <c r="M503" s="362" t="s">
        <v>144</v>
      </c>
      <c r="N503" s="362"/>
      <c r="P503" s="371"/>
    </row>
    <row r="504" spans="1:16" s="372" customFormat="1" ht="14" outlineLevel="4">
      <c r="A504" s="405" t="s">
        <v>8</v>
      </c>
      <c r="B504" s="509" t="s">
        <v>273</v>
      </c>
      <c r="C504" s="397" t="s">
        <v>9</v>
      </c>
      <c r="D504" s="398"/>
      <c r="E504" s="398"/>
      <c r="F504" s="398"/>
      <c r="G504" s="398">
        <f t="shared" si="171"/>
        <v>0</v>
      </c>
      <c r="H504" s="398">
        <f t="shared" si="172"/>
        <v>0</v>
      </c>
      <c r="I504" s="399"/>
      <c r="J504" s="362" t="s">
        <v>38</v>
      </c>
      <c r="K504" s="362" t="s">
        <v>258</v>
      </c>
      <c r="L504" s="362" t="s">
        <v>112</v>
      </c>
      <c r="M504" s="362" t="s">
        <v>144</v>
      </c>
      <c r="N504" s="362"/>
      <c r="P504" s="371"/>
    </row>
    <row r="505" spans="1:16" s="372" customFormat="1" ht="14" outlineLevel="4">
      <c r="A505" s="405" t="s">
        <v>8</v>
      </c>
      <c r="B505" s="490" t="s">
        <v>201</v>
      </c>
      <c r="C505" s="397" t="s">
        <v>24</v>
      </c>
      <c r="D505" s="398"/>
      <c r="E505" s="398"/>
      <c r="F505" s="398"/>
      <c r="G505" s="398">
        <f t="shared" si="171"/>
        <v>0</v>
      </c>
      <c r="H505" s="398">
        <f t="shared" si="172"/>
        <v>0</v>
      </c>
      <c r="I505" s="399"/>
      <c r="J505" s="362" t="s">
        <v>38</v>
      </c>
      <c r="K505" s="362" t="s">
        <v>258</v>
      </c>
      <c r="L505" s="362" t="s">
        <v>112</v>
      </c>
      <c r="M505" s="362" t="s">
        <v>144</v>
      </c>
      <c r="N505" s="362"/>
      <c r="P505" s="371"/>
    </row>
    <row r="506" spans="1:16" s="372" customFormat="1" ht="14" outlineLevel="4">
      <c r="A506" s="405" t="s">
        <v>8</v>
      </c>
      <c r="B506" s="396" t="s">
        <v>207</v>
      </c>
      <c r="C506" s="397" t="s">
        <v>24</v>
      </c>
      <c r="D506" s="398"/>
      <c r="E506" s="398"/>
      <c r="F506" s="398"/>
      <c r="G506" s="398">
        <f t="shared" si="171"/>
        <v>0</v>
      </c>
      <c r="H506" s="398">
        <f>F506*E506</f>
        <v>0</v>
      </c>
      <c r="I506" s="399"/>
      <c r="J506" s="362" t="s">
        <v>38</v>
      </c>
      <c r="K506" s="362" t="s">
        <v>258</v>
      </c>
      <c r="L506" s="362" t="s">
        <v>112</v>
      </c>
      <c r="M506" s="362" t="s">
        <v>144</v>
      </c>
      <c r="N506" s="362"/>
      <c r="P506" s="371"/>
    </row>
    <row r="507" spans="1:16" s="372" customFormat="1" ht="14" outlineLevel="4">
      <c r="A507" s="405" t="s">
        <v>8</v>
      </c>
      <c r="B507" s="509" t="s">
        <v>202</v>
      </c>
      <c r="C507" s="397" t="s">
        <v>24</v>
      </c>
      <c r="D507" s="398"/>
      <c r="E507" s="398"/>
      <c r="F507" s="504"/>
      <c r="G507" s="398">
        <f t="shared" si="171"/>
        <v>0</v>
      </c>
      <c r="H507" s="398">
        <f t="shared" ref="H507:H513" si="173">F507*E507</f>
        <v>0</v>
      </c>
      <c r="I507" s="399"/>
      <c r="J507" s="362" t="s">
        <v>38</v>
      </c>
      <c r="K507" s="362" t="s">
        <v>258</v>
      </c>
      <c r="L507" s="362" t="s">
        <v>112</v>
      </c>
      <c r="M507" s="362" t="s">
        <v>144</v>
      </c>
      <c r="N507" s="362"/>
      <c r="P507" s="371"/>
    </row>
    <row r="508" spans="1:16" s="372" customFormat="1" ht="14" outlineLevel="4">
      <c r="A508" s="405" t="s">
        <v>8</v>
      </c>
      <c r="B508" s="509" t="s">
        <v>203</v>
      </c>
      <c r="C508" s="397" t="s">
        <v>24</v>
      </c>
      <c r="D508" s="398"/>
      <c r="E508" s="398"/>
      <c r="F508" s="398"/>
      <c r="G508" s="398">
        <f t="shared" si="171"/>
        <v>0</v>
      </c>
      <c r="H508" s="398">
        <f t="shared" si="173"/>
        <v>0</v>
      </c>
      <c r="I508" s="399"/>
      <c r="J508" s="362" t="s">
        <v>38</v>
      </c>
      <c r="K508" s="362" t="s">
        <v>258</v>
      </c>
      <c r="L508" s="362" t="s">
        <v>112</v>
      </c>
      <c r="M508" s="362" t="s">
        <v>144</v>
      </c>
      <c r="N508" s="362"/>
      <c r="P508" s="371"/>
    </row>
    <row r="509" spans="1:16" s="372" customFormat="1" ht="14" outlineLevel="4">
      <c r="A509" s="405" t="s">
        <v>8</v>
      </c>
      <c r="B509" s="509" t="s">
        <v>278</v>
      </c>
      <c r="C509" s="397" t="s">
        <v>24</v>
      </c>
      <c r="D509" s="398"/>
      <c r="E509" s="398"/>
      <c r="F509" s="398"/>
      <c r="G509" s="398">
        <f t="shared" si="171"/>
        <v>0</v>
      </c>
      <c r="H509" s="398">
        <f t="shared" si="173"/>
        <v>0</v>
      </c>
      <c r="I509" s="399"/>
      <c r="J509" s="362" t="s">
        <v>38</v>
      </c>
      <c r="K509" s="362" t="s">
        <v>258</v>
      </c>
      <c r="L509" s="362" t="s">
        <v>112</v>
      </c>
      <c r="M509" s="362" t="s">
        <v>144</v>
      </c>
      <c r="N509" s="362"/>
      <c r="P509" s="371"/>
    </row>
    <row r="510" spans="1:16" s="372" customFormat="1" ht="14" outlineLevel="4">
      <c r="A510" s="405" t="s">
        <v>8</v>
      </c>
      <c r="B510" s="509" t="s">
        <v>545</v>
      </c>
      <c r="C510" s="397" t="s">
        <v>24</v>
      </c>
      <c r="D510" s="398"/>
      <c r="E510" s="398"/>
      <c r="F510" s="398"/>
      <c r="G510" s="398">
        <f t="shared" si="171"/>
        <v>0</v>
      </c>
      <c r="H510" s="398">
        <f t="shared" si="173"/>
        <v>0</v>
      </c>
      <c r="I510" s="399"/>
      <c r="J510" s="362" t="s">
        <v>38</v>
      </c>
      <c r="K510" s="362" t="s">
        <v>258</v>
      </c>
      <c r="L510" s="362" t="s">
        <v>112</v>
      </c>
      <c r="M510" s="362" t="s">
        <v>144</v>
      </c>
      <c r="N510" s="362"/>
      <c r="P510" s="371"/>
    </row>
    <row r="511" spans="1:16" s="372" customFormat="1" ht="14" outlineLevel="4">
      <c r="A511" s="405" t="s">
        <v>8</v>
      </c>
      <c r="B511" s="509" t="s">
        <v>142</v>
      </c>
      <c r="C511" s="397" t="s">
        <v>24</v>
      </c>
      <c r="D511" s="398"/>
      <c r="E511" s="398"/>
      <c r="F511" s="504"/>
      <c r="G511" s="398">
        <f t="shared" si="171"/>
        <v>0</v>
      </c>
      <c r="H511" s="398">
        <f t="shared" si="173"/>
        <v>0</v>
      </c>
      <c r="I511" s="399"/>
      <c r="J511" s="362" t="s">
        <v>38</v>
      </c>
      <c r="K511" s="362" t="s">
        <v>258</v>
      </c>
      <c r="L511" s="362" t="s">
        <v>112</v>
      </c>
      <c r="M511" s="362" t="s">
        <v>144</v>
      </c>
      <c r="N511" s="362"/>
      <c r="P511" s="371"/>
    </row>
    <row r="512" spans="1:16" s="372" customFormat="1" ht="14" outlineLevel="4">
      <c r="A512" s="405" t="s">
        <v>8</v>
      </c>
      <c r="B512" s="509" t="s">
        <v>143</v>
      </c>
      <c r="C512" s="397" t="s">
        <v>24</v>
      </c>
      <c r="D512" s="398"/>
      <c r="E512" s="398"/>
      <c r="F512" s="398"/>
      <c r="G512" s="398">
        <f t="shared" si="171"/>
        <v>0</v>
      </c>
      <c r="H512" s="398">
        <f t="shared" si="173"/>
        <v>0</v>
      </c>
      <c r="I512" s="399"/>
      <c r="J512" s="362" t="s">
        <v>38</v>
      </c>
      <c r="K512" s="362" t="s">
        <v>258</v>
      </c>
      <c r="L512" s="362" t="s">
        <v>112</v>
      </c>
      <c r="M512" s="362" t="s">
        <v>144</v>
      </c>
      <c r="N512" s="362"/>
      <c r="P512" s="371"/>
    </row>
    <row r="513" spans="1:16" s="372" customFormat="1" ht="14" outlineLevel="4">
      <c r="A513" s="405" t="s">
        <v>8</v>
      </c>
      <c r="B513" s="509" t="s">
        <v>204</v>
      </c>
      <c r="C513" s="397" t="s">
        <v>9</v>
      </c>
      <c r="D513" s="398"/>
      <c r="E513" s="398"/>
      <c r="F513" s="398"/>
      <c r="G513" s="398">
        <f t="shared" si="171"/>
        <v>0</v>
      </c>
      <c r="H513" s="398">
        <f t="shared" si="173"/>
        <v>0</v>
      </c>
      <c r="I513" s="399"/>
      <c r="J513" s="362" t="s">
        <v>38</v>
      </c>
      <c r="K513" s="362" t="s">
        <v>258</v>
      </c>
      <c r="L513" s="362" t="s">
        <v>112</v>
      </c>
      <c r="M513" s="362" t="s">
        <v>144</v>
      </c>
      <c r="N513" s="362"/>
      <c r="P513" s="371"/>
    </row>
    <row r="514" spans="1:16" s="372" customFormat="1" ht="14" outlineLevel="3">
      <c r="A514" s="388" t="s">
        <v>26</v>
      </c>
      <c r="B514" s="489" t="s">
        <v>154</v>
      </c>
      <c r="C514" s="397"/>
      <c r="D514" s="398"/>
      <c r="E514" s="398"/>
      <c r="F514" s="493"/>
      <c r="G514" s="391">
        <f>SUBTOTAL(9,G515:G548)</f>
        <v>933882</v>
      </c>
      <c r="H514" s="391">
        <f>SUBTOTAL(9,H515:H548)</f>
        <v>218689</v>
      </c>
      <c r="I514" s="399"/>
      <c r="J514" s="362"/>
      <c r="K514" s="362"/>
      <c r="L514" s="362"/>
      <c r="M514" s="362"/>
      <c r="N514" s="362"/>
      <c r="P514" s="371"/>
    </row>
    <row r="515" spans="1:16" s="372" customFormat="1" ht="14" outlineLevel="3">
      <c r="A515" s="388">
        <v>1</v>
      </c>
      <c r="B515" s="489" t="s">
        <v>541</v>
      </c>
      <c r="C515" s="397"/>
      <c r="D515" s="398"/>
      <c r="E515" s="398"/>
      <c r="F515" s="491"/>
      <c r="G515" s="398"/>
      <c r="H515" s="398"/>
      <c r="I515" s="399"/>
      <c r="J515" s="362"/>
      <c r="K515" s="362"/>
      <c r="L515" s="362"/>
      <c r="M515" s="362"/>
      <c r="N515" s="362"/>
      <c r="P515" s="371"/>
    </row>
    <row r="516" spans="1:16" s="372" customFormat="1" ht="14" outlineLevel="3">
      <c r="A516" s="388" t="s">
        <v>8</v>
      </c>
      <c r="B516" s="490" t="s">
        <v>193</v>
      </c>
      <c r="C516" s="397" t="s">
        <v>24</v>
      </c>
      <c r="D516" s="398">
        <v>8</v>
      </c>
      <c r="E516" s="398">
        <v>3</v>
      </c>
      <c r="F516" s="491">
        <v>59563</v>
      </c>
      <c r="G516" s="398">
        <f t="shared" ref="G516:G521" si="174">F516*D516</f>
        <v>476504</v>
      </c>
      <c r="H516" s="398">
        <f t="shared" ref="H516:H521" si="175">F516*E516</f>
        <v>178689</v>
      </c>
      <c r="I516" s="399"/>
      <c r="J516" s="362" t="s">
        <v>38</v>
      </c>
      <c r="K516" s="362" t="s">
        <v>145</v>
      </c>
      <c r="L516" s="362" t="s">
        <v>112</v>
      </c>
      <c r="M516" s="362" t="s">
        <v>144</v>
      </c>
      <c r="N516" s="362"/>
      <c r="P516" s="371"/>
    </row>
    <row r="517" spans="1:16" s="372" customFormat="1" ht="14" outlineLevel="3">
      <c r="A517" s="405" t="s">
        <v>8</v>
      </c>
      <c r="B517" s="490" t="s">
        <v>455</v>
      </c>
      <c r="C517" s="397" t="s">
        <v>24</v>
      </c>
      <c r="D517" s="398">
        <v>6</v>
      </c>
      <c r="E517" s="398"/>
      <c r="F517" s="491">
        <v>59563</v>
      </c>
      <c r="G517" s="398">
        <f t="shared" si="174"/>
        <v>357378</v>
      </c>
      <c r="H517" s="398">
        <f t="shared" si="175"/>
        <v>0</v>
      </c>
      <c r="I517" s="399"/>
      <c r="J517" s="362" t="s">
        <v>38</v>
      </c>
      <c r="K517" s="362" t="s">
        <v>145</v>
      </c>
      <c r="L517" s="362" t="s">
        <v>112</v>
      </c>
      <c r="M517" s="362" t="s">
        <v>144</v>
      </c>
      <c r="N517" s="362"/>
      <c r="P517" s="514"/>
    </row>
    <row r="518" spans="1:16" s="372" customFormat="1" ht="14" outlineLevel="3">
      <c r="A518" s="405" t="s">
        <v>8</v>
      </c>
      <c r="B518" s="490" t="s">
        <v>456</v>
      </c>
      <c r="C518" s="397" t="s">
        <v>24</v>
      </c>
      <c r="D518" s="398"/>
      <c r="E518" s="398"/>
      <c r="F518" s="525"/>
      <c r="G518" s="398">
        <f t="shared" si="174"/>
        <v>0</v>
      </c>
      <c r="H518" s="398">
        <f t="shared" si="175"/>
        <v>0</v>
      </c>
      <c r="I518" s="399"/>
      <c r="J518" s="362" t="s">
        <v>38</v>
      </c>
      <c r="K518" s="362" t="s">
        <v>145</v>
      </c>
      <c r="L518" s="362" t="s">
        <v>112</v>
      </c>
      <c r="M518" s="362" t="s">
        <v>144</v>
      </c>
      <c r="N518" s="362"/>
      <c r="P518" s="497"/>
    </row>
    <row r="519" spans="1:16" s="372" customFormat="1" ht="14" outlineLevel="3">
      <c r="A519" s="405" t="s">
        <v>8</v>
      </c>
      <c r="B519" s="490" t="s">
        <v>457</v>
      </c>
      <c r="C519" s="397" t="s">
        <v>24</v>
      </c>
      <c r="D519" s="398"/>
      <c r="E519" s="398"/>
      <c r="F519" s="524"/>
      <c r="G519" s="398">
        <f t="shared" si="174"/>
        <v>0</v>
      </c>
      <c r="H519" s="398">
        <f t="shared" si="175"/>
        <v>0</v>
      </c>
      <c r="I519" s="399"/>
      <c r="J519" s="362" t="s">
        <v>38</v>
      </c>
      <c r="K519" s="362" t="s">
        <v>145</v>
      </c>
      <c r="L519" s="362" t="s">
        <v>112</v>
      </c>
      <c r="M519" s="362" t="s">
        <v>144</v>
      </c>
      <c r="N519" s="362"/>
      <c r="P519" s="514"/>
    </row>
    <row r="520" spans="1:16" s="372" customFormat="1" ht="14" outlineLevel="3">
      <c r="A520" s="405" t="s">
        <v>8</v>
      </c>
      <c r="B520" s="490" t="s">
        <v>195</v>
      </c>
      <c r="C520" s="397" t="s">
        <v>24</v>
      </c>
      <c r="D520" s="398"/>
      <c r="E520" s="398"/>
      <c r="F520" s="491"/>
      <c r="G520" s="398">
        <f t="shared" si="174"/>
        <v>0</v>
      </c>
      <c r="H520" s="398">
        <f t="shared" si="175"/>
        <v>0</v>
      </c>
      <c r="I520" s="399"/>
      <c r="J520" s="362" t="s">
        <v>38</v>
      </c>
      <c r="K520" s="362" t="s">
        <v>145</v>
      </c>
      <c r="L520" s="362" t="s">
        <v>112</v>
      </c>
      <c r="M520" s="362" t="s">
        <v>144</v>
      </c>
      <c r="N520" s="362"/>
      <c r="P520" s="371"/>
    </row>
    <row r="521" spans="1:16" s="372" customFormat="1" ht="14" outlineLevel="3">
      <c r="A521" s="405" t="s">
        <v>8</v>
      </c>
      <c r="B521" s="490" t="s">
        <v>265</v>
      </c>
      <c r="C521" s="397" t="s">
        <v>24</v>
      </c>
      <c r="D521" s="398"/>
      <c r="E521" s="398"/>
      <c r="F521" s="398"/>
      <c r="G521" s="398">
        <f t="shared" si="174"/>
        <v>0</v>
      </c>
      <c r="H521" s="398">
        <f t="shared" si="175"/>
        <v>0</v>
      </c>
      <c r="I521" s="399"/>
      <c r="J521" s="362" t="s">
        <v>38</v>
      </c>
      <c r="K521" s="362" t="s">
        <v>145</v>
      </c>
      <c r="L521" s="362" t="s">
        <v>112</v>
      </c>
      <c r="M521" s="362" t="s">
        <v>144</v>
      </c>
      <c r="N521" s="362"/>
      <c r="P521" s="371"/>
    </row>
    <row r="522" spans="1:16" s="385" customFormat="1" ht="14" outlineLevel="2">
      <c r="A522" s="388">
        <v>2</v>
      </c>
      <c r="B522" s="488" t="s">
        <v>59</v>
      </c>
      <c r="C522" s="390"/>
      <c r="D522" s="391"/>
      <c r="E522" s="391"/>
      <c r="F522" s="391"/>
      <c r="G522" s="391"/>
      <c r="H522" s="391"/>
      <c r="I522" s="526"/>
      <c r="J522" s="383"/>
      <c r="K522" s="383"/>
      <c r="L522" s="383"/>
      <c r="M522" s="383"/>
      <c r="N522" s="383"/>
      <c r="P522" s="386"/>
    </row>
    <row r="523" spans="1:16" s="372" customFormat="1" ht="14" outlineLevel="3">
      <c r="A523" s="405" t="s">
        <v>8</v>
      </c>
      <c r="B523" s="490" t="s">
        <v>162</v>
      </c>
      <c r="C523" s="397" t="s">
        <v>24</v>
      </c>
      <c r="D523" s="398"/>
      <c r="E523" s="398"/>
      <c r="F523" s="499"/>
      <c r="G523" s="398">
        <f t="shared" ref="G523:G527" si="176">F523*D523</f>
        <v>0</v>
      </c>
      <c r="H523" s="398">
        <f t="shared" ref="H523:H527" si="177">F523*E523</f>
        <v>0</v>
      </c>
      <c r="I523" s="399"/>
      <c r="J523" s="362" t="s">
        <v>38</v>
      </c>
      <c r="K523" s="362" t="s">
        <v>145</v>
      </c>
      <c r="L523" s="362" t="s">
        <v>112</v>
      </c>
      <c r="M523" s="362" t="s">
        <v>144</v>
      </c>
      <c r="N523" s="362"/>
      <c r="P523" s="371"/>
    </row>
    <row r="524" spans="1:16" s="372" customFormat="1" ht="14" outlineLevel="3">
      <c r="A524" s="405" t="s">
        <v>8</v>
      </c>
      <c r="B524" s="490" t="s">
        <v>235</v>
      </c>
      <c r="C524" s="397" t="s">
        <v>24</v>
      </c>
      <c r="D524" s="398"/>
      <c r="E524" s="398"/>
      <c r="F524" s="398"/>
      <c r="G524" s="398">
        <f t="shared" si="176"/>
        <v>0</v>
      </c>
      <c r="H524" s="398">
        <f t="shared" si="177"/>
        <v>0</v>
      </c>
      <c r="I524" s="399"/>
      <c r="J524" s="362" t="s">
        <v>38</v>
      </c>
      <c r="K524" s="362" t="s">
        <v>145</v>
      </c>
      <c r="L524" s="362" t="s">
        <v>112</v>
      </c>
      <c r="M524" s="362" t="s">
        <v>144</v>
      </c>
      <c r="N524" s="362"/>
      <c r="P524" s="371"/>
    </row>
    <row r="525" spans="1:16" s="372" customFormat="1" ht="14" outlineLevel="3">
      <c r="A525" s="405" t="s">
        <v>8</v>
      </c>
      <c r="B525" s="490" t="s">
        <v>196</v>
      </c>
      <c r="C525" s="397" t="s">
        <v>24</v>
      </c>
      <c r="D525" s="398"/>
      <c r="E525" s="398"/>
      <c r="F525" s="500"/>
      <c r="G525" s="398">
        <f t="shared" si="176"/>
        <v>0</v>
      </c>
      <c r="H525" s="398">
        <f t="shared" si="177"/>
        <v>0</v>
      </c>
      <c r="I525" s="399"/>
      <c r="J525" s="362" t="s">
        <v>38</v>
      </c>
      <c r="K525" s="362" t="s">
        <v>145</v>
      </c>
      <c r="L525" s="362" t="s">
        <v>112</v>
      </c>
      <c r="M525" s="362" t="s">
        <v>144</v>
      </c>
      <c r="N525" s="362"/>
      <c r="P525" s="371"/>
    </row>
    <row r="526" spans="1:16" s="372" customFormat="1" ht="14" outlineLevel="3">
      <c r="A526" s="405" t="s">
        <v>8</v>
      </c>
      <c r="B526" s="501" t="s">
        <v>266</v>
      </c>
      <c r="C526" s="397" t="s">
        <v>9</v>
      </c>
      <c r="D526" s="398"/>
      <c r="E526" s="398"/>
      <c r="F526" s="398"/>
      <c r="G526" s="398">
        <f t="shared" si="176"/>
        <v>0</v>
      </c>
      <c r="H526" s="398">
        <f t="shared" si="177"/>
        <v>0</v>
      </c>
      <c r="I526" s="399"/>
      <c r="J526" s="362" t="s">
        <v>38</v>
      </c>
      <c r="K526" s="362" t="s">
        <v>145</v>
      </c>
      <c r="L526" s="362" t="s">
        <v>112</v>
      </c>
      <c r="M526" s="362" t="s">
        <v>144</v>
      </c>
      <c r="N526" s="362"/>
      <c r="P526" s="371"/>
    </row>
    <row r="527" spans="1:16" s="372" customFormat="1" ht="14" outlineLevel="3">
      <c r="A527" s="405" t="s">
        <v>8</v>
      </c>
      <c r="B527" s="490" t="s">
        <v>267</v>
      </c>
      <c r="C527" s="397" t="s">
        <v>9</v>
      </c>
      <c r="D527" s="502"/>
      <c r="E527" s="502"/>
      <c r="F527" s="503"/>
      <c r="G527" s="398">
        <f t="shared" si="176"/>
        <v>0</v>
      </c>
      <c r="H527" s="398">
        <f t="shared" si="177"/>
        <v>0</v>
      </c>
      <c r="I527" s="399"/>
      <c r="J527" s="362" t="s">
        <v>38</v>
      </c>
      <c r="K527" s="362" t="s">
        <v>145</v>
      </c>
      <c r="L527" s="362" t="s">
        <v>112</v>
      </c>
      <c r="M527" s="362" t="s">
        <v>144</v>
      </c>
      <c r="N527" s="362"/>
      <c r="P527" s="371"/>
    </row>
    <row r="528" spans="1:16" s="385" customFormat="1" ht="14" outlineLevel="2">
      <c r="A528" s="388">
        <v>3</v>
      </c>
      <c r="B528" s="527" t="s">
        <v>35</v>
      </c>
      <c r="C528" s="390"/>
      <c r="D528" s="391"/>
      <c r="E528" s="391"/>
      <c r="F528" s="391"/>
      <c r="G528" s="391"/>
      <c r="H528" s="391"/>
      <c r="I528" s="392"/>
      <c r="J528" s="383"/>
      <c r="K528" s="383"/>
      <c r="L528" s="383"/>
      <c r="M528" s="383"/>
      <c r="N528" s="383"/>
      <c r="P528" s="386"/>
    </row>
    <row r="529" spans="1:16" s="372" customFormat="1" ht="14" outlineLevel="4">
      <c r="A529" s="405" t="s">
        <v>8</v>
      </c>
      <c r="B529" s="396" t="s">
        <v>197</v>
      </c>
      <c r="C529" s="397" t="s">
        <v>24</v>
      </c>
      <c r="D529" s="398"/>
      <c r="E529" s="398"/>
      <c r="F529" s="398"/>
      <c r="G529" s="398">
        <f t="shared" ref="G529:G548" si="178">F529*D529</f>
        <v>0</v>
      </c>
      <c r="H529" s="398">
        <f t="shared" ref="H529:H548" si="179">F529*E529</f>
        <v>0</v>
      </c>
      <c r="I529" s="399"/>
      <c r="J529" s="362" t="s">
        <v>38</v>
      </c>
      <c r="K529" s="362" t="s">
        <v>145</v>
      </c>
      <c r="L529" s="362" t="s">
        <v>112</v>
      </c>
      <c r="M529" s="362" t="s">
        <v>144</v>
      </c>
      <c r="N529" s="362"/>
      <c r="P529" s="371"/>
    </row>
    <row r="530" spans="1:16" s="372" customFormat="1" ht="14" outlineLevel="4">
      <c r="A530" s="405" t="s">
        <v>8</v>
      </c>
      <c r="B530" s="396" t="s">
        <v>198</v>
      </c>
      <c r="C530" s="397" t="s">
        <v>24</v>
      </c>
      <c r="D530" s="398"/>
      <c r="E530" s="398"/>
      <c r="F530" s="398"/>
      <c r="G530" s="398">
        <f t="shared" si="178"/>
        <v>0</v>
      </c>
      <c r="H530" s="398">
        <f t="shared" si="179"/>
        <v>0</v>
      </c>
      <c r="I530" s="399"/>
      <c r="J530" s="362" t="s">
        <v>38</v>
      </c>
      <c r="K530" s="362" t="s">
        <v>145</v>
      </c>
      <c r="L530" s="362" t="s">
        <v>112</v>
      </c>
      <c r="M530" s="362" t="s">
        <v>144</v>
      </c>
      <c r="N530" s="362"/>
      <c r="P530" s="371"/>
    </row>
    <row r="531" spans="1:16" s="372" customFormat="1" ht="14" outlineLevel="4">
      <c r="A531" s="405" t="s">
        <v>8</v>
      </c>
      <c r="B531" s="396" t="s">
        <v>197</v>
      </c>
      <c r="C531" s="397" t="s">
        <v>24</v>
      </c>
      <c r="D531" s="398"/>
      <c r="E531" s="398"/>
      <c r="F531" s="398"/>
      <c r="G531" s="398">
        <f t="shared" si="178"/>
        <v>0</v>
      </c>
      <c r="H531" s="398">
        <f t="shared" si="179"/>
        <v>0</v>
      </c>
      <c r="I531" s="399"/>
      <c r="J531" s="362" t="s">
        <v>38</v>
      </c>
      <c r="K531" s="362" t="s">
        <v>145</v>
      </c>
      <c r="L531" s="362" t="s">
        <v>112</v>
      </c>
      <c r="M531" s="362" t="s">
        <v>144</v>
      </c>
      <c r="N531" s="362"/>
      <c r="P531" s="371"/>
    </row>
    <row r="532" spans="1:16" s="372" customFormat="1" ht="14" outlineLevel="4">
      <c r="A532" s="405" t="s">
        <v>8</v>
      </c>
      <c r="B532" s="396" t="s">
        <v>198</v>
      </c>
      <c r="C532" s="397" t="s">
        <v>24</v>
      </c>
      <c r="D532" s="398"/>
      <c r="E532" s="398"/>
      <c r="F532" s="398"/>
      <c r="G532" s="398">
        <f t="shared" si="178"/>
        <v>0</v>
      </c>
      <c r="H532" s="398">
        <f t="shared" si="179"/>
        <v>0</v>
      </c>
      <c r="I532" s="399"/>
      <c r="J532" s="362" t="s">
        <v>38</v>
      </c>
      <c r="K532" s="362" t="s">
        <v>145</v>
      </c>
      <c r="L532" s="362" t="s">
        <v>112</v>
      </c>
      <c r="M532" s="362" t="s">
        <v>144</v>
      </c>
      <c r="N532" s="362"/>
      <c r="P532" s="371"/>
    </row>
    <row r="533" spans="1:16" s="372" customFormat="1" ht="14" outlineLevel="4">
      <c r="A533" s="405" t="s">
        <v>8</v>
      </c>
      <c r="B533" s="396" t="s">
        <v>268</v>
      </c>
      <c r="C533" s="397" t="s">
        <v>24</v>
      </c>
      <c r="D533" s="398"/>
      <c r="E533" s="398"/>
      <c r="F533" s="500"/>
      <c r="G533" s="398">
        <f t="shared" si="178"/>
        <v>0</v>
      </c>
      <c r="H533" s="398">
        <f t="shared" si="179"/>
        <v>0</v>
      </c>
      <c r="I533" s="399"/>
      <c r="J533" s="362" t="s">
        <v>38</v>
      </c>
      <c r="K533" s="362" t="s">
        <v>145</v>
      </c>
      <c r="L533" s="362" t="s">
        <v>112</v>
      </c>
      <c r="M533" s="362" t="s">
        <v>144</v>
      </c>
      <c r="N533" s="362"/>
      <c r="P533" s="371"/>
    </row>
    <row r="534" spans="1:16" s="372" customFormat="1" ht="14" outlineLevel="4">
      <c r="A534" s="405" t="s">
        <v>8</v>
      </c>
      <c r="B534" s="396" t="s">
        <v>269</v>
      </c>
      <c r="C534" s="397" t="s">
        <v>24</v>
      </c>
      <c r="D534" s="398"/>
      <c r="E534" s="398"/>
      <c r="F534" s="398"/>
      <c r="G534" s="398">
        <f t="shared" si="178"/>
        <v>0</v>
      </c>
      <c r="H534" s="398">
        <f t="shared" si="179"/>
        <v>0</v>
      </c>
      <c r="I534" s="399"/>
      <c r="J534" s="362" t="s">
        <v>38</v>
      </c>
      <c r="K534" s="362" t="s">
        <v>145</v>
      </c>
      <c r="L534" s="362" t="s">
        <v>112</v>
      </c>
      <c r="M534" s="362" t="s">
        <v>144</v>
      </c>
      <c r="N534" s="362"/>
      <c r="P534" s="371"/>
    </row>
    <row r="535" spans="1:16" s="372" customFormat="1" ht="14" outlineLevel="4">
      <c r="A535" s="405" t="s">
        <v>8</v>
      </c>
      <c r="B535" s="396" t="s">
        <v>270</v>
      </c>
      <c r="C535" s="397" t="s">
        <v>9</v>
      </c>
      <c r="D535" s="398"/>
      <c r="E535" s="398"/>
      <c r="F535" s="398"/>
      <c r="G535" s="398">
        <f t="shared" si="178"/>
        <v>0</v>
      </c>
      <c r="H535" s="398">
        <f t="shared" si="179"/>
        <v>0</v>
      </c>
      <c r="I535" s="399"/>
      <c r="J535" s="362" t="s">
        <v>38</v>
      </c>
      <c r="K535" s="362" t="s">
        <v>145</v>
      </c>
      <c r="L535" s="362" t="s">
        <v>112</v>
      </c>
      <c r="M535" s="362" t="s">
        <v>144</v>
      </c>
      <c r="N535" s="362"/>
      <c r="P535" s="371"/>
    </row>
    <row r="536" spans="1:16" s="372" customFormat="1" ht="14" outlineLevel="4">
      <c r="A536" s="405" t="s">
        <v>8</v>
      </c>
      <c r="B536" s="396" t="s">
        <v>199</v>
      </c>
      <c r="C536" s="397" t="s">
        <v>24</v>
      </c>
      <c r="D536" s="398"/>
      <c r="E536" s="398"/>
      <c r="F536" s="398"/>
      <c r="G536" s="398">
        <f t="shared" si="178"/>
        <v>0</v>
      </c>
      <c r="H536" s="398">
        <f t="shared" si="179"/>
        <v>0</v>
      </c>
      <c r="I536" s="399"/>
      <c r="J536" s="362" t="s">
        <v>38</v>
      </c>
      <c r="K536" s="362" t="s">
        <v>145</v>
      </c>
      <c r="L536" s="362" t="s">
        <v>112</v>
      </c>
      <c r="M536" s="362" t="s">
        <v>144</v>
      </c>
      <c r="N536" s="362"/>
      <c r="P536" s="371"/>
    </row>
    <row r="537" spans="1:16" s="372" customFormat="1" ht="14" outlineLevel="4">
      <c r="A537" s="405" t="s">
        <v>8</v>
      </c>
      <c r="B537" s="396" t="s">
        <v>200</v>
      </c>
      <c r="C537" s="397" t="s">
        <v>24</v>
      </c>
      <c r="D537" s="398"/>
      <c r="E537" s="398"/>
      <c r="F537" s="398"/>
      <c r="G537" s="398">
        <f t="shared" si="178"/>
        <v>0</v>
      </c>
      <c r="H537" s="398">
        <f t="shared" si="179"/>
        <v>0</v>
      </c>
      <c r="I537" s="399"/>
      <c r="J537" s="362" t="s">
        <v>38</v>
      </c>
      <c r="K537" s="362" t="s">
        <v>145</v>
      </c>
      <c r="L537" s="362" t="s">
        <v>112</v>
      </c>
      <c r="M537" s="362" t="s">
        <v>144</v>
      </c>
      <c r="N537" s="362"/>
      <c r="P537" s="371"/>
    </row>
    <row r="538" spans="1:16" s="372" customFormat="1" ht="14" outlineLevel="4">
      <c r="A538" s="405" t="s">
        <v>8</v>
      </c>
      <c r="B538" s="490" t="s">
        <v>271</v>
      </c>
      <c r="C538" s="397" t="s">
        <v>24</v>
      </c>
      <c r="D538" s="398"/>
      <c r="E538" s="398"/>
      <c r="F538" s="398"/>
      <c r="G538" s="398">
        <f t="shared" si="178"/>
        <v>0</v>
      </c>
      <c r="H538" s="398">
        <f t="shared" si="179"/>
        <v>0</v>
      </c>
      <c r="I538" s="399"/>
      <c r="J538" s="362" t="s">
        <v>38</v>
      </c>
      <c r="K538" s="362" t="s">
        <v>145</v>
      </c>
      <c r="L538" s="362" t="s">
        <v>112</v>
      </c>
      <c r="M538" s="362" t="s">
        <v>144</v>
      </c>
      <c r="N538" s="362"/>
      <c r="P538" s="371"/>
    </row>
    <row r="539" spans="1:16" s="372" customFormat="1" ht="14" outlineLevel="4">
      <c r="A539" s="405" t="s">
        <v>8</v>
      </c>
      <c r="B539" s="396" t="s">
        <v>272</v>
      </c>
      <c r="C539" s="397" t="s">
        <v>24</v>
      </c>
      <c r="D539" s="398"/>
      <c r="E539" s="398"/>
      <c r="F539" s="398"/>
      <c r="G539" s="398">
        <f t="shared" si="178"/>
        <v>0</v>
      </c>
      <c r="H539" s="398">
        <f t="shared" si="179"/>
        <v>0</v>
      </c>
      <c r="I539" s="399"/>
      <c r="J539" s="362" t="s">
        <v>38</v>
      </c>
      <c r="K539" s="362" t="s">
        <v>145</v>
      </c>
      <c r="L539" s="362" t="s">
        <v>112</v>
      </c>
      <c r="M539" s="362" t="s">
        <v>144</v>
      </c>
      <c r="N539" s="362"/>
      <c r="P539" s="371"/>
    </row>
    <row r="540" spans="1:16" s="372" customFormat="1" ht="14" outlineLevel="4">
      <c r="A540" s="405" t="s">
        <v>8</v>
      </c>
      <c r="B540" s="509" t="s">
        <v>273</v>
      </c>
      <c r="C540" s="397" t="s">
        <v>9</v>
      </c>
      <c r="D540" s="398"/>
      <c r="E540" s="398"/>
      <c r="F540" s="398"/>
      <c r="G540" s="398">
        <f t="shared" si="178"/>
        <v>0</v>
      </c>
      <c r="H540" s="398">
        <f t="shared" si="179"/>
        <v>0</v>
      </c>
      <c r="I540" s="399"/>
      <c r="J540" s="362" t="s">
        <v>38</v>
      </c>
      <c r="K540" s="362" t="s">
        <v>145</v>
      </c>
      <c r="L540" s="362" t="s">
        <v>112</v>
      </c>
      <c r="M540" s="362" t="s">
        <v>144</v>
      </c>
      <c r="N540" s="362"/>
      <c r="P540" s="371"/>
    </row>
    <row r="541" spans="1:16" s="372" customFormat="1" ht="14" outlineLevel="4">
      <c r="A541" s="405" t="s">
        <v>8</v>
      </c>
      <c r="B541" s="490" t="s">
        <v>201</v>
      </c>
      <c r="C541" s="397" t="s">
        <v>24</v>
      </c>
      <c r="D541" s="398"/>
      <c r="E541" s="398"/>
      <c r="F541" s="398"/>
      <c r="G541" s="398">
        <f t="shared" si="178"/>
        <v>0</v>
      </c>
      <c r="H541" s="398">
        <f t="shared" si="179"/>
        <v>0</v>
      </c>
      <c r="I541" s="399"/>
      <c r="J541" s="362" t="s">
        <v>38</v>
      </c>
      <c r="K541" s="362" t="s">
        <v>145</v>
      </c>
      <c r="L541" s="362" t="s">
        <v>112</v>
      </c>
      <c r="M541" s="362" t="s">
        <v>144</v>
      </c>
      <c r="N541" s="362"/>
      <c r="P541" s="371"/>
    </row>
    <row r="542" spans="1:16" s="372" customFormat="1" ht="14" outlineLevel="4">
      <c r="A542" s="405" t="s">
        <v>8</v>
      </c>
      <c r="B542" s="396" t="s">
        <v>207</v>
      </c>
      <c r="C542" s="397" t="s">
        <v>24</v>
      </c>
      <c r="D542" s="398"/>
      <c r="E542" s="398"/>
      <c r="F542" s="398"/>
      <c r="G542" s="398">
        <f t="shared" si="178"/>
        <v>0</v>
      </c>
      <c r="H542" s="398">
        <f t="shared" si="179"/>
        <v>0</v>
      </c>
      <c r="I542" s="399"/>
      <c r="J542" s="362" t="s">
        <v>38</v>
      </c>
      <c r="K542" s="362" t="s">
        <v>145</v>
      </c>
      <c r="L542" s="362" t="s">
        <v>112</v>
      </c>
      <c r="M542" s="362" t="s">
        <v>144</v>
      </c>
      <c r="N542" s="362"/>
      <c r="P542" s="371"/>
    </row>
    <row r="543" spans="1:16" s="372" customFormat="1" ht="14" outlineLevel="4">
      <c r="A543" s="405" t="s">
        <v>8</v>
      </c>
      <c r="B543" s="509" t="s">
        <v>202</v>
      </c>
      <c r="C543" s="397" t="s">
        <v>24</v>
      </c>
      <c r="D543" s="398">
        <v>10</v>
      </c>
      <c r="E543" s="398"/>
      <c r="F543" s="504">
        <v>10000</v>
      </c>
      <c r="G543" s="398">
        <f t="shared" si="178"/>
        <v>100000</v>
      </c>
      <c r="H543" s="398">
        <f t="shared" si="179"/>
        <v>0</v>
      </c>
      <c r="I543" s="399"/>
      <c r="J543" s="362" t="s">
        <v>38</v>
      </c>
      <c r="K543" s="362" t="s">
        <v>145</v>
      </c>
      <c r="L543" s="362" t="s">
        <v>112</v>
      </c>
      <c r="M543" s="362" t="s">
        <v>144</v>
      </c>
      <c r="N543" s="362"/>
      <c r="P543" s="371"/>
    </row>
    <row r="544" spans="1:16" s="372" customFormat="1" ht="14" outlineLevel="4">
      <c r="A544" s="405" t="s">
        <v>8</v>
      </c>
      <c r="B544" s="509" t="s">
        <v>203</v>
      </c>
      <c r="C544" s="397" t="s">
        <v>24</v>
      </c>
      <c r="D544" s="398"/>
      <c r="E544" s="398">
        <v>4</v>
      </c>
      <c r="F544" s="528">
        <v>10000</v>
      </c>
      <c r="G544" s="398">
        <f t="shared" si="178"/>
        <v>0</v>
      </c>
      <c r="H544" s="398">
        <f t="shared" si="179"/>
        <v>40000</v>
      </c>
      <c r="I544" s="399"/>
      <c r="J544" s="362" t="s">
        <v>38</v>
      </c>
      <c r="K544" s="362" t="s">
        <v>145</v>
      </c>
      <c r="L544" s="362" t="s">
        <v>112</v>
      </c>
      <c r="M544" s="362" t="s">
        <v>144</v>
      </c>
      <c r="N544" s="362"/>
      <c r="P544" s="371"/>
    </row>
    <row r="545" spans="1:16" s="372" customFormat="1" ht="14" outlineLevel="4">
      <c r="A545" s="405" t="s">
        <v>8</v>
      </c>
      <c r="B545" s="509" t="s">
        <v>278</v>
      </c>
      <c r="C545" s="397" t="s">
        <v>24</v>
      </c>
      <c r="D545" s="398"/>
      <c r="E545" s="398"/>
      <c r="F545" s="398"/>
      <c r="G545" s="398">
        <f t="shared" si="178"/>
        <v>0</v>
      </c>
      <c r="H545" s="398">
        <f t="shared" si="179"/>
        <v>0</v>
      </c>
      <c r="I545" s="399"/>
      <c r="J545" s="362" t="s">
        <v>38</v>
      </c>
      <c r="K545" s="362" t="s">
        <v>145</v>
      </c>
      <c r="L545" s="362" t="s">
        <v>112</v>
      </c>
      <c r="M545" s="362" t="s">
        <v>144</v>
      </c>
      <c r="N545" s="362"/>
      <c r="P545" s="371"/>
    </row>
    <row r="546" spans="1:16" s="372" customFormat="1" ht="14" outlineLevel="4">
      <c r="A546" s="405" t="s">
        <v>8</v>
      </c>
      <c r="B546" s="509" t="s">
        <v>142</v>
      </c>
      <c r="C546" s="397" t="s">
        <v>24</v>
      </c>
      <c r="D546" s="398"/>
      <c r="E546" s="398"/>
      <c r="F546" s="504"/>
      <c r="G546" s="398">
        <f t="shared" si="178"/>
        <v>0</v>
      </c>
      <c r="H546" s="398">
        <f t="shared" si="179"/>
        <v>0</v>
      </c>
      <c r="I546" s="399"/>
      <c r="J546" s="362" t="s">
        <v>38</v>
      </c>
      <c r="K546" s="362" t="s">
        <v>145</v>
      </c>
      <c r="L546" s="362" t="s">
        <v>112</v>
      </c>
      <c r="M546" s="362" t="s">
        <v>144</v>
      </c>
      <c r="N546" s="362"/>
      <c r="P546" s="371"/>
    </row>
    <row r="547" spans="1:16" s="372" customFormat="1" ht="14" outlineLevel="4">
      <c r="A547" s="405" t="s">
        <v>8</v>
      </c>
      <c r="B547" s="509" t="s">
        <v>143</v>
      </c>
      <c r="C547" s="397" t="s">
        <v>24</v>
      </c>
      <c r="D547" s="398"/>
      <c r="E547" s="398"/>
      <c r="F547" s="398"/>
      <c r="G547" s="398">
        <f t="shared" si="178"/>
        <v>0</v>
      </c>
      <c r="H547" s="398">
        <f t="shared" si="179"/>
        <v>0</v>
      </c>
      <c r="I547" s="399"/>
      <c r="J547" s="362" t="s">
        <v>38</v>
      </c>
      <c r="K547" s="362" t="s">
        <v>145</v>
      </c>
      <c r="L547" s="362" t="s">
        <v>112</v>
      </c>
      <c r="M547" s="362" t="s">
        <v>144</v>
      </c>
      <c r="N547" s="362"/>
      <c r="P547" s="371"/>
    </row>
    <row r="548" spans="1:16" s="372" customFormat="1" ht="14" outlineLevel="4">
      <c r="A548" s="405" t="s">
        <v>8</v>
      </c>
      <c r="B548" s="509" t="s">
        <v>204</v>
      </c>
      <c r="C548" s="397" t="s">
        <v>9</v>
      </c>
      <c r="D548" s="398"/>
      <c r="E548" s="398"/>
      <c r="F548" s="398"/>
      <c r="G548" s="398">
        <f t="shared" si="178"/>
        <v>0</v>
      </c>
      <c r="H548" s="398">
        <f t="shared" si="179"/>
        <v>0</v>
      </c>
      <c r="I548" s="399"/>
      <c r="J548" s="362" t="s">
        <v>38</v>
      </c>
      <c r="K548" s="362" t="s">
        <v>145</v>
      </c>
      <c r="L548" s="362" t="s">
        <v>112</v>
      </c>
      <c r="M548" s="362" t="s">
        <v>144</v>
      </c>
      <c r="N548" s="362"/>
      <c r="P548" s="371"/>
    </row>
    <row r="549" spans="1:16" s="385" customFormat="1" ht="14" outlineLevel="2">
      <c r="A549" s="529" t="s">
        <v>37</v>
      </c>
      <c r="B549" s="527" t="s">
        <v>581</v>
      </c>
      <c r="C549" s="530"/>
      <c r="D549" s="531"/>
      <c r="E549" s="531"/>
      <c r="F549" s="531"/>
      <c r="G549" s="531">
        <f>SUBTOTAL(9,G550:G585)</f>
        <v>0</v>
      </c>
      <c r="H549" s="531">
        <f>SUBTOTAL(9,H550:H585)</f>
        <v>0</v>
      </c>
      <c r="I549" s="392"/>
      <c r="J549" s="383"/>
      <c r="K549" s="383"/>
      <c r="L549" s="383"/>
      <c r="M549" s="383"/>
      <c r="N549" s="383"/>
      <c r="P549" s="386"/>
    </row>
    <row r="550" spans="1:16" s="372" customFormat="1" ht="14" outlineLevel="3">
      <c r="A550" s="388">
        <v>1</v>
      </c>
      <c r="B550" s="532" t="s">
        <v>541</v>
      </c>
      <c r="C550" s="397"/>
      <c r="D550" s="398"/>
      <c r="E550" s="398"/>
      <c r="F550" s="524"/>
      <c r="G550" s="398">
        <f>SUBTOTAL(9,G551:G556)</f>
        <v>0</v>
      </c>
      <c r="H550" s="398">
        <f>SUBTOTAL(9,H551:H556)</f>
        <v>0</v>
      </c>
      <c r="I550" s="399"/>
      <c r="J550" s="362"/>
      <c r="K550" s="362"/>
      <c r="L550" s="362"/>
      <c r="M550" s="362"/>
      <c r="N550" s="362"/>
      <c r="P550" s="371"/>
    </row>
    <row r="551" spans="1:16" s="372" customFormat="1" ht="14" outlineLevel="3">
      <c r="A551" s="388" t="s">
        <v>8</v>
      </c>
      <c r="B551" s="490" t="s">
        <v>193</v>
      </c>
      <c r="C551" s="397" t="s">
        <v>24</v>
      </c>
      <c r="D551" s="398"/>
      <c r="E551" s="398"/>
      <c r="F551" s="524"/>
      <c r="G551" s="398">
        <f t="shared" ref="G551:G556" si="180">F551*D551</f>
        <v>0</v>
      </c>
      <c r="H551" s="398">
        <f t="shared" ref="H551:H556" si="181">F551*E551</f>
        <v>0</v>
      </c>
      <c r="I551" s="399"/>
      <c r="J551" s="362" t="s">
        <v>38</v>
      </c>
      <c r="K551" s="362" t="s">
        <v>402</v>
      </c>
      <c r="L551" s="362" t="s">
        <v>112</v>
      </c>
      <c r="M551" s="362" t="s">
        <v>144</v>
      </c>
      <c r="N551" s="362"/>
      <c r="P551" s="371"/>
    </row>
    <row r="552" spans="1:16" s="372" customFormat="1" ht="14" outlineLevel="3">
      <c r="A552" s="405" t="s">
        <v>8</v>
      </c>
      <c r="B552" s="490" t="s">
        <v>455</v>
      </c>
      <c r="C552" s="397" t="s">
        <v>24</v>
      </c>
      <c r="D552" s="398"/>
      <c r="E552" s="398"/>
      <c r="F552" s="491"/>
      <c r="G552" s="398">
        <f t="shared" si="180"/>
        <v>0</v>
      </c>
      <c r="H552" s="398">
        <f t="shared" si="181"/>
        <v>0</v>
      </c>
      <c r="I552" s="399"/>
      <c r="J552" s="362" t="s">
        <v>38</v>
      </c>
      <c r="K552" s="362" t="s">
        <v>402</v>
      </c>
      <c r="L552" s="362" t="s">
        <v>112</v>
      </c>
      <c r="M552" s="362" t="s">
        <v>144</v>
      </c>
      <c r="N552" s="362"/>
      <c r="P552" s="371"/>
    </row>
    <row r="553" spans="1:16" s="372" customFormat="1" ht="14" outlineLevel="3">
      <c r="A553" s="405" t="s">
        <v>8</v>
      </c>
      <c r="B553" s="490" t="s">
        <v>456</v>
      </c>
      <c r="C553" s="397" t="s">
        <v>24</v>
      </c>
      <c r="D553" s="398"/>
      <c r="E553" s="398"/>
      <c r="F553" s="494"/>
      <c r="G553" s="398">
        <f t="shared" si="180"/>
        <v>0</v>
      </c>
      <c r="H553" s="398">
        <f t="shared" si="181"/>
        <v>0</v>
      </c>
      <c r="I553" s="399"/>
      <c r="J553" s="362" t="s">
        <v>38</v>
      </c>
      <c r="K553" s="362" t="s">
        <v>402</v>
      </c>
      <c r="L553" s="362" t="s">
        <v>112</v>
      </c>
      <c r="M553" s="362" t="s">
        <v>144</v>
      </c>
      <c r="N553" s="362"/>
      <c r="P553" s="371"/>
    </row>
    <row r="554" spans="1:16" s="372" customFormat="1" ht="14" outlineLevel="3">
      <c r="A554" s="405" t="s">
        <v>8</v>
      </c>
      <c r="B554" s="490" t="s">
        <v>457</v>
      </c>
      <c r="C554" s="397" t="s">
        <v>24</v>
      </c>
      <c r="D554" s="398"/>
      <c r="E554" s="398"/>
      <c r="F554" s="524"/>
      <c r="G554" s="398">
        <f t="shared" si="180"/>
        <v>0</v>
      </c>
      <c r="H554" s="398">
        <f t="shared" si="181"/>
        <v>0</v>
      </c>
      <c r="I554" s="399"/>
      <c r="J554" s="362" t="s">
        <v>38</v>
      </c>
      <c r="K554" s="362" t="s">
        <v>402</v>
      </c>
      <c r="L554" s="362" t="s">
        <v>112</v>
      </c>
      <c r="M554" s="362" t="s">
        <v>144</v>
      </c>
      <c r="N554" s="362"/>
      <c r="P554" s="371"/>
    </row>
    <row r="555" spans="1:16" s="372" customFormat="1" ht="14" outlineLevel="3">
      <c r="A555" s="405" t="s">
        <v>8</v>
      </c>
      <c r="B555" s="490" t="s">
        <v>195</v>
      </c>
      <c r="C555" s="397" t="s">
        <v>24</v>
      </c>
      <c r="D555" s="398"/>
      <c r="E555" s="398"/>
      <c r="F555" s="493"/>
      <c r="G555" s="398">
        <f t="shared" si="180"/>
        <v>0</v>
      </c>
      <c r="H555" s="398">
        <f t="shared" si="181"/>
        <v>0</v>
      </c>
      <c r="I555" s="399"/>
      <c r="J555" s="362" t="s">
        <v>38</v>
      </c>
      <c r="K555" s="362" t="s">
        <v>402</v>
      </c>
      <c r="L555" s="362" t="s">
        <v>112</v>
      </c>
      <c r="M555" s="362" t="s">
        <v>144</v>
      </c>
      <c r="N555" s="362"/>
      <c r="P555" s="371"/>
    </row>
    <row r="556" spans="1:16" s="372" customFormat="1" ht="14" outlineLevel="3">
      <c r="A556" s="405" t="s">
        <v>8</v>
      </c>
      <c r="B556" s="490" t="s">
        <v>265</v>
      </c>
      <c r="C556" s="397" t="s">
        <v>24</v>
      </c>
      <c r="D556" s="398"/>
      <c r="E556" s="398"/>
      <c r="F556" s="494"/>
      <c r="G556" s="398">
        <f t="shared" si="180"/>
        <v>0</v>
      </c>
      <c r="H556" s="398">
        <f t="shared" si="181"/>
        <v>0</v>
      </c>
      <c r="I556" s="399"/>
      <c r="J556" s="362" t="s">
        <v>38</v>
      </c>
      <c r="K556" s="362" t="s">
        <v>402</v>
      </c>
      <c r="L556" s="362" t="s">
        <v>112</v>
      </c>
      <c r="M556" s="362" t="s">
        <v>144</v>
      </c>
      <c r="N556" s="362"/>
      <c r="P556" s="371"/>
    </row>
    <row r="557" spans="1:16" s="385" customFormat="1" ht="14" outlineLevel="2">
      <c r="A557" s="388">
        <v>2</v>
      </c>
      <c r="B557" s="488" t="s">
        <v>59</v>
      </c>
      <c r="C557" s="390"/>
      <c r="D557" s="391"/>
      <c r="E557" s="391"/>
      <c r="F557" s="391"/>
      <c r="G557" s="391"/>
      <c r="H557" s="391"/>
      <c r="I557" s="526"/>
      <c r="J557" s="383"/>
      <c r="K557" s="383"/>
      <c r="L557" s="383"/>
      <c r="M557" s="383"/>
      <c r="N557" s="383"/>
      <c r="P557" s="386"/>
    </row>
    <row r="558" spans="1:16" s="372" customFormat="1" ht="14" outlineLevel="3">
      <c r="A558" s="405" t="s">
        <v>8</v>
      </c>
      <c r="B558" s="490" t="s">
        <v>162</v>
      </c>
      <c r="C558" s="397" t="s">
        <v>24</v>
      </c>
      <c r="D558" s="398"/>
      <c r="E558" s="398"/>
      <c r="F558" s="499"/>
      <c r="G558" s="398">
        <f t="shared" ref="G558:G562" si="182">F558*D558</f>
        <v>0</v>
      </c>
      <c r="H558" s="398">
        <f t="shared" ref="H558:H562" si="183">F558*E558</f>
        <v>0</v>
      </c>
      <c r="I558" s="399"/>
      <c r="J558" s="362" t="s">
        <v>38</v>
      </c>
      <c r="K558" s="362" t="s">
        <v>402</v>
      </c>
      <c r="L558" s="362" t="s">
        <v>112</v>
      </c>
      <c r="M558" s="362" t="s">
        <v>144</v>
      </c>
      <c r="N558" s="362"/>
      <c r="P558" s="371"/>
    </row>
    <row r="559" spans="1:16" s="372" customFormat="1" ht="14" outlineLevel="3">
      <c r="A559" s="405" t="s">
        <v>8</v>
      </c>
      <c r="B559" s="490" t="s">
        <v>235</v>
      </c>
      <c r="C559" s="397" t="s">
        <v>24</v>
      </c>
      <c r="D559" s="398"/>
      <c r="E559" s="398"/>
      <c r="F559" s="398"/>
      <c r="G559" s="398">
        <f t="shared" si="182"/>
        <v>0</v>
      </c>
      <c r="H559" s="398">
        <f t="shared" si="183"/>
        <v>0</v>
      </c>
      <c r="I559" s="399"/>
      <c r="J559" s="362" t="s">
        <v>38</v>
      </c>
      <c r="K559" s="362" t="s">
        <v>402</v>
      </c>
      <c r="L559" s="362" t="s">
        <v>112</v>
      </c>
      <c r="M559" s="362" t="s">
        <v>144</v>
      </c>
      <c r="N559" s="362"/>
      <c r="P559" s="371"/>
    </row>
    <row r="560" spans="1:16" s="372" customFormat="1" ht="14" outlineLevel="3">
      <c r="A560" s="405" t="s">
        <v>8</v>
      </c>
      <c r="B560" s="490" t="s">
        <v>196</v>
      </c>
      <c r="C560" s="397" t="s">
        <v>24</v>
      </c>
      <c r="D560" s="398"/>
      <c r="E560" s="398"/>
      <c r="F560" s="500"/>
      <c r="G560" s="398">
        <f t="shared" si="182"/>
        <v>0</v>
      </c>
      <c r="H560" s="398">
        <f t="shared" si="183"/>
        <v>0</v>
      </c>
      <c r="I560" s="399"/>
      <c r="J560" s="362" t="s">
        <v>38</v>
      </c>
      <c r="K560" s="362" t="s">
        <v>402</v>
      </c>
      <c r="L560" s="362" t="s">
        <v>112</v>
      </c>
      <c r="M560" s="362" t="s">
        <v>144</v>
      </c>
      <c r="N560" s="362"/>
      <c r="P560" s="371"/>
    </row>
    <row r="561" spans="1:16" s="372" customFormat="1" ht="14" outlineLevel="3">
      <c r="A561" s="405" t="s">
        <v>8</v>
      </c>
      <c r="B561" s="501" t="s">
        <v>266</v>
      </c>
      <c r="C561" s="397" t="s">
        <v>9</v>
      </c>
      <c r="D561" s="398"/>
      <c r="E561" s="398"/>
      <c r="F561" s="398"/>
      <c r="G561" s="398">
        <f t="shared" si="182"/>
        <v>0</v>
      </c>
      <c r="H561" s="398">
        <f t="shared" si="183"/>
        <v>0</v>
      </c>
      <c r="I561" s="399"/>
      <c r="J561" s="362" t="s">
        <v>38</v>
      </c>
      <c r="K561" s="362" t="s">
        <v>402</v>
      </c>
      <c r="L561" s="362" t="s">
        <v>112</v>
      </c>
      <c r="M561" s="362" t="s">
        <v>144</v>
      </c>
      <c r="N561" s="362"/>
      <c r="P561" s="371"/>
    </row>
    <row r="562" spans="1:16" s="372" customFormat="1" ht="14" outlineLevel="3">
      <c r="A562" s="405" t="s">
        <v>8</v>
      </c>
      <c r="B562" s="490" t="s">
        <v>267</v>
      </c>
      <c r="C562" s="397" t="s">
        <v>9</v>
      </c>
      <c r="D562" s="502"/>
      <c r="E562" s="502"/>
      <c r="F562" s="503"/>
      <c r="G562" s="398">
        <f t="shared" si="182"/>
        <v>0</v>
      </c>
      <c r="H562" s="398">
        <f t="shared" si="183"/>
        <v>0</v>
      </c>
      <c r="I562" s="399"/>
      <c r="J562" s="362" t="s">
        <v>38</v>
      </c>
      <c r="K562" s="362" t="s">
        <v>402</v>
      </c>
      <c r="L562" s="362" t="s">
        <v>112</v>
      </c>
      <c r="M562" s="362" t="s">
        <v>144</v>
      </c>
      <c r="N562" s="362"/>
      <c r="P562" s="371"/>
    </row>
    <row r="563" spans="1:16" s="385" customFormat="1" ht="14" outlineLevel="2">
      <c r="A563" s="388">
        <v>3</v>
      </c>
      <c r="B563" s="527" t="s">
        <v>35</v>
      </c>
      <c r="C563" s="390"/>
      <c r="D563" s="391"/>
      <c r="E563" s="391"/>
      <c r="F563" s="391"/>
      <c r="G563" s="391"/>
      <c r="H563" s="391"/>
      <c r="I563" s="392"/>
      <c r="J563" s="383"/>
      <c r="K563" s="383"/>
      <c r="L563" s="383"/>
      <c r="M563" s="383"/>
      <c r="N563" s="383"/>
      <c r="P563" s="386"/>
    </row>
    <row r="564" spans="1:16" s="372" customFormat="1" ht="14" outlineLevel="4">
      <c r="A564" s="405" t="s">
        <v>8</v>
      </c>
      <c r="B564" s="396" t="s">
        <v>197</v>
      </c>
      <c r="C564" s="397" t="s">
        <v>24</v>
      </c>
      <c r="D564" s="398"/>
      <c r="E564" s="398"/>
      <c r="F564" s="398"/>
      <c r="G564" s="398">
        <f t="shared" ref="G564:G583" si="184">F564*D564</f>
        <v>0</v>
      </c>
      <c r="H564" s="398">
        <f t="shared" ref="H564:H583" si="185">F564*E564</f>
        <v>0</v>
      </c>
      <c r="I564" s="399"/>
      <c r="J564" s="362" t="s">
        <v>38</v>
      </c>
      <c r="K564" s="362" t="s">
        <v>402</v>
      </c>
      <c r="L564" s="362" t="s">
        <v>112</v>
      </c>
      <c r="M564" s="362" t="s">
        <v>144</v>
      </c>
      <c r="N564" s="362"/>
      <c r="P564" s="371"/>
    </row>
    <row r="565" spans="1:16" s="372" customFormat="1" ht="14" outlineLevel="4">
      <c r="A565" s="405" t="s">
        <v>8</v>
      </c>
      <c r="B565" s="396" t="s">
        <v>198</v>
      </c>
      <c r="C565" s="397" t="s">
        <v>24</v>
      </c>
      <c r="D565" s="398"/>
      <c r="E565" s="398"/>
      <c r="F565" s="398"/>
      <c r="G565" s="398">
        <f t="shared" si="184"/>
        <v>0</v>
      </c>
      <c r="H565" s="398">
        <f t="shared" si="185"/>
        <v>0</v>
      </c>
      <c r="I565" s="399"/>
      <c r="J565" s="362" t="s">
        <v>38</v>
      </c>
      <c r="K565" s="362" t="s">
        <v>402</v>
      </c>
      <c r="L565" s="362" t="s">
        <v>112</v>
      </c>
      <c r="M565" s="362" t="s">
        <v>144</v>
      </c>
      <c r="N565" s="362"/>
      <c r="P565" s="371"/>
    </row>
    <row r="566" spans="1:16" s="372" customFormat="1" ht="14" outlineLevel="4">
      <c r="A566" s="405" t="s">
        <v>8</v>
      </c>
      <c r="B566" s="396" t="s">
        <v>197</v>
      </c>
      <c r="C566" s="397" t="s">
        <v>24</v>
      </c>
      <c r="D566" s="398"/>
      <c r="E566" s="398"/>
      <c r="F566" s="398"/>
      <c r="G566" s="398">
        <f t="shared" si="184"/>
        <v>0</v>
      </c>
      <c r="H566" s="398">
        <f t="shared" si="185"/>
        <v>0</v>
      </c>
      <c r="I566" s="399"/>
      <c r="J566" s="362" t="s">
        <v>38</v>
      </c>
      <c r="K566" s="362" t="s">
        <v>402</v>
      </c>
      <c r="L566" s="362" t="s">
        <v>112</v>
      </c>
      <c r="M566" s="362" t="s">
        <v>144</v>
      </c>
      <c r="N566" s="362"/>
      <c r="P566" s="371"/>
    </row>
    <row r="567" spans="1:16" s="372" customFormat="1" ht="14" outlineLevel="4">
      <c r="A567" s="405" t="s">
        <v>8</v>
      </c>
      <c r="B567" s="396" t="s">
        <v>198</v>
      </c>
      <c r="C567" s="397" t="s">
        <v>24</v>
      </c>
      <c r="D567" s="398"/>
      <c r="E567" s="398"/>
      <c r="F567" s="398"/>
      <c r="G567" s="398">
        <f t="shared" si="184"/>
        <v>0</v>
      </c>
      <c r="H567" s="398">
        <f t="shared" si="185"/>
        <v>0</v>
      </c>
      <c r="I567" s="399"/>
      <c r="J567" s="362" t="s">
        <v>38</v>
      </c>
      <c r="K567" s="362" t="s">
        <v>402</v>
      </c>
      <c r="L567" s="362" t="s">
        <v>112</v>
      </c>
      <c r="M567" s="362" t="s">
        <v>144</v>
      </c>
      <c r="N567" s="362"/>
      <c r="P567" s="371"/>
    </row>
    <row r="568" spans="1:16" s="372" customFormat="1" ht="14" outlineLevel="4">
      <c r="A568" s="405" t="s">
        <v>8</v>
      </c>
      <c r="B568" s="396" t="s">
        <v>268</v>
      </c>
      <c r="C568" s="397" t="s">
        <v>24</v>
      </c>
      <c r="D568" s="398"/>
      <c r="E568" s="398"/>
      <c r="F568" s="500"/>
      <c r="G568" s="398">
        <f t="shared" si="184"/>
        <v>0</v>
      </c>
      <c r="H568" s="398">
        <f t="shared" si="185"/>
        <v>0</v>
      </c>
      <c r="I568" s="399"/>
      <c r="J568" s="362" t="s">
        <v>38</v>
      </c>
      <c r="K568" s="362" t="s">
        <v>402</v>
      </c>
      <c r="L568" s="362" t="s">
        <v>112</v>
      </c>
      <c r="M568" s="362" t="s">
        <v>144</v>
      </c>
      <c r="N568" s="362"/>
      <c r="P568" s="371"/>
    </row>
    <row r="569" spans="1:16" s="372" customFormat="1" ht="14" outlineLevel="4">
      <c r="A569" s="405" t="s">
        <v>8</v>
      </c>
      <c r="B569" s="396" t="s">
        <v>269</v>
      </c>
      <c r="C569" s="397" t="s">
        <v>24</v>
      </c>
      <c r="D569" s="398"/>
      <c r="E569" s="398"/>
      <c r="F569" s="398"/>
      <c r="G569" s="398">
        <f t="shared" si="184"/>
        <v>0</v>
      </c>
      <c r="H569" s="398">
        <f t="shared" si="185"/>
        <v>0</v>
      </c>
      <c r="I569" s="399"/>
      <c r="J569" s="362" t="s">
        <v>38</v>
      </c>
      <c r="K569" s="362" t="s">
        <v>402</v>
      </c>
      <c r="L569" s="362" t="s">
        <v>112</v>
      </c>
      <c r="M569" s="362" t="s">
        <v>144</v>
      </c>
      <c r="N569" s="362"/>
      <c r="P569" s="371"/>
    </row>
    <row r="570" spans="1:16" s="372" customFormat="1" ht="14" outlineLevel="4">
      <c r="A570" s="405" t="s">
        <v>8</v>
      </c>
      <c r="B570" s="396" t="s">
        <v>270</v>
      </c>
      <c r="C570" s="397" t="s">
        <v>9</v>
      </c>
      <c r="D570" s="398"/>
      <c r="E570" s="398"/>
      <c r="F570" s="398"/>
      <c r="G570" s="398">
        <f t="shared" si="184"/>
        <v>0</v>
      </c>
      <c r="H570" s="398">
        <f t="shared" si="185"/>
        <v>0</v>
      </c>
      <c r="I570" s="399"/>
      <c r="J570" s="362" t="s">
        <v>38</v>
      </c>
      <c r="K570" s="362" t="s">
        <v>402</v>
      </c>
      <c r="L570" s="362" t="s">
        <v>112</v>
      </c>
      <c r="M570" s="362" t="s">
        <v>144</v>
      </c>
      <c r="N570" s="362"/>
      <c r="P570" s="371"/>
    </row>
    <row r="571" spans="1:16" s="372" customFormat="1" ht="14" outlineLevel="4">
      <c r="A571" s="405" t="s">
        <v>8</v>
      </c>
      <c r="B571" s="396" t="s">
        <v>199</v>
      </c>
      <c r="C571" s="397" t="s">
        <v>24</v>
      </c>
      <c r="D571" s="398"/>
      <c r="E571" s="398"/>
      <c r="F571" s="398"/>
      <c r="G571" s="398">
        <f t="shared" si="184"/>
        <v>0</v>
      </c>
      <c r="H571" s="398">
        <f t="shared" si="185"/>
        <v>0</v>
      </c>
      <c r="I571" s="399"/>
      <c r="J571" s="362" t="s">
        <v>38</v>
      </c>
      <c r="K571" s="362" t="s">
        <v>402</v>
      </c>
      <c r="L571" s="362" t="s">
        <v>112</v>
      </c>
      <c r="M571" s="362" t="s">
        <v>144</v>
      </c>
      <c r="N571" s="362"/>
      <c r="P571" s="371"/>
    </row>
    <row r="572" spans="1:16" s="372" customFormat="1" ht="14" outlineLevel="4">
      <c r="A572" s="405" t="s">
        <v>8</v>
      </c>
      <c r="B572" s="396" t="s">
        <v>200</v>
      </c>
      <c r="C572" s="397" t="s">
        <v>24</v>
      </c>
      <c r="D572" s="398"/>
      <c r="E572" s="398"/>
      <c r="F572" s="398"/>
      <c r="G572" s="398">
        <f t="shared" si="184"/>
        <v>0</v>
      </c>
      <c r="H572" s="398">
        <f t="shared" si="185"/>
        <v>0</v>
      </c>
      <c r="I572" s="399"/>
      <c r="J572" s="362" t="s">
        <v>38</v>
      </c>
      <c r="K572" s="362" t="s">
        <v>402</v>
      </c>
      <c r="L572" s="362" t="s">
        <v>112</v>
      </c>
      <c r="M572" s="362" t="s">
        <v>144</v>
      </c>
      <c r="N572" s="362"/>
      <c r="P572" s="371"/>
    </row>
    <row r="573" spans="1:16" s="372" customFormat="1" ht="14" outlineLevel="4">
      <c r="A573" s="405" t="s">
        <v>8</v>
      </c>
      <c r="B573" s="490" t="s">
        <v>271</v>
      </c>
      <c r="C573" s="397" t="s">
        <v>24</v>
      </c>
      <c r="D573" s="398"/>
      <c r="E573" s="398"/>
      <c r="F573" s="533"/>
      <c r="G573" s="398">
        <f t="shared" si="184"/>
        <v>0</v>
      </c>
      <c r="H573" s="398">
        <f t="shared" si="185"/>
        <v>0</v>
      </c>
      <c r="I573" s="399"/>
      <c r="J573" s="362" t="s">
        <v>38</v>
      </c>
      <c r="K573" s="362" t="s">
        <v>402</v>
      </c>
      <c r="L573" s="362" t="s">
        <v>112</v>
      </c>
      <c r="M573" s="362" t="s">
        <v>144</v>
      </c>
      <c r="N573" s="362"/>
      <c r="P573" s="371"/>
    </row>
    <row r="574" spans="1:16" s="372" customFormat="1" ht="14" outlineLevel="4">
      <c r="A574" s="405" t="s">
        <v>8</v>
      </c>
      <c r="B574" s="396" t="s">
        <v>272</v>
      </c>
      <c r="C574" s="397" t="s">
        <v>24</v>
      </c>
      <c r="D574" s="398"/>
      <c r="E574" s="398"/>
      <c r="F574" s="398"/>
      <c r="G574" s="398">
        <f t="shared" si="184"/>
        <v>0</v>
      </c>
      <c r="H574" s="398">
        <f t="shared" si="185"/>
        <v>0</v>
      </c>
      <c r="I574" s="399"/>
      <c r="J574" s="362" t="s">
        <v>38</v>
      </c>
      <c r="K574" s="362" t="s">
        <v>402</v>
      </c>
      <c r="L574" s="362" t="s">
        <v>112</v>
      </c>
      <c r="M574" s="362" t="s">
        <v>144</v>
      </c>
      <c r="N574" s="362"/>
      <c r="P574" s="371"/>
    </row>
    <row r="575" spans="1:16" s="372" customFormat="1" ht="14" outlineLevel="4">
      <c r="A575" s="405" t="s">
        <v>8</v>
      </c>
      <c r="B575" s="509" t="s">
        <v>273</v>
      </c>
      <c r="C575" s="397" t="s">
        <v>9</v>
      </c>
      <c r="D575" s="398"/>
      <c r="E575" s="398"/>
      <c r="F575" s="398"/>
      <c r="G575" s="398">
        <f t="shared" si="184"/>
        <v>0</v>
      </c>
      <c r="H575" s="398">
        <f t="shared" si="185"/>
        <v>0</v>
      </c>
      <c r="I575" s="399"/>
      <c r="J575" s="362" t="s">
        <v>38</v>
      </c>
      <c r="K575" s="362" t="s">
        <v>402</v>
      </c>
      <c r="L575" s="362" t="s">
        <v>112</v>
      </c>
      <c r="M575" s="362" t="s">
        <v>144</v>
      </c>
      <c r="N575" s="362"/>
      <c r="P575" s="371"/>
    </row>
    <row r="576" spans="1:16" s="372" customFormat="1" ht="14" outlineLevel="4">
      <c r="A576" s="405" t="s">
        <v>8</v>
      </c>
      <c r="B576" s="490" t="s">
        <v>201</v>
      </c>
      <c r="C576" s="397" t="s">
        <v>24</v>
      </c>
      <c r="D576" s="398"/>
      <c r="E576" s="398"/>
      <c r="F576" s="398"/>
      <c r="G576" s="398">
        <f t="shared" si="184"/>
        <v>0</v>
      </c>
      <c r="H576" s="398">
        <f t="shared" si="185"/>
        <v>0</v>
      </c>
      <c r="I576" s="399"/>
      <c r="J576" s="362" t="s">
        <v>38</v>
      </c>
      <c r="K576" s="362" t="s">
        <v>402</v>
      </c>
      <c r="L576" s="362" t="s">
        <v>112</v>
      </c>
      <c r="M576" s="362" t="s">
        <v>144</v>
      </c>
      <c r="N576" s="362"/>
      <c r="P576" s="371"/>
    </row>
    <row r="577" spans="1:16" s="372" customFormat="1" ht="14" outlineLevel="4">
      <c r="A577" s="405" t="s">
        <v>8</v>
      </c>
      <c r="B577" s="396" t="s">
        <v>207</v>
      </c>
      <c r="C577" s="397" t="s">
        <v>24</v>
      </c>
      <c r="D577" s="398"/>
      <c r="E577" s="398"/>
      <c r="F577" s="398"/>
      <c r="G577" s="398">
        <f t="shared" si="184"/>
        <v>0</v>
      </c>
      <c r="H577" s="398">
        <f t="shared" si="185"/>
        <v>0</v>
      </c>
      <c r="I577" s="399"/>
      <c r="J577" s="362" t="s">
        <v>38</v>
      </c>
      <c r="K577" s="362" t="s">
        <v>402</v>
      </c>
      <c r="L577" s="362" t="s">
        <v>112</v>
      </c>
      <c r="M577" s="362" t="s">
        <v>144</v>
      </c>
      <c r="N577" s="362"/>
      <c r="P577" s="371"/>
    </row>
    <row r="578" spans="1:16" s="372" customFormat="1" ht="14" outlineLevel="4">
      <c r="A578" s="405" t="s">
        <v>8</v>
      </c>
      <c r="B578" s="509" t="s">
        <v>202</v>
      </c>
      <c r="C578" s="397" t="s">
        <v>24</v>
      </c>
      <c r="D578" s="398"/>
      <c r="E578" s="398"/>
      <c r="F578" s="504"/>
      <c r="G578" s="398">
        <f t="shared" si="184"/>
        <v>0</v>
      </c>
      <c r="H578" s="398">
        <f t="shared" si="185"/>
        <v>0</v>
      </c>
      <c r="I578" s="399"/>
      <c r="J578" s="362" t="s">
        <v>38</v>
      </c>
      <c r="K578" s="362" t="s">
        <v>402</v>
      </c>
      <c r="L578" s="362" t="s">
        <v>112</v>
      </c>
      <c r="M578" s="362" t="s">
        <v>144</v>
      </c>
      <c r="N578" s="362"/>
      <c r="P578" s="371"/>
    </row>
    <row r="579" spans="1:16" s="372" customFormat="1" ht="14" outlineLevel="4">
      <c r="A579" s="405" t="s">
        <v>8</v>
      </c>
      <c r="B579" s="509" t="s">
        <v>203</v>
      </c>
      <c r="C579" s="397" t="s">
        <v>24</v>
      </c>
      <c r="D579" s="398"/>
      <c r="E579" s="398"/>
      <c r="F579" s="528"/>
      <c r="G579" s="398">
        <f t="shared" si="184"/>
        <v>0</v>
      </c>
      <c r="H579" s="398">
        <f t="shared" si="185"/>
        <v>0</v>
      </c>
      <c r="I579" s="399"/>
      <c r="J579" s="362" t="s">
        <v>38</v>
      </c>
      <c r="K579" s="362" t="s">
        <v>402</v>
      </c>
      <c r="L579" s="362" t="s">
        <v>112</v>
      </c>
      <c r="M579" s="362" t="s">
        <v>144</v>
      </c>
      <c r="N579" s="362"/>
      <c r="P579" s="371"/>
    </row>
    <row r="580" spans="1:16" s="372" customFormat="1" ht="14" outlineLevel="4">
      <c r="A580" s="405" t="s">
        <v>8</v>
      </c>
      <c r="B580" s="509" t="s">
        <v>278</v>
      </c>
      <c r="C580" s="397" t="s">
        <v>24</v>
      </c>
      <c r="D580" s="398"/>
      <c r="E580" s="398"/>
      <c r="F580" s="398"/>
      <c r="G580" s="398">
        <f t="shared" si="184"/>
        <v>0</v>
      </c>
      <c r="H580" s="398">
        <f t="shared" si="185"/>
        <v>0</v>
      </c>
      <c r="I580" s="399"/>
      <c r="J580" s="362" t="s">
        <v>38</v>
      </c>
      <c r="K580" s="362" t="s">
        <v>402</v>
      </c>
      <c r="L580" s="362" t="s">
        <v>112</v>
      </c>
      <c r="M580" s="362" t="s">
        <v>144</v>
      </c>
      <c r="N580" s="362"/>
      <c r="P580" s="371"/>
    </row>
    <row r="581" spans="1:16" s="372" customFormat="1" ht="14" outlineLevel="4">
      <c r="A581" s="405" t="s">
        <v>8</v>
      </c>
      <c r="B581" s="509" t="s">
        <v>142</v>
      </c>
      <c r="C581" s="397" t="s">
        <v>24</v>
      </c>
      <c r="D581" s="398"/>
      <c r="E581" s="398"/>
      <c r="F581" s="504"/>
      <c r="G581" s="398">
        <f t="shared" si="184"/>
        <v>0</v>
      </c>
      <c r="H581" s="398">
        <f t="shared" si="185"/>
        <v>0</v>
      </c>
      <c r="I581" s="399"/>
      <c r="J581" s="362" t="s">
        <v>38</v>
      </c>
      <c r="K581" s="362" t="s">
        <v>402</v>
      </c>
      <c r="L581" s="362" t="s">
        <v>112</v>
      </c>
      <c r="M581" s="362" t="s">
        <v>144</v>
      </c>
      <c r="N581" s="362"/>
      <c r="P581" s="371"/>
    </row>
    <row r="582" spans="1:16" s="372" customFormat="1" ht="14" outlineLevel="4">
      <c r="A582" s="405" t="s">
        <v>8</v>
      </c>
      <c r="B582" s="509" t="s">
        <v>143</v>
      </c>
      <c r="C582" s="397" t="s">
        <v>24</v>
      </c>
      <c r="D582" s="398"/>
      <c r="E582" s="398"/>
      <c r="F582" s="398"/>
      <c r="G582" s="398">
        <f t="shared" si="184"/>
        <v>0</v>
      </c>
      <c r="H582" s="398">
        <f t="shared" si="185"/>
        <v>0</v>
      </c>
      <c r="I582" s="399"/>
      <c r="J582" s="362" t="s">
        <v>38</v>
      </c>
      <c r="K582" s="362" t="s">
        <v>402</v>
      </c>
      <c r="L582" s="362" t="s">
        <v>112</v>
      </c>
      <c r="M582" s="362" t="s">
        <v>144</v>
      </c>
      <c r="N582" s="362"/>
      <c r="P582" s="371"/>
    </row>
    <row r="583" spans="1:16" s="372" customFormat="1" ht="14" outlineLevel="4">
      <c r="A583" s="405" t="s">
        <v>8</v>
      </c>
      <c r="B583" s="509" t="s">
        <v>204</v>
      </c>
      <c r="C583" s="397" t="s">
        <v>9</v>
      </c>
      <c r="D583" s="398"/>
      <c r="E583" s="398"/>
      <c r="F583" s="398"/>
      <c r="G583" s="398">
        <f t="shared" si="184"/>
        <v>0</v>
      </c>
      <c r="H583" s="398">
        <f t="shared" si="185"/>
        <v>0</v>
      </c>
      <c r="I583" s="399"/>
      <c r="J583" s="362" t="s">
        <v>38</v>
      </c>
      <c r="K583" s="362" t="s">
        <v>402</v>
      </c>
      <c r="L583" s="362" t="s">
        <v>112</v>
      </c>
      <c r="M583" s="362" t="s">
        <v>144</v>
      </c>
      <c r="N583" s="362"/>
      <c r="P583" s="371"/>
    </row>
    <row r="584" spans="1:16" s="416" customFormat="1" ht="14" outlineLevel="2">
      <c r="A584" s="405" t="s">
        <v>8</v>
      </c>
      <c r="B584" s="523" t="s">
        <v>600</v>
      </c>
      <c r="C584" s="397" t="s">
        <v>9</v>
      </c>
      <c r="D584" s="502"/>
      <c r="E584" s="398"/>
      <c r="F584" s="398"/>
      <c r="G584" s="398">
        <f t="shared" ref="G584:G585" si="186">F584*D584</f>
        <v>0</v>
      </c>
      <c r="H584" s="398">
        <f t="shared" ref="H584:H585" si="187">F584*E584</f>
        <v>0</v>
      </c>
      <c r="I584" s="399"/>
      <c r="J584" s="362" t="s">
        <v>38</v>
      </c>
      <c r="K584" s="411" t="s">
        <v>402</v>
      </c>
      <c r="L584" s="411" t="s">
        <v>112</v>
      </c>
      <c r="M584" s="411"/>
      <c r="N584" s="411"/>
      <c r="P584" s="417"/>
    </row>
    <row r="585" spans="1:16" s="416" customFormat="1" ht="14" outlineLevel="2">
      <c r="A585" s="405">
        <v>4</v>
      </c>
      <c r="B585" s="415"/>
      <c r="C585" s="397" t="s">
        <v>9</v>
      </c>
      <c r="D585" s="398"/>
      <c r="E585" s="398"/>
      <c r="F585" s="398"/>
      <c r="G585" s="398">
        <f t="shared" si="186"/>
        <v>0</v>
      </c>
      <c r="H585" s="398">
        <f t="shared" si="187"/>
        <v>0</v>
      </c>
      <c r="I585" s="399"/>
      <c r="J585" s="362" t="s">
        <v>38</v>
      </c>
      <c r="K585" s="411" t="s">
        <v>402</v>
      </c>
      <c r="L585" s="411" t="s">
        <v>112</v>
      </c>
      <c r="M585" s="411"/>
      <c r="N585" s="411"/>
      <c r="P585" s="417"/>
    </row>
    <row r="586" spans="1:16" s="372" customFormat="1" ht="14" outlineLevel="4">
      <c r="A586" s="405" t="s">
        <v>413</v>
      </c>
      <c r="B586" s="521" t="s">
        <v>467</v>
      </c>
      <c r="C586" s="397" t="s">
        <v>9</v>
      </c>
      <c r="D586" s="398"/>
      <c r="E586" s="398"/>
      <c r="F586" s="398"/>
      <c r="G586" s="398">
        <f>SUBTOTAL(9,G587:G597)</f>
        <v>79468</v>
      </c>
      <c r="H586" s="398">
        <f>SUBTOTAL(9,H587:H597)</f>
        <v>85836.799999999988</v>
      </c>
      <c r="I586" s="399"/>
      <c r="J586" s="362"/>
      <c r="K586" s="362"/>
      <c r="L586" s="362"/>
      <c r="M586" s="362"/>
      <c r="N586" s="362"/>
      <c r="P586" s="371"/>
    </row>
    <row r="587" spans="1:16" s="372" customFormat="1" ht="14" outlineLevel="4">
      <c r="A587" s="405" t="s">
        <v>8</v>
      </c>
      <c r="B587" s="396" t="s">
        <v>468</v>
      </c>
      <c r="C587" s="397" t="s">
        <v>24</v>
      </c>
      <c r="D587" s="398">
        <v>9</v>
      </c>
      <c r="E587" s="398">
        <v>11</v>
      </c>
      <c r="F587" s="534">
        <v>3000</v>
      </c>
      <c r="G587" s="398">
        <f t="shared" ref="G587:G597" si="188">F587*D587</f>
        <v>27000</v>
      </c>
      <c r="H587" s="398">
        <f t="shared" ref="H587:H597" si="189">F587*E587</f>
        <v>33000</v>
      </c>
      <c r="I587" s="399"/>
      <c r="J587" s="362" t="s">
        <v>38</v>
      </c>
      <c r="K587" s="362" t="s">
        <v>258</v>
      </c>
      <c r="L587" s="362" t="s">
        <v>112</v>
      </c>
      <c r="M587" s="362" t="s">
        <v>144</v>
      </c>
      <c r="N587" s="362"/>
      <c r="P587" s="371"/>
    </row>
    <row r="588" spans="1:16" s="372" customFormat="1" ht="14" outlineLevel="4">
      <c r="A588" s="405" t="s">
        <v>8</v>
      </c>
      <c r="B588" s="396" t="s">
        <v>469</v>
      </c>
      <c r="C588" s="397" t="s">
        <v>470</v>
      </c>
      <c r="D588" s="398">
        <v>270</v>
      </c>
      <c r="E588" s="398">
        <v>330</v>
      </c>
      <c r="F588" s="534">
        <v>4</v>
      </c>
      <c r="G588" s="398">
        <f t="shared" si="188"/>
        <v>1080</v>
      </c>
      <c r="H588" s="398">
        <f t="shared" si="189"/>
        <v>1320</v>
      </c>
      <c r="I588" s="399"/>
      <c r="J588" s="362" t="s">
        <v>38</v>
      </c>
      <c r="K588" s="362" t="s">
        <v>258</v>
      </c>
      <c r="L588" s="362" t="s">
        <v>112</v>
      </c>
      <c r="M588" s="362" t="s">
        <v>144</v>
      </c>
      <c r="N588" s="362"/>
      <c r="P588" s="371"/>
    </row>
    <row r="589" spans="1:16" s="372" customFormat="1" ht="14" outlineLevel="4">
      <c r="A589" s="405" t="s">
        <v>8</v>
      </c>
      <c r="B589" s="396" t="s">
        <v>471</v>
      </c>
      <c r="C589" s="397" t="s">
        <v>470</v>
      </c>
      <c r="D589" s="398">
        <v>135</v>
      </c>
      <c r="E589" s="398">
        <v>165</v>
      </c>
      <c r="F589" s="534">
        <v>3</v>
      </c>
      <c r="G589" s="398">
        <f t="shared" si="188"/>
        <v>405</v>
      </c>
      <c r="H589" s="398">
        <f t="shared" si="189"/>
        <v>495</v>
      </c>
      <c r="I589" s="399"/>
      <c r="J589" s="362" t="s">
        <v>38</v>
      </c>
      <c r="K589" s="362" t="s">
        <v>258</v>
      </c>
      <c r="L589" s="362" t="s">
        <v>112</v>
      </c>
      <c r="M589" s="362" t="s">
        <v>144</v>
      </c>
      <c r="N589" s="362"/>
      <c r="P589" s="371"/>
    </row>
    <row r="590" spans="1:16" s="372" customFormat="1" ht="14" outlineLevel="4">
      <c r="A590" s="405" t="s">
        <v>8</v>
      </c>
      <c r="B590" s="490" t="s">
        <v>472</v>
      </c>
      <c r="C590" s="397" t="s">
        <v>473</v>
      </c>
      <c r="D590" s="398">
        <v>3</v>
      </c>
      <c r="E590" s="398">
        <v>3</v>
      </c>
      <c r="F590" s="397">
        <v>130</v>
      </c>
      <c r="G590" s="398">
        <f t="shared" si="188"/>
        <v>390</v>
      </c>
      <c r="H590" s="398">
        <f t="shared" si="189"/>
        <v>390</v>
      </c>
      <c r="I590" s="399"/>
      <c r="J590" s="362" t="s">
        <v>38</v>
      </c>
      <c r="K590" s="362" t="s">
        <v>258</v>
      </c>
      <c r="L590" s="362" t="s">
        <v>112</v>
      </c>
      <c r="M590" s="362" t="s">
        <v>144</v>
      </c>
      <c r="N590" s="362"/>
      <c r="P590" s="371"/>
    </row>
    <row r="591" spans="1:16" s="372" customFormat="1" ht="14" outlineLevel="4">
      <c r="A591" s="405" t="s">
        <v>8</v>
      </c>
      <c r="B591" s="396" t="s">
        <v>474</v>
      </c>
      <c r="C591" s="397" t="s">
        <v>475</v>
      </c>
      <c r="D591" s="398">
        <v>3</v>
      </c>
      <c r="E591" s="398">
        <v>3</v>
      </c>
      <c r="F591" s="397">
        <v>125</v>
      </c>
      <c r="G591" s="398">
        <f t="shared" si="188"/>
        <v>375</v>
      </c>
      <c r="H591" s="398">
        <f t="shared" si="189"/>
        <v>375</v>
      </c>
      <c r="I591" s="399"/>
      <c r="J591" s="362" t="s">
        <v>38</v>
      </c>
      <c r="K591" s="362" t="s">
        <v>258</v>
      </c>
      <c r="L591" s="362" t="s">
        <v>112</v>
      </c>
      <c r="M591" s="362" t="s">
        <v>144</v>
      </c>
      <c r="N591" s="362"/>
      <c r="P591" s="371"/>
    </row>
    <row r="592" spans="1:16" s="372" customFormat="1" ht="14" outlineLevel="4">
      <c r="A592" s="405" t="s">
        <v>8</v>
      </c>
      <c r="B592" s="509" t="s">
        <v>476</v>
      </c>
      <c r="C592" s="397" t="s">
        <v>477</v>
      </c>
      <c r="D592" s="398">
        <v>18</v>
      </c>
      <c r="E592" s="398">
        <v>22</v>
      </c>
      <c r="F592" s="535">
        <v>9.6999999999999993</v>
      </c>
      <c r="G592" s="398">
        <f t="shared" si="188"/>
        <v>174.6</v>
      </c>
      <c r="H592" s="398">
        <f t="shared" si="189"/>
        <v>213.39999999999998</v>
      </c>
      <c r="I592" s="399"/>
      <c r="J592" s="362" t="s">
        <v>38</v>
      </c>
      <c r="K592" s="362" t="s">
        <v>258</v>
      </c>
      <c r="L592" s="362" t="s">
        <v>112</v>
      </c>
      <c r="M592" s="362" t="s">
        <v>144</v>
      </c>
      <c r="N592" s="362"/>
      <c r="P592" s="371"/>
    </row>
    <row r="593" spans="1:16" s="372" customFormat="1" ht="14" outlineLevel="4">
      <c r="A593" s="405" t="s">
        <v>8</v>
      </c>
      <c r="B593" s="509" t="s">
        <v>478</v>
      </c>
      <c r="C593" s="397" t="s">
        <v>464</v>
      </c>
      <c r="D593" s="398">
        <v>5</v>
      </c>
      <c r="E593" s="398">
        <v>5</v>
      </c>
      <c r="F593" s="535">
        <v>3.6</v>
      </c>
      <c r="G593" s="398">
        <f t="shared" si="188"/>
        <v>18</v>
      </c>
      <c r="H593" s="398">
        <f t="shared" si="189"/>
        <v>18</v>
      </c>
      <c r="I593" s="399"/>
      <c r="J593" s="362" t="s">
        <v>38</v>
      </c>
      <c r="K593" s="362" t="s">
        <v>258</v>
      </c>
      <c r="L593" s="362" t="s">
        <v>112</v>
      </c>
      <c r="M593" s="362" t="s">
        <v>144</v>
      </c>
      <c r="N593" s="362"/>
      <c r="P593" s="371"/>
    </row>
    <row r="594" spans="1:16" s="372" customFormat="1" ht="14" outlineLevel="4">
      <c r="A594" s="405" t="s">
        <v>8</v>
      </c>
      <c r="B594" s="509" t="s">
        <v>479</v>
      </c>
      <c r="C594" s="397" t="s">
        <v>464</v>
      </c>
      <c r="D594" s="398">
        <v>5</v>
      </c>
      <c r="E594" s="398">
        <v>5</v>
      </c>
      <c r="F594" s="535">
        <v>3.8</v>
      </c>
      <c r="G594" s="398">
        <f t="shared" si="188"/>
        <v>19</v>
      </c>
      <c r="H594" s="398">
        <f t="shared" si="189"/>
        <v>19</v>
      </c>
      <c r="I594" s="399"/>
      <c r="J594" s="362" t="s">
        <v>38</v>
      </c>
      <c r="K594" s="362" t="s">
        <v>258</v>
      </c>
      <c r="L594" s="362" t="s">
        <v>112</v>
      </c>
      <c r="M594" s="362" t="s">
        <v>144</v>
      </c>
      <c r="N594" s="362"/>
      <c r="P594" s="371"/>
    </row>
    <row r="595" spans="1:16" s="372" customFormat="1" ht="14" outlineLevel="4">
      <c r="A595" s="405" t="s">
        <v>8</v>
      </c>
      <c r="B595" s="509" t="s">
        <v>480</v>
      </c>
      <c r="C595" s="397" t="s">
        <v>477</v>
      </c>
      <c r="D595" s="398">
        <v>8</v>
      </c>
      <c r="E595" s="398">
        <v>8</v>
      </c>
      <c r="F595" s="535">
        <v>0.4</v>
      </c>
      <c r="G595" s="398">
        <f t="shared" si="188"/>
        <v>3.2</v>
      </c>
      <c r="H595" s="398">
        <f t="shared" si="189"/>
        <v>3.2</v>
      </c>
      <c r="I595" s="399"/>
      <c r="J595" s="362" t="s">
        <v>38</v>
      </c>
      <c r="K595" s="362" t="s">
        <v>258</v>
      </c>
      <c r="L595" s="362" t="s">
        <v>112</v>
      </c>
      <c r="M595" s="362" t="s">
        <v>144</v>
      </c>
      <c r="N595" s="362"/>
      <c r="P595" s="371"/>
    </row>
    <row r="596" spans="1:16" s="372" customFormat="1" ht="14" outlineLevel="4">
      <c r="A596" s="405" t="s">
        <v>8</v>
      </c>
      <c r="B596" s="509" t="s">
        <v>481</v>
      </c>
      <c r="C596" s="397" t="s">
        <v>477</v>
      </c>
      <c r="D596" s="398">
        <v>8</v>
      </c>
      <c r="E596" s="398">
        <v>8</v>
      </c>
      <c r="F596" s="535">
        <v>0.4</v>
      </c>
      <c r="G596" s="398">
        <f t="shared" si="188"/>
        <v>3.2</v>
      </c>
      <c r="H596" s="398">
        <f t="shared" si="189"/>
        <v>3.2</v>
      </c>
      <c r="I596" s="399"/>
      <c r="J596" s="362" t="s">
        <v>38</v>
      </c>
      <c r="K596" s="362" t="s">
        <v>258</v>
      </c>
      <c r="L596" s="362" t="s">
        <v>112</v>
      </c>
      <c r="M596" s="362" t="s">
        <v>144</v>
      </c>
      <c r="N596" s="362"/>
      <c r="P596" s="371"/>
    </row>
    <row r="597" spans="1:16" s="372" customFormat="1" ht="14" outlineLevel="4">
      <c r="A597" s="405" t="s">
        <v>8</v>
      </c>
      <c r="B597" s="509" t="s">
        <v>482</v>
      </c>
      <c r="C597" s="397" t="s">
        <v>9</v>
      </c>
      <c r="D597" s="398">
        <v>1</v>
      </c>
      <c r="E597" s="398">
        <v>1</v>
      </c>
      <c r="F597" s="536">
        <v>50000</v>
      </c>
      <c r="G597" s="398">
        <f t="shared" si="188"/>
        <v>50000</v>
      </c>
      <c r="H597" s="398">
        <f t="shared" si="189"/>
        <v>50000</v>
      </c>
      <c r="I597" s="399"/>
      <c r="J597" s="362" t="s">
        <v>38</v>
      </c>
      <c r="K597" s="362" t="s">
        <v>258</v>
      </c>
      <c r="L597" s="362" t="s">
        <v>112</v>
      </c>
      <c r="M597" s="362" t="s">
        <v>144</v>
      </c>
      <c r="N597" s="362"/>
      <c r="P597" s="371"/>
    </row>
    <row r="598" spans="1:16" s="372" customFormat="1" ht="14" outlineLevel="1">
      <c r="A598" s="388" t="s">
        <v>98</v>
      </c>
      <c r="B598" s="521" t="s">
        <v>483</v>
      </c>
      <c r="C598" s="390"/>
      <c r="D598" s="391"/>
      <c r="E598" s="391"/>
      <c r="F598" s="391"/>
      <c r="G598" s="391">
        <f>SUBTOTAL(9,G599:G632)</f>
        <v>0</v>
      </c>
      <c r="H598" s="391">
        <f>SUBTOTAL(9,H599:H632)</f>
        <v>0</v>
      </c>
      <c r="I598" s="526"/>
      <c r="J598" s="362"/>
      <c r="K598" s="362"/>
      <c r="L598" s="362"/>
      <c r="M598" s="362"/>
      <c r="N598" s="362"/>
      <c r="P598" s="371"/>
    </row>
    <row r="599" spans="1:16" s="372" customFormat="1" ht="14" outlineLevel="3">
      <c r="A599" s="388">
        <v>1</v>
      </c>
      <c r="B599" s="489" t="s">
        <v>541</v>
      </c>
      <c r="C599" s="397"/>
      <c r="D599" s="398"/>
      <c r="E599" s="398"/>
      <c r="F599" s="491"/>
      <c r="G599" s="398">
        <f>SUBTOTAL(9,G600:G605)</f>
        <v>0</v>
      </c>
      <c r="H599" s="398">
        <f>SUBTOTAL(9,H600:H605)</f>
        <v>0</v>
      </c>
      <c r="I599" s="399"/>
      <c r="J599" s="362"/>
      <c r="K599" s="362"/>
      <c r="L599" s="362"/>
      <c r="M599" s="362"/>
      <c r="N599" s="362"/>
      <c r="P599" s="371"/>
    </row>
    <row r="600" spans="1:16" s="372" customFormat="1" ht="14" outlineLevel="3">
      <c r="A600" s="388" t="s">
        <v>8</v>
      </c>
      <c r="B600" s="490" t="s">
        <v>193</v>
      </c>
      <c r="C600" s="397" t="s">
        <v>24</v>
      </c>
      <c r="D600" s="398"/>
      <c r="E600" s="398"/>
      <c r="F600" s="491"/>
      <c r="G600" s="398">
        <f t="shared" ref="G600:G605" si="190">F600*D600</f>
        <v>0</v>
      </c>
      <c r="H600" s="398">
        <f t="shared" ref="H600:H605" si="191">F600*E600</f>
        <v>0</v>
      </c>
      <c r="I600" s="399"/>
      <c r="J600" s="362" t="s">
        <v>38</v>
      </c>
      <c r="K600" s="362" t="s">
        <v>145</v>
      </c>
      <c r="L600" s="362" t="s">
        <v>112</v>
      </c>
      <c r="M600" s="362" t="s">
        <v>144</v>
      </c>
      <c r="N600" s="362"/>
      <c r="P600" s="371"/>
    </row>
    <row r="601" spans="1:16" s="372" customFormat="1" ht="14" outlineLevel="3">
      <c r="A601" s="405" t="s">
        <v>8</v>
      </c>
      <c r="B601" s="490" t="s">
        <v>455</v>
      </c>
      <c r="C601" s="397" t="s">
        <v>24</v>
      </c>
      <c r="D601" s="398"/>
      <c r="E601" s="398"/>
      <c r="F601" s="491"/>
      <c r="G601" s="398">
        <f t="shared" si="190"/>
        <v>0</v>
      </c>
      <c r="H601" s="398">
        <f t="shared" si="191"/>
        <v>0</v>
      </c>
      <c r="I601" s="399"/>
      <c r="J601" s="362" t="s">
        <v>38</v>
      </c>
      <c r="K601" s="362" t="s">
        <v>145</v>
      </c>
      <c r="L601" s="362" t="s">
        <v>112</v>
      </c>
      <c r="M601" s="362" t="s">
        <v>144</v>
      </c>
      <c r="N601" s="362"/>
      <c r="P601" s="371"/>
    </row>
    <row r="602" spans="1:16" s="372" customFormat="1" ht="14" outlineLevel="3">
      <c r="A602" s="405" t="s">
        <v>8</v>
      </c>
      <c r="B602" s="490" t="s">
        <v>456</v>
      </c>
      <c r="C602" s="397" t="s">
        <v>24</v>
      </c>
      <c r="D602" s="398"/>
      <c r="E602" s="398"/>
      <c r="F602" s="524"/>
      <c r="G602" s="398">
        <f t="shared" si="190"/>
        <v>0</v>
      </c>
      <c r="H602" s="398">
        <f t="shared" si="191"/>
        <v>0</v>
      </c>
      <c r="I602" s="399"/>
      <c r="J602" s="362" t="s">
        <v>38</v>
      </c>
      <c r="K602" s="362" t="s">
        <v>145</v>
      </c>
      <c r="L602" s="362" t="s">
        <v>112</v>
      </c>
      <c r="M602" s="362" t="s">
        <v>144</v>
      </c>
      <c r="N602" s="362"/>
      <c r="P602" s="497"/>
    </row>
    <row r="603" spans="1:16" s="372" customFormat="1" ht="14" outlineLevel="3">
      <c r="A603" s="405" t="s">
        <v>8</v>
      </c>
      <c r="B603" s="490" t="s">
        <v>457</v>
      </c>
      <c r="C603" s="397" t="s">
        <v>24</v>
      </c>
      <c r="D603" s="398"/>
      <c r="E603" s="398"/>
      <c r="F603" s="524"/>
      <c r="G603" s="398">
        <f t="shared" si="190"/>
        <v>0</v>
      </c>
      <c r="H603" s="398">
        <f t="shared" si="191"/>
        <v>0</v>
      </c>
      <c r="I603" s="399"/>
      <c r="J603" s="362" t="s">
        <v>38</v>
      </c>
      <c r="K603" s="362" t="s">
        <v>145</v>
      </c>
      <c r="L603" s="362" t="s">
        <v>112</v>
      </c>
      <c r="M603" s="362" t="s">
        <v>144</v>
      </c>
      <c r="N603" s="362"/>
      <c r="P603" s="371"/>
    </row>
    <row r="604" spans="1:16" s="372" customFormat="1" ht="14" outlineLevel="3">
      <c r="A604" s="405" t="s">
        <v>8</v>
      </c>
      <c r="B604" s="490" t="s">
        <v>195</v>
      </c>
      <c r="C604" s="397" t="s">
        <v>24</v>
      </c>
      <c r="D604" s="398"/>
      <c r="E604" s="398"/>
      <c r="F604" s="493"/>
      <c r="G604" s="398">
        <f t="shared" si="190"/>
        <v>0</v>
      </c>
      <c r="H604" s="398">
        <f t="shared" si="191"/>
        <v>0</v>
      </c>
      <c r="I604" s="399"/>
      <c r="J604" s="362" t="s">
        <v>38</v>
      </c>
      <c r="K604" s="362" t="s">
        <v>145</v>
      </c>
      <c r="L604" s="362" t="s">
        <v>112</v>
      </c>
      <c r="M604" s="362" t="s">
        <v>144</v>
      </c>
      <c r="N604" s="362"/>
      <c r="P604" s="371"/>
    </row>
    <row r="605" spans="1:16" s="372" customFormat="1" ht="14" outlineLevel="3">
      <c r="A605" s="405" t="s">
        <v>8</v>
      </c>
      <c r="B605" s="490" t="s">
        <v>265</v>
      </c>
      <c r="C605" s="397" t="s">
        <v>24</v>
      </c>
      <c r="D605" s="398"/>
      <c r="E605" s="398"/>
      <c r="F605" s="494"/>
      <c r="G605" s="398">
        <f t="shared" si="190"/>
        <v>0</v>
      </c>
      <c r="H605" s="398">
        <f t="shared" si="191"/>
        <v>0</v>
      </c>
      <c r="I605" s="399"/>
      <c r="J605" s="362" t="s">
        <v>38</v>
      </c>
      <c r="K605" s="362" t="s">
        <v>145</v>
      </c>
      <c r="L605" s="362" t="s">
        <v>112</v>
      </c>
      <c r="M605" s="362" t="s">
        <v>144</v>
      </c>
      <c r="N605" s="362"/>
      <c r="P605" s="371"/>
    </row>
    <row r="606" spans="1:16" s="385" customFormat="1" ht="14" outlineLevel="2">
      <c r="A606" s="388">
        <v>2</v>
      </c>
      <c r="B606" s="488" t="s">
        <v>59</v>
      </c>
      <c r="C606" s="390"/>
      <c r="D606" s="391"/>
      <c r="E606" s="391"/>
      <c r="F606" s="391"/>
      <c r="G606" s="391"/>
      <c r="H606" s="391"/>
      <c r="I606" s="526"/>
      <c r="J606" s="383"/>
      <c r="K606" s="383"/>
      <c r="L606" s="383"/>
      <c r="M606" s="383"/>
      <c r="N606" s="383"/>
      <c r="P606" s="386"/>
    </row>
    <row r="607" spans="1:16" s="372" customFormat="1" ht="14" outlineLevel="3">
      <c r="A607" s="405" t="s">
        <v>8</v>
      </c>
      <c r="B607" s="490" t="s">
        <v>162</v>
      </c>
      <c r="C607" s="397" t="s">
        <v>24</v>
      </c>
      <c r="D607" s="398"/>
      <c r="E607" s="398"/>
      <c r="F607" s="499"/>
      <c r="G607" s="398">
        <f t="shared" ref="G607:G611" si="192">F607*D607</f>
        <v>0</v>
      </c>
      <c r="H607" s="398">
        <f t="shared" ref="H607:H611" si="193">F607*E607</f>
        <v>0</v>
      </c>
      <c r="I607" s="399"/>
      <c r="J607" s="362" t="s">
        <v>38</v>
      </c>
      <c r="K607" s="362" t="s">
        <v>145</v>
      </c>
      <c r="L607" s="362" t="s">
        <v>112</v>
      </c>
      <c r="M607" s="362" t="s">
        <v>144</v>
      </c>
      <c r="N607" s="362"/>
      <c r="P607" s="371"/>
    </row>
    <row r="608" spans="1:16" s="372" customFormat="1" ht="14" outlineLevel="3">
      <c r="A608" s="405" t="s">
        <v>8</v>
      </c>
      <c r="B608" s="490" t="s">
        <v>235</v>
      </c>
      <c r="C608" s="397" t="s">
        <v>24</v>
      </c>
      <c r="E608" s="398"/>
      <c r="F608" s="398"/>
      <c r="G608" s="398">
        <f>F608*D609</f>
        <v>0</v>
      </c>
      <c r="H608" s="398">
        <f t="shared" si="193"/>
        <v>0</v>
      </c>
      <c r="I608" s="399"/>
      <c r="J608" s="362" t="s">
        <v>38</v>
      </c>
      <c r="K608" s="362" t="s">
        <v>145</v>
      </c>
      <c r="L608" s="362" t="s">
        <v>112</v>
      </c>
      <c r="M608" s="362" t="s">
        <v>144</v>
      </c>
      <c r="N608" s="362"/>
      <c r="P608" s="371"/>
    </row>
    <row r="609" spans="1:16" s="372" customFormat="1" ht="14" outlineLevel="3">
      <c r="A609" s="405" t="s">
        <v>8</v>
      </c>
      <c r="B609" s="490" t="s">
        <v>196</v>
      </c>
      <c r="C609" s="397" t="s">
        <v>24</v>
      </c>
      <c r="D609" s="398"/>
      <c r="E609" s="398"/>
      <c r="F609" s="500"/>
      <c r="G609" s="398">
        <f t="shared" si="192"/>
        <v>0</v>
      </c>
      <c r="H609" s="398">
        <f t="shared" si="193"/>
        <v>0</v>
      </c>
      <c r="I609" s="399"/>
      <c r="J609" s="362" t="s">
        <v>38</v>
      </c>
      <c r="K609" s="362" t="s">
        <v>145</v>
      </c>
      <c r="L609" s="362" t="s">
        <v>112</v>
      </c>
      <c r="M609" s="362" t="s">
        <v>144</v>
      </c>
      <c r="N609" s="362"/>
      <c r="P609" s="371"/>
    </row>
    <row r="610" spans="1:16" s="372" customFormat="1" ht="14" outlineLevel="3">
      <c r="A610" s="405" t="s">
        <v>8</v>
      </c>
      <c r="B610" s="501" t="s">
        <v>266</v>
      </c>
      <c r="C610" s="397" t="s">
        <v>9</v>
      </c>
      <c r="D610" s="398"/>
      <c r="E610" s="398"/>
      <c r="F610" s="398"/>
      <c r="G610" s="398">
        <f t="shared" si="192"/>
        <v>0</v>
      </c>
      <c r="H610" s="398">
        <f t="shared" si="193"/>
        <v>0</v>
      </c>
      <c r="I610" s="399"/>
      <c r="J610" s="362" t="s">
        <v>38</v>
      </c>
      <c r="K610" s="362" t="s">
        <v>145</v>
      </c>
      <c r="L610" s="362" t="s">
        <v>112</v>
      </c>
      <c r="M610" s="362" t="s">
        <v>144</v>
      </c>
      <c r="N610" s="362"/>
      <c r="P610" s="371"/>
    </row>
    <row r="611" spans="1:16" s="372" customFormat="1" ht="14" outlineLevel="3">
      <c r="A611" s="405" t="s">
        <v>8</v>
      </c>
      <c r="B611" s="490" t="s">
        <v>267</v>
      </c>
      <c r="C611" s="397" t="s">
        <v>9</v>
      </c>
      <c r="D611" s="502"/>
      <c r="E611" s="502"/>
      <c r="F611" s="503"/>
      <c r="G611" s="398">
        <f t="shared" si="192"/>
        <v>0</v>
      </c>
      <c r="H611" s="398">
        <f t="shared" si="193"/>
        <v>0</v>
      </c>
      <c r="I611" s="399"/>
      <c r="J611" s="362" t="s">
        <v>38</v>
      </c>
      <c r="K611" s="362" t="s">
        <v>145</v>
      </c>
      <c r="L611" s="362" t="s">
        <v>112</v>
      </c>
      <c r="M611" s="362" t="s">
        <v>144</v>
      </c>
      <c r="N611" s="362"/>
      <c r="P611" s="371"/>
    </row>
    <row r="612" spans="1:16" s="385" customFormat="1" ht="14" outlineLevel="2">
      <c r="A612" s="388">
        <v>3</v>
      </c>
      <c r="B612" s="527" t="s">
        <v>35</v>
      </c>
      <c r="C612" s="390"/>
      <c r="D612" s="391"/>
      <c r="E612" s="391"/>
      <c r="F612" s="391"/>
      <c r="G612" s="391">
        <f>SUBTOTAL(9,G613:G632)</f>
        <v>0</v>
      </c>
      <c r="H612" s="391">
        <f>SUBTOTAL(9,H613:H632)</f>
        <v>0</v>
      </c>
      <c r="I612" s="392"/>
      <c r="J612" s="383"/>
      <c r="K612" s="383"/>
      <c r="L612" s="383"/>
      <c r="M612" s="383"/>
      <c r="N612" s="383"/>
      <c r="P612" s="386"/>
    </row>
    <row r="613" spans="1:16" s="372" customFormat="1" ht="14" outlineLevel="4">
      <c r="A613" s="405" t="s">
        <v>8</v>
      </c>
      <c r="B613" s="396" t="s">
        <v>197</v>
      </c>
      <c r="C613" s="397" t="s">
        <v>24</v>
      </c>
      <c r="D613" s="398"/>
      <c r="E613" s="398"/>
      <c r="F613" s="398"/>
      <c r="G613" s="398">
        <f t="shared" ref="G613:G632" si="194">F613*D613</f>
        <v>0</v>
      </c>
      <c r="H613" s="398">
        <f t="shared" ref="H613:H632" si="195">F613*E613</f>
        <v>0</v>
      </c>
      <c r="I613" s="399"/>
      <c r="J613" s="362" t="s">
        <v>38</v>
      </c>
      <c r="K613" s="362" t="s">
        <v>145</v>
      </c>
      <c r="L613" s="362" t="s">
        <v>112</v>
      </c>
      <c r="M613" s="362" t="s">
        <v>144</v>
      </c>
      <c r="N613" s="362"/>
      <c r="P613" s="371"/>
    </row>
    <row r="614" spans="1:16" s="372" customFormat="1" ht="14" outlineLevel="4">
      <c r="A614" s="405" t="s">
        <v>8</v>
      </c>
      <c r="B614" s="396" t="s">
        <v>198</v>
      </c>
      <c r="C614" s="397" t="s">
        <v>24</v>
      </c>
      <c r="D614" s="398"/>
      <c r="E614" s="398"/>
      <c r="F614" s="398"/>
      <c r="G614" s="398">
        <f t="shared" si="194"/>
        <v>0</v>
      </c>
      <c r="H614" s="398">
        <f t="shared" si="195"/>
        <v>0</v>
      </c>
      <c r="I614" s="399"/>
      <c r="J614" s="362" t="s">
        <v>38</v>
      </c>
      <c r="K614" s="362" t="s">
        <v>145</v>
      </c>
      <c r="L614" s="362" t="s">
        <v>112</v>
      </c>
      <c r="M614" s="362" t="s">
        <v>144</v>
      </c>
      <c r="N614" s="362"/>
      <c r="P614" s="371"/>
    </row>
    <row r="615" spans="1:16" s="372" customFormat="1" ht="14" outlineLevel="4">
      <c r="A615" s="405" t="s">
        <v>8</v>
      </c>
      <c r="B615" s="396" t="s">
        <v>197</v>
      </c>
      <c r="C615" s="397" t="s">
        <v>24</v>
      </c>
      <c r="D615" s="398"/>
      <c r="E615" s="398"/>
      <c r="F615" s="398"/>
      <c r="G615" s="398">
        <f t="shared" si="194"/>
        <v>0</v>
      </c>
      <c r="H615" s="398">
        <f t="shared" si="195"/>
        <v>0</v>
      </c>
      <c r="I615" s="399"/>
      <c r="J615" s="362" t="s">
        <v>38</v>
      </c>
      <c r="K615" s="362" t="s">
        <v>145</v>
      </c>
      <c r="L615" s="362" t="s">
        <v>112</v>
      </c>
      <c r="M615" s="362" t="s">
        <v>144</v>
      </c>
      <c r="N615" s="362"/>
      <c r="P615" s="371"/>
    </row>
    <row r="616" spans="1:16" s="372" customFormat="1" ht="14" outlineLevel="4">
      <c r="A616" s="405" t="s">
        <v>8</v>
      </c>
      <c r="B616" s="396" t="s">
        <v>198</v>
      </c>
      <c r="C616" s="397" t="s">
        <v>24</v>
      </c>
      <c r="D616" s="398"/>
      <c r="E616" s="398"/>
      <c r="F616" s="398"/>
      <c r="G616" s="398">
        <f t="shared" si="194"/>
        <v>0</v>
      </c>
      <c r="H616" s="398">
        <f t="shared" si="195"/>
        <v>0</v>
      </c>
      <c r="I616" s="399"/>
      <c r="J616" s="362" t="s">
        <v>38</v>
      </c>
      <c r="K616" s="362" t="s">
        <v>145</v>
      </c>
      <c r="L616" s="362" t="s">
        <v>112</v>
      </c>
      <c r="M616" s="362" t="s">
        <v>144</v>
      </c>
      <c r="N616" s="362"/>
      <c r="P616" s="371"/>
    </row>
    <row r="617" spans="1:16" s="372" customFormat="1" ht="14" outlineLevel="4">
      <c r="A617" s="405" t="s">
        <v>8</v>
      </c>
      <c r="B617" s="396" t="s">
        <v>268</v>
      </c>
      <c r="C617" s="397" t="s">
        <v>24</v>
      </c>
      <c r="D617" s="398"/>
      <c r="E617" s="398"/>
      <c r="F617" s="500"/>
      <c r="G617" s="398">
        <f t="shared" si="194"/>
        <v>0</v>
      </c>
      <c r="H617" s="398">
        <f t="shared" si="195"/>
        <v>0</v>
      </c>
      <c r="I617" s="399"/>
      <c r="J617" s="362" t="s">
        <v>38</v>
      </c>
      <c r="K617" s="362" t="s">
        <v>145</v>
      </c>
      <c r="L617" s="362" t="s">
        <v>112</v>
      </c>
      <c r="M617" s="362" t="s">
        <v>144</v>
      </c>
      <c r="N617" s="362"/>
      <c r="P617" s="371"/>
    </row>
    <row r="618" spans="1:16" s="372" customFormat="1" ht="14" outlineLevel="4">
      <c r="A618" s="405" t="s">
        <v>8</v>
      </c>
      <c r="B618" s="396" t="s">
        <v>269</v>
      </c>
      <c r="C618" s="397" t="s">
        <v>24</v>
      </c>
      <c r="D618" s="398"/>
      <c r="E618" s="398"/>
      <c r="F618" s="398"/>
      <c r="G618" s="398">
        <f t="shared" si="194"/>
        <v>0</v>
      </c>
      <c r="H618" s="398">
        <f t="shared" si="195"/>
        <v>0</v>
      </c>
      <c r="I618" s="399"/>
      <c r="J618" s="362" t="s">
        <v>38</v>
      </c>
      <c r="K618" s="362" t="s">
        <v>145</v>
      </c>
      <c r="L618" s="362" t="s">
        <v>112</v>
      </c>
      <c r="M618" s="362" t="s">
        <v>144</v>
      </c>
      <c r="N618" s="362"/>
      <c r="P618" s="371"/>
    </row>
    <row r="619" spans="1:16" s="372" customFormat="1" ht="14" outlineLevel="4">
      <c r="A619" s="405" t="s">
        <v>8</v>
      </c>
      <c r="B619" s="396" t="s">
        <v>270</v>
      </c>
      <c r="C619" s="397" t="s">
        <v>9</v>
      </c>
      <c r="D619" s="398"/>
      <c r="E619" s="398"/>
      <c r="F619" s="398"/>
      <c r="G619" s="398">
        <f t="shared" si="194"/>
        <v>0</v>
      </c>
      <c r="H619" s="398">
        <f t="shared" si="195"/>
        <v>0</v>
      </c>
      <c r="I619" s="399"/>
      <c r="J619" s="362" t="s">
        <v>38</v>
      </c>
      <c r="K619" s="362" t="s">
        <v>145</v>
      </c>
      <c r="L619" s="362" t="s">
        <v>112</v>
      </c>
      <c r="M619" s="362" t="s">
        <v>144</v>
      </c>
      <c r="N619" s="362"/>
      <c r="P619" s="371"/>
    </row>
    <row r="620" spans="1:16" s="372" customFormat="1" ht="14" outlineLevel="4">
      <c r="A620" s="405" t="s">
        <v>8</v>
      </c>
      <c r="B620" s="396" t="s">
        <v>199</v>
      </c>
      <c r="C620" s="397" t="s">
        <v>24</v>
      </c>
      <c r="D620" s="398"/>
      <c r="E620" s="398"/>
      <c r="F620" s="533"/>
      <c r="G620" s="398">
        <f t="shared" si="194"/>
        <v>0</v>
      </c>
      <c r="H620" s="398">
        <f t="shared" si="195"/>
        <v>0</v>
      </c>
      <c r="I620" s="399"/>
      <c r="J620" s="362" t="s">
        <v>38</v>
      </c>
      <c r="K620" s="362" t="s">
        <v>145</v>
      </c>
      <c r="L620" s="362" t="s">
        <v>112</v>
      </c>
      <c r="M620" s="362" t="s">
        <v>144</v>
      </c>
      <c r="N620" s="362"/>
      <c r="P620" s="371"/>
    </row>
    <row r="621" spans="1:16" s="372" customFormat="1" ht="14" outlineLevel="4">
      <c r="A621" s="405" t="s">
        <v>8</v>
      </c>
      <c r="B621" s="396" t="s">
        <v>200</v>
      </c>
      <c r="C621" s="397" t="s">
        <v>24</v>
      </c>
      <c r="D621" s="398"/>
      <c r="E621" s="398"/>
      <c r="F621" s="398"/>
      <c r="G621" s="398">
        <f t="shared" si="194"/>
        <v>0</v>
      </c>
      <c r="H621" s="398">
        <f t="shared" si="195"/>
        <v>0</v>
      </c>
      <c r="I621" s="399"/>
      <c r="J621" s="362" t="s">
        <v>38</v>
      </c>
      <c r="K621" s="362" t="s">
        <v>145</v>
      </c>
      <c r="L621" s="362" t="s">
        <v>112</v>
      </c>
      <c r="M621" s="362" t="s">
        <v>144</v>
      </c>
      <c r="N621" s="362"/>
      <c r="P621" s="371"/>
    </row>
    <row r="622" spans="1:16" s="372" customFormat="1" ht="14" outlineLevel="4">
      <c r="A622" s="405" t="s">
        <v>8</v>
      </c>
      <c r="B622" s="490" t="s">
        <v>271</v>
      </c>
      <c r="C622" s="397" t="s">
        <v>24</v>
      </c>
      <c r="D622" s="398"/>
      <c r="E622" s="398"/>
      <c r="F622" s="398"/>
      <c r="G622" s="398">
        <f t="shared" si="194"/>
        <v>0</v>
      </c>
      <c r="H622" s="398">
        <f t="shared" si="195"/>
        <v>0</v>
      </c>
      <c r="I622" s="399"/>
      <c r="J622" s="362" t="s">
        <v>38</v>
      </c>
      <c r="K622" s="362" t="s">
        <v>145</v>
      </c>
      <c r="L622" s="362" t="s">
        <v>112</v>
      </c>
      <c r="M622" s="362" t="s">
        <v>144</v>
      </c>
      <c r="N622" s="362"/>
      <c r="P622" s="371"/>
    </row>
    <row r="623" spans="1:16" s="372" customFormat="1" ht="14" outlineLevel="4">
      <c r="A623" s="405" t="s">
        <v>8</v>
      </c>
      <c r="B623" s="396" t="s">
        <v>272</v>
      </c>
      <c r="C623" s="397" t="s">
        <v>24</v>
      </c>
      <c r="D623" s="398"/>
      <c r="E623" s="398"/>
      <c r="F623" s="398"/>
      <c r="G623" s="398">
        <f t="shared" si="194"/>
        <v>0</v>
      </c>
      <c r="H623" s="398">
        <f t="shared" si="195"/>
        <v>0</v>
      </c>
      <c r="I623" s="399"/>
      <c r="J623" s="362" t="s">
        <v>38</v>
      </c>
      <c r="K623" s="362" t="s">
        <v>145</v>
      </c>
      <c r="L623" s="362" t="s">
        <v>112</v>
      </c>
      <c r="M623" s="362" t="s">
        <v>144</v>
      </c>
      <c r="N623" s="362"/>
      <c r="P623" s="371"/>
    </row>
    <row r="624" spans="1:16" s="372" customFormat="1" ht="14" outlineLevel="4">
      <c r="A624" s="405" t="s">
        <v>8</v>
      </c>
      <c r="B624" s="509" t="s">
        <v>273</v>
      </c>
      <c r="C624" s="397" t="s">
        <v>9</v>
      </c>
      <c r="D624" s="398"/>
      <c r="E624" s="398"/>
      <c r="F624" s="398"/>
      <c r="G624" s="398">
        <f t="shared" si="194"/>
        <v>0</v>
      </c>
      <c r="H624" s="398">
        <f t="shared" si="195"/>
        <v>0</v>
      </c>
      <c r="I624" s="399"/>
      <c r="J624" s="362" t="s">
        <v>38</v>
      </c>
      <c r="K624" s="362" t="s">
        <v>145</v>
      </c>
      <c r="L624" s="362" t="s">
        <v>112</v>
      </c>
      <c r="M624" s="362" t="s">
        <v>144</v>
      </c>
      <c r="N624" s="362"/>
      <c r="P624" s="371"/>
    </row>
    <row r="625" spans="1:16" s="372" customFormat="1" ht="14" outlineLevel="4">
      <c r="A625" s="405" t="s">
        <v>8</v>
      </c>
      <c r="B625" s="490" t="s">
        <v>201</v>
      </c>
      <c r="C625" s="397" t="s">
        <v>24</v>
      </c>
      <c r="D625" s="398"/>
      <c r="E625" s="398"/>
      <c r="F625" s="398"/>
      <c r="G625" s="398">
        <f t="shared" si="194"/>
        <v>0</v>
      </c>
      <c r="H625" s="398">
        <f t="shared" si="195"/>
        <v>0</v>
      </c>
      <c r="I625" s="399"/>
      <c r="J625" s="362" t="s">
        <v>38</v>
      </c>
      <c r="K625" s="362" t="s">
        <v>145</v>
      </c>
      <c r="L625" s="362" t="s">
        <v>112</v>
      </c>
      <c r="M625" s="362" t="s">
        <v>144</v>
      </c>
      <c r="N625" s="362"/>
      <c r="P625" s="371"/>
    </row>
    <row r="626" spans="1:16" s="372" customFormat="1" ht="14" outlineLevel="4">
      <c r="A626" s="405" t="s">
        <v>8</v>
      </c>
      <c r="B626" s="396" t="s">
        <v>207</v>
      </c>
      <c r="C626" s="397" t="s">
        <v>24</v>
      </c>
      <c r="D626" s="398"/>
      <c r="E626" s="398"/>
      <c r="F626" s="398"/>
      <c r="G626" s="398">
        <f t="shared" si="194"/>
        <v>0</v>
      </c>
      <c r="H626" s="398">
        <f t="shared" si="195"/>
        <v>0</v>
      </c>
      <c r="I626" s="399"/>
      <c r="J626" s="362" t="s">
        <v>38</v>
      </c>
      <c r="K626" s="362" t="s">
        <v>145</v>
      </c>
      <c r="L626" s="362" t="s">
        <v>112</v>
      </c>
      <c r="M626" s="362" t="s">
        <v>144</v>
      </c>
      <c r="N626" s="362"/>
      <c r="P626" s="371"/>
    </row>
    <row r="627" spans="1:16" s="372" customFormat="1" ht="14" outlineLevel="4">
      <c r="A627" s="405" t="s">
        <v>8</v>
      </c>
      <c r="B627" s="509" t="s">
        <v>202</v>
      </c>
      <c r="C627" s="397" t="s">
        <v>24</v>
      </c>
      <c r="D627" s="398"/>
      <c r="E627" s="398"/>
      <c r="F627" s="504"/>
      <c r="G627" s="398">
        <f t="shared" si="194"/>
        <v>0</v>
      </c>
      <c r="H627" s="398">
        <f t="shared" si="195"/>
        <v>0</v>
      </c>
      <c r="I627" s="399"/>
      <c r="J627" s="362" t="s">
        <v>38</v>
      </c>
      <c r="K627" s="362" t="s">
        <v>145</v>
      </c>
      <c r="L627" s="362" t="s">
        <v>112</v>
      </c>
      <c r="M627" s="362" t="s">
        <v>144</v>
      </c>
      <c r="N627" s="362"/>
      <c r="P627" s="371"/>
    </row>
    <row r="628" spans="1:16" s="372" customFormat="1" ht="14" outlineLevel="4">
      <c r="A628" s="405" t="s">
        <v>8</v>
      </c>
      <c r="B628" s="509" t="s">
        <v>203</v>
      </c>
      <c r="C628" s="397" t="s">
        <v>24</v>
      </c>
      <c r="D628" s="398"/>
      <c r="E628" s="398"/>
      <c r="F628" s="528"/>
      <c r="G628" s="398">
        <f t="shared" si="194"/>
        <v>0</v>
      </c>
      <c r="H628" s="398">
        <f t="shared" si="195"/>
        <v>0</v>
      </c>
      <c r="I628" s="399"/>
      <c r="J628" s="362" t="s">
        <v>38</v>
      </c>
      <c r="K628" s="362" t="s">
        <v>145</v>
      </c>
      <c r="L628" s="362" t="s">
        <v>112</v>
      </c>
      <c r="M628" s="362" t="s">
        <v>144</v>
      </c>
      <c r="N628" s="362"/>
      <c r="P628" s="371"/>
    </row>
    <row r="629" spans="1:16" s="372" customFormat="1" ht="14" outlineLevel="4">
      <c r="A629" s="405" t="s">
        <v>8</v>
      </c>
      <c r="B629" s="509" t="s">
        <v>278</v>
      </c>
      <c r="C629" s="397" t="s">
        <v>24</v>
      </c>
      <c r="D629" s="398"/>
      <c r="E629" s="398"/>
      <c r="F629" s="398"/>
      <c r="G629" s="398">
        <f t="shared" si="194"/>
        <v>0</v>
      </c>
      <c r="H629" s="398">
        <f t="shared" si="195"/>
        <v>0</v>
      </c>
      <c r="I629" s="399"/>
      <c r="J629" s="362" t="s">
        <v>38</v>
      </c>
      <c r="K629" s="362" t="s">
        <v>145</v>
      </c>
      <c r="L629" s="362" t="s">
        <v>112</v>
      </c>
      <c r="M629" s="362" t="s">
        <v>144</v>
      </c>
      <c r="N629" s="362"/>
      <c r="P629" s="371"/>
    </row>
    <row r="630" spans="1:16" s="372" customFormat="1" ht="14" outlineLevel="4">
      <c r="A630" s="405" t="s">
        <v>8</v>
      </c>
      <c r="B630" s="509" t="s">
        <v>142</v>
      </c>
      <c r="C630" s="397" t="s">
        <v>24</v>
      </c>
      <c r="D630" s="398"/>
      <c r="E630" s="398"/>
      <c r="F630" s="504"/>
      <c r="G630" s="398">
        <f t="shared" si="194"/>
        <v>0</v>
      </c>
      <c r="H630" s="398">
        <f t="shared" si="195"/>
        <v>0</v>
      </c>
      <c r="I630" s="399"/>
      <c r="J630" s="362" t="s">
        <v>38</v>
      </c>
      <c r="K630" s="362" t="s">
        <v>145</v>
      </c>
      <c r="L630" s="362" t="s">
        <v>112</v>
      </c>
      <c r="M630" s="362" t="s">
        <v>144</v>
      </c>
      <c r="N630" s="362"/>
      <c r="P630" s="371"/>
    </row>
    <row r="631" spans="1:16" s="372" customFormat="1" ht="14" outlineLevel="4">
      <c r="A631" s="405" t="s">
        <v>8</v>
      </c>
      <c r="B631" s="509" t="s">
        <v>143</v>
      </c>
      <c r="C631" s="397" t="s">
        <v>24</v>
      </c>
      <c r="D631" s="398"/>
      <c r="E631" s="398"/>
      <c r="F631" s="398"/>
      <c r="G631" s="398">
        <f t="shared" si="194"/>
        <v>0</v>
      </c>
      <c r="H631" s="398">
        <f t="shared" si="195"/>
        <v>0</v>
      </c>
      <c r="I631" s="399"/>
      <c r="J631" s="362" t="s">
        <v>38</v>
      </c>
      <c r="K631" s="362" t="s">
        <v>145</v>
      </c>
      <c r="L631" s="362" t="s">
        <v>112</v>
      </c>
      <c r="M631" s="362" t="s">
        <v>144</v>
      </c>
      <c r="N631" s="362"/>
      <c r="P631" s="371"/>
    </row>
    <row r="632" spans="1:16" s="372" customFormat="1" ht="14" outlineLevel="4">
      <c r="A632" s="405" t="s">
        <v>8</v>
      </c>
      <c r="B632" s="509" t="s">
        <v>204</v>
      </c>
      <c r="C632" s="397" t="s">
        <v>9</v>
      </c>
      <c r="D632" s="398"/>
      <c r="E632" s="398"/>
      <c r="F632" s="398"/>
      <c r="G632" s="398">
        <f t="shared" si="194"/>
        <v>0</v>
      </c>
      <c r="H632" s="398">
        <f t="shared" si="195"/>
        <v>0</v>
      </c>
      <c r="I632" s="399"/>
      <c r="J632" s="362" t="s">
        <v>38</v>
      </c>
      <c r="K632" s="362" t="s">
        <v>145</v>
      </c>
      <c r="L632" s="362" t="s">
        <v>112</v>
      </c>
      <c r="M632" s="362" t="s">
        <v>144</v>
      </c>
      <c r="N632" s="362"/>
      <c r="P632" s="371"/>
    </row>
    <row r="633" spans="1:16" s="372" customFormat="1" ht="14" outlineLevel="3">
      <c r="A633" s="466" t="s">
        <v>613</v>
      </c>
      <c r="B633" s="527" t="s">
        <v>616</v>
      </c>
      <c r="C633" s="397"/>
      <c r="D633" s="398"/>
      <c r="E633" s="398"/>
      <c r="F633" s="398"/>
      <c r="G633" s="398">
        <f>SUBTOTAL(9,G634:G914)</f>
        <v>0</v>
      </c>
      <c r="H633" s="398">
        <f>SUBTOTAL(9,H634:H914)</f>
        <v>595630</v>
      </c>
      <c r="I633" s="399"/>
      <c r="J633" s="362"/>
      <c r="K633" s="362"/>
      <c r="L633" s="362"/>
      <c r="M633" s="362"/>
      <c r="N633" s="362"/>
      <c r="P633" s="371"/>
    </row>
    <row r="634" spans="1:16" s="372" customFormat="1" ht="14" outlineLevel="3">
      <c r="A634" s="466">
        <v>1</v>
      </c>
      <c r="B634" s="513" t="s">
        <v>543</v>
      </c>
      <c r="C634" s="397"/>
      <c r="D634" s="398"/>
      <c r="E634" s="398"/>
      <c r="F634" s="398"/>
      <c r="G634" s="398">
        <f>SUBTOTAL(9,G635:G636)</f>
        <v>0</v>
      </c>
      <c r="H634" s="398">
        <f>SUBTOTAL(9,H635:H636)</f>
        <v>0</v>
      </c>
      <c r="I634" s="399"/>
      <c r="J634" s="362"/>
      <c r="K634" s="362"/>
      <c r="L634" s="362"/>
      <c r="M634" s="362"/>
      <c r="N634" s="362"/>
      <c r="P634" s="371"/>
    </row>
    <row r="635" spans="1:16" s="372" customFormat="1" ht="14" outlineLevel="3">
      <c r="A635" s="466" t="s">
        <v>8</v>
      </c>
      <c r="B635" s="537" t="s">
        <v>487</v>
      </c>
      <c r="C635" s="397" t="s">
        <v>9</v>
      </c>
      <c r="D635" s="398"/>
      <c r="E635" s="398"/>
      <c r="F635" s="398"/>
      <c r="G635" s="398">
        <f t="shared" ref="G635:G636" si="196">F635*D635</f>
        <v>0</v>
      </c>
      <c r="H635" s="398">
        <f t="shared" ref="H635:H636" si="197">F635*E635</f>
        <v>0</v>
      </c>
      <c r="I635" s="399"/>
      <c r="J635" s="362" t="s">
        <v>38</v>
      </c>
      <c r="K635" s="362" t="s">
        <v>257</v>
      </c>
      <c r="L635" s="362" t="s">
        <v>112</v>
      </c>
      <c r="M635" s="362" t="s">
        <v>144</v>
      </c>
      <c r="N635" s="362"/>
      <c r="P635" s="371"/>
    </row>
    <row r="636" spans="1:16" s="372" customFormat="1" ht="14" outlineLevel="3">
      <c r="A636" s="466" t="s">
        <v>8</v>
      </c>
      <c r="B636" s="537" t="s">
        <v>486</v>
      </c>
      <c r="C636" s="397" t="s">
        <v>9</v>
      </c>
      <c r="D636" s="398"/>
      <c r="E636" s="398"/>
      <c r="F636" s="398"/>
      <c r="G636" s="398">
        <f t="shared" si="196"/>
        <v>0</v>
      </c>
      <c r="H636" s="398">
        <f t="shared" si="197"/>
        <v>0</v>
      </c>
      <c r="I636" s="399"/>
      <c r="J636" s="362" t="s">
        <v>38</v>
      </c>
      <c r="K636" s="362" t="s">
        <v>257</v>
      </c>
      <c r="L636" s="362" t="s">
        <v>112</v>
      </c>
      <c r="M636" s="362" t="s">
        <v>144</v>
      </c>
      <c r="N636" s="362"/>
      <c r="P636" s="371"/>
    </row>
    <row r="637" spans="1:16" s="372" customFormat="1" ht="14" outlineLevel="3">
      <c r="A637" s="466">
        <v>2</v>
      </c>
      <c r="B637" s="538" t="s">
        <v>1289</v>
      </c>
      <c r="C637" s="397" t="s">
        <v>9</v>
      </c>
      <c r="D637" s="398"/>
      <c r="E637" s="398"/>
      <c r="F637" s="398"/>
      <c r="G637" s="398">
        <f>SUBTOTAL(9,G638:G790)</f>
        <v>0</v>
      </c>
      <c r="H637" s="398">
        <f>SUBTOTAL(9,H638:H790)</f>
        <v>0</v>
      </c>
      <c r="I637" s="399"/>
      <c r="J637" s="362"/>
      <c r="K637" s="362"/>
      <c r="L637" s="362"/>
      <c r="M637" s="362"/>
      <c r="N637" s="362"/>
      <c r="P637" s="371"/>
    </row>
    <row r="638" spans="1:16" s="372" customFormat="1" ht="14" outlineLevel="3">
      <c r="A638" s="466">
        <v>2.1</v>
      </c>
      <c r="B638" s="539" t="s">
        <v>601</v>
      </c>
      <c r="C638" s="397"/>
      <c r="D638" s="398"/>
      <c r="E638" s="398"/>
      <c r="F638" s="540"/>
      <c r="G638" s="398">
        <f>SUBTOTAL(9,G639:G672)</f>
        <v>0</v>
      </c>
      <c r="H638" s="398">
        <f>SUBTOTAL(9,H639:H672)</f>
        <v>0</v>
      </c>
      <c r="I638" s="399"/>
      <c r="J638" s="362"/>
      <c r="K638" s="362"/>
      <c r="L638" s="362"/>
      <c r="M638" s="362"/>
      <c r="N638" s="362"/>
      <c r="P638" s="371"/>
    </row>
    <row r="639" spans="1:16" s="372" customFormat="1" ht="14" outlineLevel="3">
      <c r="A639" s="388" t="s">
        <v>603</v>
      </c>
      <c r="B639" s="489" t="s">
        <v>541</v>
      </c>
      <c r="C639" s="397"/>
      <c r="D639" s="398"/>
      <c r="E639" s="398"/>
      <c r="F639" s="491"/>
      <c r="G639" s="398"/>
      <c r="H639" s="398"/>
      <c r="I639" s="399"/>
      <c r="J639" s="362"/>
      <c r="K639" s="362"/>
      <c r="L639" s="362"/>
      <c r="M639" s="362"/>
      <c r="N639" s="362"/>
      <c r="P639" s="371"/>
    </row>
    <row r="640" spans="1:16" s="372" customFormat="1" ht="14" outlineLevel="3">
      <c r="A640" s="388" t="s">
        <v>8</v>
      </c>
      <c r="B640" s="490" t="s">
        <v>193</v>
      </c>
      <c r="C640" s="397" t="s">
        <v>24</v>
      </c>
      <c r="D640" s="398"/>
      <c r="E640" s="398"/>
      <c r="F640" s="491"/>
      <c r="G640" s="398">
        <f t="shared" ref="G640:G645" si="198">F640*D640</f>
        <v>0</v>
      </c>
      <c r="H640" s="398">
        <f t="shared" ref="H640:H645" si="199">F640*E640</f>
        <v>0</v>
      </c>
      <c r="I640" s="399"/>
      <c r="J640" s="362" t="s">
        <v>38</v>
      </c>
      <c r="K640" s="362" t="s">
        <v>257</v>
      </c>
      <c r="L640" s="362" t="s">
        <v>112</v>
      </c>
      <c r="M640" s="362" t="s">
        <v>144</v>
      </c>
      <c r="N640" s="362"/>
      <c r="P640" s="371"/>
    </row>
    <row r="641" spans="1:16" s="372" customFormat="1" ht="14" outlineLevel="3">
      <c r="A641" s="405" t="s">
        <v>8</v>
      </c>
      <c r="B641" s="490" t="s">
        <v>455</v>
      </c>
      <c r="C641" s="397" t="s">
        <v>24</v>
      </c>
      <c r="D641" s="398"/>
      <c r="E641" s="398"/>
      <c r="F641" s="491"/>
      <c r="G641" s="398">
        <f t="shared" si="198"/>
        <v>0</v>
      </c>
      <c r="H641" s="398">
        <f t="shared" si="199"/>
        <v>0</v>
      </c>
      <c r="I641" s="399"/>
      <c r="J641" s="362" t="s">
        <v>38</v>
      </c>
      <c r="K641" s="362" t="s">
        <v>257</v>
      </c>
      <c r="L641" s="362" t="s">
        <v>112</v>
      </c>
      <c r="M641" s="362" t="s">
        <v>144</v>
      </c>
      <c r="N641" s="362"/>
      <c r="P641" s="338"/>
    </row>
    <row r="642" spans="1:16" s="372" customFormat="1" ht="14" outlineLevel="3">
      <c r="A642" s="405" t="s">
        <v>8</v>
      </c>
      <c r="B642" s="490" t="s">
        <v>456</v>
      </c>
      <c r="C642" s="397" t="s">
        <v>24</v>
      </c>
      <c r="D642" s="398"/>
      <c r="E642" s="398"/>
      <c r="F642" s="524"/>
      <c r="G642" s="398">
        <f t="shared" si="198"/>
        <v>0</v>
      </c>
      <c r="H642" s="398">
        <f t="shared" si="199"/>
        <v>0</v>
      </c>
      <c r="I642" s="399"/>
      <c r="J642" s="362" t="s">
        <v>38</v>
      </c>
      <c r="K642" s="362" t="s">
        <v>257</v>
      </c>
      <c r="L642" s="362" t="s">
        <v>112</v>
      </c>
      <c r="M642" s="362" t="s">
        <v>144</v>
      </c>
      <c r="N642" s="362"/>
      <c r="P642" s="338"/>
    </row>
    <row r="643" spans="1:16" s="372" customFormat="1" ht="14" outlineLevel="3">
      <c r="A643" s="405" t="s">
        <v>8</v>
      </c>
      <c r="B643" s="490" t="s">
        <v>457</v>
      </c>
      <c r="C643" s="397" t="s">
        <v>24</v>
      </c>
      <c r="D643" s="398"/>
      <c r="E643" s="398"/>
      <c r="F643" s="524"/>
      <c r="G643" s="398">
        <f t="shared" si="198"/>
        <v>0</v>
      </c>
      <c r="H643" s="398">
        <f t="shared" si="199"/>
        <v>0</v>
      </c>
      <c r="I643" s="399"/>
      <c r="J643" s="362" t="s">
        <v>38</v>
      </c>
      <c r="K643" s="362" t="s">
        <v>257</v>
      </c>
      <c r="L643" s="362" t="s">
        <v>112</v>
      </c>
      <c r="M643" s="362" t="s">
        <v>144</v>
      </c>
      <c r="N643" s="362"/>
      <c r="P643" s="371"/>
    </row>
    <row r="644" spans="1:16" s="372" customFormat="1" ht="14" outlineLevel="3">
      <c r="A644" s="405" t="s">
        <v>8</v>
      </c>
      <c r="B644" s="490" t="s">
        <v>195</v>
      </c>
      <c r="C644" s="397" t="s">
        <v>24</v>
      </c>
      <c r="D644" s="398"/>
      <c r="E644" s="398"/>
      <c r="F644" s="493"/>
      <c r="G644" s="398">
        <f t="shared" si="198"/>
        <v>0</v>
      </c>
      <c r="H644" s="398">
        <f t="shared" si="199"/>
        <v>0</v>
      </c>
      <c r="I644" s="399"/>
      <c r="J644" s="362" t="s">
        <v>38</v>
      </c>
      <c r="K644" s="362" t="s">
        <v>257</v>
      </c>
      <c r="L644" s="362" t="s">
        <v>112</v>
      </c>
      <c r="M644" s="362" t="s">
        <v>144</v>
      </c>
      <c r="N644" s="362"/>
      <c r="P644" s="371"/>
    </row>
    <row r="645" spans="1:16" s="372" customFormat="1" ht="14" outlineLevel="3">
      <c r="A645" s="405" t="s">
        <v>8</v>
      </c>
      <c r="B645" s="490" t="s">
        <v>265</v>
      </c>
      <c r="C645" s="397" t="s">
        <v>24</v>
      </c>
      <c r="D645" s="398"/>
      <c r="E645" s="398"/>
      <c r="F645" s="494"/>
      <c r="G645" s="398">
        <f t="shared" si="198"/>
        <v>0</v>
      </c>
      <c r="H645" s="398">
        <f t="shared" si="199"/>
        <v>0</v>
      </c>
      <c r="I645" s="399"/>
      <c r="J645" s="362" t="s">
        <v>38</v>
      </c>
      <c r="K645" s="362" t="s">
        <v>257</v>
      </c>
      <c r="L645" s="362" t="s">
        <v>112</v>
      </c>
      <c r="M645" s="362" t="s">
        <v>144</v>
      </c>
      <c r="N645" s="362"/>
      <c r="P645" s="371"/>
    </row>
    <row r="646" spans="1:16" s="385" customFormat="1" ht="14" outlineLevel="2">
      <c r="A646" s="388" t="s">
        <v>604</v>
      </c>
      <c r="B646" s="488" t="s">
        <v>59</v>
      </c>
      <c r="C646" s="390"/>
      <c r="D646" s="391"/>
      <c r="E646" s="391"/>
      <c r="F646" s="391"/>
      <c r="G646" s="391">
        <f>SUBTOTAL(9,G647:G651)</f>
        <v>0</v>
      </c>
      <c r="H646" s="391">
        <f>SUBTOTAL(9,H647:H651)</f>
        <v>0</v>
      </c>
      <c r="I646" s="526"/>
      <c r="J646" s="383"/>
      <c r="K646" s="383"/>
      <c r="L646" s="383"/>
      <c r="M646" s="383"/>
      <c r="N646" s="383"/>
      <c r="P646" s="386"/>
    </row>
    <row r="647" spans="1:16" s="372" customFormat="1" ht="14" outlineLevel="3">
      <c r="A647" s="405" t="s">
        <v>8</v>
      </c>
      <c r="B647" s="490" t="s">
        <v>162</v>
      </c>
      <c r="C647" s="397" t="s">
        <v>24</v>
      </c>
      <c r="D647" s="398"/>
      <c r="E647" s="398"/>
      <c r="F647" s="499"/>
      <c r="G647" s="398">
        <f t="shared" ref="G647:G651" si="200">F647*D647</f>
        <v>0</v>
      </c>
      <c r="H647" s="398">
        <f t="shared" ref="H647:H651" si="201">F647*E647</f>
        <v>0</v>
      </c>
      <c r="I647" s="399"/>
      <c r="J647" s="362" t="s">
        <v>38</v>
      </c>
      <c r="K647" s="362" t="s">
        <v>257</v>
      </c>
      <c r="L647" s="362" t="s">
        <v>112</v>
      </c>
      <c r="M647" s="362" t="s">
        <v>144</v>
      </c>
      <c r="N647" s="362"/>
      <c r="P647" s="371"/>
    </row>
    <row r="648" spans="1:16" s="372" customFormat="1" ht="14" outlineLevel="3">
      <c r="A648" s="405" t="s">
        <v>8</v>
      </c>
      <c r="B648" s="490" t="s">
        <v>235</v>
      </c>
      <c r="C648" s="397" t="s">
        <v>24</v>
      </c>
      <c r="D648" s="398"/>
      <c r="E648" s="398"/>
      <c r="F648" s="398"/>
      <c r="G648" s="398">
        <f t="shared" si="200"/>
        <v>0</v>
      </c>
      <c r="H648" s="398">
        <f t="shared" si="201"/>
        <v>0</v>
      </c>
      <c r="I648" s="399"/>
      <c r="J648" s="362" t="s">
        <v>38</v>
      </c>
      <c r="K648" s="362" t="s">
        <v>257</v>
      </c>
      <c r="L648" s="362" t="s">
        <v>112</v>
      </c>
      <c r="M648" s="362" t="s">
        <v>144</v>
      </c>
      <c r="N648" s="362"/>
      <c r="P648" s="371"/>
    </row>
    <row r="649" spans="1:16" s="372" customFormat="1" ht="14" outlineLevel="3">
      <c r="A649" s="405" t="s">
        <v>8</v>
      </c>
      <c r="B649" s="490" t="s">
        <v>196</v>
      </c>
      <c r="C649" s="397" t="s">
        <v>24</v>
      </c>
      <c r="D649" s="398"/>
      <c r="E649" s="398"/>
      <c r="F649" s="500"/>
      <c r="G649" s="398">
        <f t="shared" si="200"/>
        <v>0</v>
      </c>
      <c r="H649" s="398">
        <f t="shared" si="201"/>
        <v>0</v>
      </c>
      <c r="I649" s="399"/>
      <c r="J649" s="362" t="s">
        <v>38</v>
      </c>
      <c r="K649" s="362" t="s">
        <v>257</v>
      </c>
      <c r="L649" s="362" t="s">
        <v>112</v>
      </c>
      <c r="M649" s="362" t="s">
        <v>144</v>
      </c>
      <c r="N649" s="362"/>
      <c r="P649" s="371"/>
    </row>
    <row r="650" spans="1:16" s="372" customFormat="1" ht="14" outlineLevel="3">
      <c r="A650" s="405" t="s">
        <v>8</v>
      </c>
      <c r="B650" s="501" t="s">
        <v>266</v>
      </c>
      <c r="C650" s="397" t="s">
        <v>9</v>
      </c>
      <c r="D650" s="398"/>
      <c r="E650" s="398"/>
      <c r="F650" s="398"/>
      <c r="G650" s="398">
        <f t="shared" si="200"/>
        <v>0</v>
      </c>
      <c r="H650" s="398">
        <f t="shared" si="201"/>
        <v>0</v>
      </c>
      <c r="I650" s="399"/>
      <c r="J650" s="362" t="s">
        <v>38</v>
      </c>
      <c r="K650" s="362" t="s">
        <v>257</v>
      </c>
      <c r="L650" s="362" t="s">
        <v>112</v>
      </c>
      <c r="M650" s="362" t="s">
        <v>144</v>
      </c>
      <c r="N650" s="362"/>
      <c r="P650" s="371"/>
    </row>
    <row r="651" spans="1:16" s="372" customFormat="1" ht="14" outlineLevel="3">
      <c r="A651" s="405" t="s">
        <v>8</v>
      </c>
      <c r="B651" s="490" t="s">
        <v>267</v>
      </c>
      <c r="C651" s="397" t="s">
        <v>9</v>
      </c>
      <c r="D651" s="502"/>
      <c r="E651" s="502"/>
      <c r="F651" s="503"/>
      <c r="G651" s="398">
        <f t="shared" si="200"/>
        <v>0</v>
      </c>
      <c r="H651" s="398">
        <f t="shared" si="201"/>
        <v>0</v>
      </c>
      <c r="I651" s="399"/>
      <c r="J651" s="362" t="s">
        <v>38</v>
      </c>
      <c r="K651" s="362" t="s">
        <v>257</v>
      </c>
      <c r="L651" s="362" t="s">
        <v>112</v>
      </c>
      <c r="M651" s="362" t="s">
        <v>144</v>
      </c>
      <c r="N651" s="362"/>
      <c r="P651" s="371"/>
    </row>
    <row r="652" spans="1:16" s="385" customFormat="1" ht="14" outlineLevel="2">
      <c r="A652" s="388" t="s">
        <v>605</v>
      </c>
      <c r="B652" s="527" t="s">
        <v>35</v>
      </c>
      <c r="C652" s="390"/>
      <c r="D652" s="391"/>
      <c r="E652" s="391"/>
      <c r="F652" s="391"/>
      <c r="G652" s="391">
        <f>SUBTOTAL(9,G653:G672)</f>
        <v>0</v>
      </c>
      <c r="H652" s="391">
        <f>SUBTOTAL(9,H653:H672)</f>
        <v>0</v>
      </c>
      <c r="I652" s="392"/>
      <c r="J652" s="383"/>
      <c r="K652" s="383"/>
      <c r="L652" s="383"/>
      <c r="M652" s="383"/>
      <c r="N652" s="383"/>
      <c r="P652" s="386"/>
    </row>
    <row r="653" spans="1:16" s="372" customFormat="1" ht="14" outlineLevel="4">
      <c r="A653" s="405" t="s">
        <v>8</v>
      </c>
      <c r="B653" s="396" t="s">
        <v>197</v>
      </c>
      <c r="C653" s="397" t="s">
        <v>24</v>
      </c>
      <c r="D653" s="398"/>
      <c r="E653" s="398"/>
      <c r="F653" s="398"/>
      <c r="G653" s="398">
        <f t="shared" ref="G653:G672" si="202">F653*D653</f>
        <v>0</v>
      </c>
      <c r="H653" s="398">
        <f t="shared" ref="H653:H672" si="203">F653*E653</f>
        <v>0</v>
      </c>
      <c r="I653" s="399"/>
      <c r="J653" s="362" t="s">
        <v>38</v>
      </c>
      <c r="K653" s="362" t="s">
        <v>257</v>
      </c>
      <c r="L653" s="362" t="s">
        <v>112</v>
      </c>
      <c r="M653" s="362" t="s">
        <v>144</v>
      </c>
      <c r="N653" s="362"/>
      <c r="P653" s="371"/>
    </row>
    <row r="654" spans="1:16" s="372" customFormat="1" ht="14" outlineLevel="4">
      <c r="A654" s="405" t="s">
        <v>8</v>
      </c>
      <c r="B654" s="396" t="s">
        <v>198</v>
      </c>
      <c r="C654" s="397" t="s">
        <v>24</v>
      </c>
      <c r="D654" s="398"/>
      <c r="E654" s="398"/>
      <c r="F654" s="398"/>
      <c r="G654" s="398">
        <f t="shared" si="202"/>
        <v>0</v>
      </c>
      <c r="H654" s="398">
        <f t="shared" si="203"/>
        <v>0</v>
      </c>
      <c r="I654" s="399"/>
      <c r="J654" s="362" t="s">
        <v>38</v>
      </c>
      <c r="K654" s="362" t="s">
        <v>257</v>
      </c>
      <c r="L654" s="362" t="s">
        <v>112</v>
      </c>
      <c r="M654" s="362" t="s">
        <v>144</v>
      </c>
      <c r="N654" s="362"/>
      <c r="P654" s="371"/>
    </row>
    <row r="655" spans="1:16" s="372" customFormat="1" ht="14" outlineLevel="4">
      <c r="A655" s="405" t="s">
        <v>8</v>
      </c>
      <c r="B655" s="396" t="s">
        <v>197</v>
      </c>
      <c r="C655" s="397" t="s">
        <v>24</v>
      </c>
      <c r="D655" s="398"/>
      <c r="E655" s="398"/>
      <c r="F655" s="398"/>
      <c r="G655" s="398">
        <f t="shared" si="202"/>
        <v>0</v>
      </c>
      <c r="H655" s="398">
        <f t="shared" si="203"/>
        <v>0</v>
      </c>
      <c r="I655" s="399"/>
      <c r="J655" s="362" t="s">
        <v>38</v>
      </c>
      <c r="K655" s="362" t="s">
        <v>257</v>
      </c>
      <c r="L655" s="362" t="s">
        <v>112</v>
      </c>
      <c r="M655" s="362" t="s">
        <v>144</v>
      </c>
      <c r="N655" s="362"/>
      <c r="P655" s="371"/>
    </row>
    <row r="656" spans="1:16" s="372" customFormat="1" ht="14" outlineLevel="4">
      <c r="A656" s="405" t="s">
        <v>8</v>
      </c>
      <c r="B656" s="396" t="s">
        <v>198</v>
      </c>
      <c r="C656" s="397" t="s">
        <v>24</v>
      </c>
      <c r="D656" s="398"/>
      <c r="E656" s="398"/>
      <c r="F656" s="398"/>
      <c r="G656" s="398">
        <f t="shared" si="202"/>
        <v>0</v>
      </c>
      <c r="H656" s="398">
        <f t="shared" si="203"/>
        <v>0</v>
      </c>
      <c r="I656" s="399"/>
      <c r="J656" s="362" t="s">
        <v>38</v>
      </c>
      <c r="K656" s="362" t="s">
        <v>257</v>
      </c>
      <c r="L656" s="362" t="s">
        <v>112</v>
      </c>
      <c r="M656" s="362" t="s">
        <v>144</v>
      </c>
      <c r="N656" s="362"/>
      <c r="P656" s="371"/>
    </row>
    <row r="657" spans="1:16" s="372" customFormat="1" ht="14" outlineLevel="4">
      <c r="A657" s="405" t="s">
        <v>8</v>
      </c>
      <c r="B657" s="396" t="s">
        <v>268</v>
      </c>
      <c r="C657" s="397" t="s">
        <v>24</v>
      </c>
      <c r="D657" s="398"/>
      <c r="E657" s="398"/>
      <c r="F657" s="398"/>
      <c r="G657" s="398">
        <f t="shared" si="202"/>
        <v>0</v>
      </c>
      <c r="H657" s="398">
        <f t="shared" si="203"/>
        <v>0</v>
      </c>
      <c r="I657" s="399"/>
      <c r="J657" s="362" t="s">
        <v>38</v>
      </c>
      <c r="K657" s="362" t="s">
        <v>257</v>
      </c>
      <c r="L657" s="362" t="s">
        <v>112</v>
      </c>
      <c r="M657" s="362" t="s">
        <v>144</v>
      </c>
      <c r="N657" s="362"/>
      <c r="P657" s="371"/>
    </row>
    <row r="658" spans="1:16" s="372" customFormat="1" ht="14" outlineLevel="4">
      <c r="A658" s="405" t="s">
        <v>8</v>
      </c>
      <c r="B658" s="396" t="s">
        <v>269</v>
      </c>
      <c r="C658" s="397" t="s">
        <v>24</v>
      </c>
      <c r="D658" s="398"/>
      <c r="E658" s="398"/>
      <c r="F658" s="398"/>
      <c r="G658" s="398">
        <f t="shared" si="202"/>
        <v>0</v>
      </c>
      <c r="H658" s="398">
        <f t="shared" si="203"/>
        <v>0</v>
      </c>
      <c r="I658" s="399"/>
      <c r="J658" s="362" t="s">
        <v>38</v>
      </c>
      <c r="K658" s="362" t="s">
        <v>257</v>
      </c>
      <c r="L658" s="362" t="s">
        <v>112</v>
      </c>
      <c r="M658" s="362" t="s">
        <v>144</v>
      </c>
      <c r="N658" s="362"/>
      <c r="P658" s="371"/>
    </row>
    <row r="659" spans="1:16" s="372" customFormat="1" ht="14" outlineLevel="4">
      <c r="A659" s="405" t="s">
        <v>8</v>
      </c>
      <c r="B659" s="396" t="s">
        <v>270</v>
      </c>
      <c r="C659" s="397" t="s">
        <v>9</v>
      </c>
      <c r="D659" s="398"/>
      <c r="E659" s="398"/>
      <c r="F659" s="398"/>
      <c r="G659" s="398">
        <f t="shared" si="202"/>
        <v>0</v>
      </c>
      <c r="H659" s="398">
        <f t="shared" si="203"/>
        <v>0</v>
      </c>
      <c r="I659" s="399"/>
      <c r="J659" s="362" t="s">
        <v>38</v>
      </c>
      <c r="K659" s="362" t="s">
        <v>257</v>
      </c>
      <c r="L659" s="362" t="s">
        <v>112</v>
      </c>
      <c r="M659" s="362" t="s">
        <v>144</v>
      </c>
      <c r="N659" s="362"/>
      <c r="P659" s="371"/>
    </row>
    <row r="660" spans="1:16" s="372" customFormat="1" ht="14" outlineLevel="4">
      <c r="A660" s="405" t="s">
        <v>8</v>
      </c>
      <c r="B660" s="396" t="s">
        <v>199</v>
      </c>
      <c r="C660" s="397" t="s">
        <v>24</v>
      </c>
      <c r="D660" s="398"/>
      <c r="E660" s="398"/>
      <c r="F660" s="398"/>
      <c r="G660" s="398">
        <f t="shared" si="202"/>
        <v>0</v>
      </c>
      <c r="H660" s="398">
        <f t="shared" si="203"/>
        <v>0</v>
      </c>
      <c r="I660" s="399"/>
      <c r="J660" s="362" t="s">
        <v>38</v>
      </c>
      <c r="K660" s="362" t="s">
        <v>257</v>
      </c>
      <c r="L660" s="362" t="s">
        <v>112</v>
      </c>
      <c r="M660" s="362" t="s">
        <v>144</v>
      </c>
      <c r="N660" s="362"/>
      <c r="P660" s="371"/>
    </row>
    <row r="661" spans="1:16" s="372" customFormat="1" ht="14" outlineLevel="4">
      <c r="A661" s="405" t="s">
        <v>8</v>
      </c>
      <c r="B661" s="396" t="s">
        <v>200</v>
      </c>
      <c r="C661" s="397" t="s">
        <v>24</v>
      </c>
      <c r="D661" s="398"/>
      <c r="E661" s="398"/>
      <c r="F661" s="398"/>
      <c r="G661" s="398">
        <f t="shared" si="202"/>
        <v>0</v>
      </c>
      <c r="H661" s="398">
        <f t="shared" si="203"/>
        <v>0</v>
      </c>
      <c r="I661" s="399"/>
      <c r="J661" s="362" t="s">
        <v>38</v>
      </c>
      <c r="K661" s="362" t="s">
        <v>257</v>
      </c>
      <c r="L661" s="362" t="s">
        <v>112</v>
      </c>
      <c r="M661" s="362" t="s">
        <v>144</v>
      </c>
      <c r="N661" s="362"/>
      <c r="P661" s="371"/>
    </row>
    <row r="662" spans="1:16" s="372" customFormat="1" ht="14" outlineLevel="4">
      <c r="A662" s="405" t="s">
        <v>8</v>
      </c>
      <c r="B662" s="490" t="s">
        <v>271</v>
      </c>
      <c r="C662" s="397" t="s">
        <v>24</v>
      </c>
      <c r="D662" s="398"/>
      <c r="E662" s="398"/>
      <c r="F662" s="398"/>
      <c r="G662" s="398">
        <f t="shared" si="202"/>
        <v>0</v>
      </c>
      <c r="H662" s="398">
        <f t="shared" si="203"/>
        <v>0</v>
      </c>
      <c r="I662" s="399"/>
      <c r="J662" s="362" t="s">
        <v>38</v>
      </c>
      <c r="K662" s="362" t="s">
        <v>257</v>
      </c>
      <c r="L662" s="362" t="s">
        <v>112</v>
      </c>
      <c r="M662" s="362" t="s">
        <v>144</v>
      </c>
      <c r="N662" s="362"/>
      <c r="P662" s="371"/>
    </row>
    <row r="663" spans="1:16" s="372" customFormat="1" ht="14" outlineLevel="4">
      <c r="A663" s="405" t="s">
        <v>8</v>
      </c>
      <c r="B663" s="396" t="s">
        <v>272</v>
      </c>
      <c r="C663" s="397" t="s">
        <v>24</v>
      </c>
      <c r="D663" s="398"/>
      <c r="E663" s="398"/>
      <c r="F663" s="398"/>
      <c r="G663" s="398">
        <f t="shared" si="202"/>
        <v>0</v>
      </c>
      <c r="H663" s="398">
        <f t="shared" si="203"/>
        <v>0</v>
      </c>
      <c r="I663" s="399"/>
      <c r="J663" s="362" t="s">
        <v>38</v>
      </c>
      <c r="K663" s="362" t="s">
        <v>257</v>
      </c>
      <c r="L663" s="362" t="s">
        <v>112</v>
      </c>
      <c r="M663" s="362" t="s">
        <v>144</v>
      </c>
      <c r="N663" s="362"/>
      <c r="P663" s="371"/>
    </row>
    <row r="664" spans="1:16" s="372" customFormat="1" ht="14" outlineLevel="4">
      <c r="A664" s="405" t="s">
        <v>8</v>
      </c>
      <c r="B664" s="509" t="s">
        <v>273</v>
      </c>
      <c r="C664" s="397" t="s">
        <v>9</v>
      </c>
      <c r="D664" s="398"/>
      <c r="E664" s="398"/>
      <c r="F664" s="398"/>
      <c r="G664" s="398">
        <f t="shared" si="202"/>
        <v>0</v>
      </c>
      <c r="H664" s="398">
        <f t="shared" si="203"/>
        <v>0</v>
      </c>
      <c r="I664" s="399"/>
      <c r="J664" s="362" t="s">
        <v>38</v>
      </c>
      <c r="K664" s="362" t="s">
        <v>257</v>
      </c>
      <c r="L664" s="362" t="s">
        <v>112</v>
      </c>
      <c r="M664" s="362" t="s">
        <v>144</v>
      </c>
      <c r="N664" s="362"/>
      <c r="P664" s="371"/>
    </row>
    <row r="665" spans="1:16" s="372" customFormat="1" ht="14" outlineLevel="4">
      <c r="A665" s="405" t="s">
        <v>8</v>
      </c>
      <c r="B665" s="490" t="s">
        <v>201</v>
      </c>
      <c r="C665" s="397" t="s">
        <v>24</v>
      </c>
      <c r="D665" s="398"/>
      <c r="E665" s="398"/>
      <c r="F665" s="398"/>
      <c r="G665" s="398">
        <f t="shared" si="202"/>
        <v>0</v>
      </c>
      <c r="H665" s="398">
        <f t="shared" si="203"/>
        <v>0</v>
      </c>
      <c r="I665" s="399"/>
      <c r="J665" s="362" t="s">
        <v>38</v>
      </c>
      <c r="K665" s="362" t="s">
        <v>257</v>
      </c>
      <c r="L665" s="362" t="s">
        <v>112</v>
      </c>
      <c r="M665" s="362" t="s">
        <v>144</v>
      </c>
      <c r="N665" s="362"/>
      <c r="P665" s="371"/>
    </row>
    <row r="666" spans="1:16" s="372" customFormat="1" ht="14" outlineLevel="4">
      <c r="A666" s="405" t="s">
        <v>8</v>
      </c>
      <c r="B666" s="396" t="s">
        <v>207</v>
      </c>
      <c r="C666" s="397" t="s">
        <v>24</v>
      </c>
      <c r="D666" s="398"/>
      <c r="E666" s="398"/>
      <c r="F666" s="398"/>
      <c r="G666" s="398">
        <f t="shared" si="202"/>
        <v>0</v>
      </c>
      <c r="H666" s="398">
        <f t="shared" si="203"/>
        <v>0</v>
      </c>
      <c r="I666" s="399"/>
      <c r="J666" s="362" t="s">
        <v>38</v>
      </c>
      <c r="K666" s="362" t="s">
        <v>257</v>
      </c>
      <c r="L666" s="362" t="s">
        <v>112</v>
      </c>
      <c r="M666" s="362" t="s">
        <v>144</v>
      </c>
      <c r="N666" s="362"/>
      <c r="P666" s="371"/>
    </row>
    <row r="667" spans="1:16" s="372" customFormat="1" ht="14" outlineLevel="4">
      <c r="A667" s="405" t="s">
        <v>8</v>
      </c>
      <c r="B667" s="509" t="s">
        <v>202</v>
      </c>
      <c r="C667" s="397" t="s">
        <v>24</v>
      </c>
      <c r="D667" s="398"/>
      <c r="E667" s="398"/>
      <c r="F667" s="528"/>
      <c r="G667" s="398">
        <f t="shared" si="202"/>
        <v>0</v>
      </c>
      <c r="H667" s="398">
        <f t="shared" si="203"/>
        <v>0</v>
      </c>
      <c r="I667" s="399"/>
      <c r="J667" s="362" t="s">
        <v>38</v>
      </c>
      <c r="K667" s="362" t="s">
        <v>257</v>
      </c>
      <c r="L667" s="362" t="s">
        <v>112</v>
      </c>
      <c r="M667" s="362" t="s">
        <v>144</v>
      </c>
      <c r="N667" s="362"/>
      <c r="P667" s="371"/>
    </row>
    <row r="668" spans="1:16" s="372" customFormat="1" ht="14" outlineLevel="4">
      <c r="A668" s="405" t="s">
        <v>8</v>
      </c>
      <c r="B668" s="509" t="s">
        <v>203</v>
      </c>
      <c r="C668" s="397" t="s">
        <v>24</v>
      </c>
      <c r="D668" s="398"/>
      <c r="E668" s="398"/>
      <c r="F668" s="528"/>
      <c r="G668" s="398">
        <f t="shared" si="202"/>
        <v>0</v>
      </c>
      <c r="H668" s="398">
        <f t="shared" si="203"/>
        <v>0</v>
      </c>
      <c r="I668" s="399"/>
      <c r="J668" s="362" t="s">
        <v>38</v>
      </c>
      <c r="K668" s="362" t="s">
        <v>257</v>
      </c>
      <c r="L668" s="362" t="s">
        <v>112</v>
      </c>
      <c r="M668" s="362" t="s">
        <v>144</v>
      </c>
      <c r="N668" s="362"/>
      <c r="P668" s="371"/>
    </row>
    <row r="669" spans="1:16" s="372" customFormat="1" ht="14" outlineLevel="4">
      <c r="A669" s="405" t="s">
        <v>8</v>
      </c>
      <c r="B669" s="509" t="s">
        <v>278</v>
      </c>
      <c r="C669" s="397" t="s">
        <v>24</v>
      </c>
      <c r="D669" s="398"/>
      <c r="E669" s="398"/>
      <c r="F669" s="398"/>
      <c r="G669" s="398">
        <f t="shared" si="202"/>
        <v>0</v>
      </c>
      <c r="H669" s="398">
        <f t="shared" si="203"/>
        <v>0</v>
      </c>
      <c r="I669" s="399"/>
      <c r="J669" s="362" t="s">
        <v>38</v>
      </c>
      <c r="K669" s="362" t="s">
        <v>257</v>
      </c>
      <c r="L669" s="362" t="s">
        <v>112</v>
      </c>
      <c r="M669" s="362" t="s">
        <v>144</v>
      </c>
      <c r="N669" s="362"/>
      <c r="P669" s="371"/>
    </row>
    <row r="670" spans="1:16" s="372" customFormat="1" ht="14" outlineLevel="4">
      <c r="A670" s="405" t="s">
        <v>8</v>
      </c>
      <c r="B670" s="509" t="s">
        <v>142</v>
      </c>
      <c r="C670" s="397" t="s">
        <v>24</v>
      </c>
      <c r="D670" s="398"/>
      <c r="E670" s="398"/>
      <c r="F670" s="398"/>
      <c r="G670" s="398">
        <f t="shared" si="202"/>
        <v>0</v>
      </c>
      <c r="H670" s="398">
        <f t="shared" si="203"/>
        <v>0</v>
      </c>
      <c r="I670" s="399"/>
      <c r="J670" s="362" t="s">
        <v>38</v>
      </c>
      <c r="K670" s="362" t="s">
        <v>257</v>
      </c>
      <c r="L670" s="362" t="s">
        <v>112</v>
      </c>
      <c r="M670" s="362" t="s">
        <v>144</v>
      </c>
      <c r="N670" s="362"/>
      <c r="P670" s="371"/>
    </row>
    <row r="671" spans="1:16" s="372" customFormat="1" ht="14" outlineLevel="4">
      <c r="A671" s="405" t="s">
        <v>8</v>
      </c>
      <c r="B671" s="509" t="s">
        <v>143</v>
      </c>
      <c r="C671" s="397" t="s">
        <v>24</v>
      </c>
      <c r="D671" s="398"/>
      <c r="E671" s="398"/>
      <c r="F671" s="398"/>
      <c r="G671" s="398">
        <f t="shared" si="202"/>
        <v>0</v>
      </c>
      <c r="H671" s="398">
        <f t="shared" si="203"/>
        <v>0</v>
      </c>
      <c r="I671" s="399"/>
      <c r="J671" s="362" t="s">
        <v>38</v>
      </c>
      <c r="K671" s="362" t="s">
        <v>257</v>
      </c>
      <c r="L671" s="362" t="s">
        <v>112</v>
      </c>
      <c r="M671" s="362" t="s">
        <v>144</v>
      </c>
      <c r="N671" s="362"/>
      <c r="P671" s="371"/>
    </row>
    <row r="672" spans="1:16" s="372" customFormat="1" ht="14" outlineLevel="4">
      <c r="A672" s="405" t="s">
        <v>8</v>
      </c>
      <c r="B672" s="509" t="s">
        <v>204</v>
      </c>
      <c r="C672" s="397" t="s">
        <v>9</v>
      </c>
      <c r="D672" s="398"/>
      <c r="E672" s="398"/>
      <c r="F672" s="398"/>
      <c r="G672" s="398">
        <f t="shared" si="202"/>
        <v>0</v>
      </c>
      <c r="H672" s="398">
        <f t="shared" si="203"/>
        <v>0</v>
      </c>
      <c r="I672" s="399"/>
      <c r="J672" s="362" t="s">
        <v>38</v>
      </c>
      <c r="K672" s="362" t="s">
        <v>257</v>
      </c>
      <c r="L672" s="362" t="s">
        <v>112</v>
      </c>
      <c r="M672" s="362" t="s">
        <v>144</v>
      </c>
      <c r="N672" s="362"/>
      <c r="P672" s="371"/>
    </row>
    <row r="673" spans="1:16" s="372" customFormat="1" ht="14" outlineLevel="3">
      <c r="A673" s="466">
        <v>2.2000000000000002</v>
      </c>
      <c r="B673" s="541" t="s">
        <v>602</v>
      </c>
      <c r="C673" s="397"/>
      <c r="D673" s="398"/>
      <c r="E673" s="398"/>
      <c r="F673" s="540"/>
      <c r="G673" s="398">
        <f>SUBTOTAL(9,G674:G707)</f>
        <v>0</v>
      </c>
      <c r="H673" s="398">
        <f>SUBTOTAL(9,H674:H707)</f>
        <v>0</v>
      </c>
      <c r="I673" s="399"/>
      <c r="J673" s="362"/>
      <c r="K673" s="362"/>
      <c r="L673" s="362"/>
      <c r="M673" s="362"/>
      <c r="N673" s="362"/>
      <c r="P673" s="371"/>
    </row>
    <row r="674" spans="1:16" s="372" customFormat="1" ht="14" outlineLevel="3">
      <c r="A674" s="388" t="s">
        <v>606</v>
      </c>
      <c r="B674" s="489" t="s">
        <v>541</v>
      </c>
      <c r="C674" s="397"/>
      <c r="D674" s="398"/>
      <c r="E674" s="398"/>
      <c r="F674" s="491"/>
      <c r="G674" s="398"/>
      <c r="H674" s="398"/>
      <c r="I674" s="399"/>
      <c r="J674" s="362"/>
      <c r="K674" s="362"/>
      <c r="L674" s="362"/>
      <c r="M674" s="362"/>
      <c r="N674" s="362"/>
      <c r="P674" s="371"/>
    </row>
    <row r="675" spans="1:16" s="372" customFormat="1" ht="14" outlineLevel="3">
      <c r="A675" s="388" t="s">
        <v>8</v>
      </c>
      <c r="B675" s="490" t="s">
        <v>193</v>
      </c>
      <c r="C675" s="397" t="s">
        <v>24</v>
      </c>
      <c r="D675" s="398"/>
      <c r="E675" s="398"/>
      <c r="F675" s="491"/>
      <c r="G675" s="398">
        <f t="shared" ref="G675:G680" si="204">F675*D675</f>
        <v>0</v>
      </c>
      <c r="H675" s="398">
        <f t="shared" ref="H675:H680" si="205">F675*E675</f>
        <v>0</v>
      </c>
      <c r="I675" s="399"/>
      <c r="J675" s="362" t="s">
        <v>38</v>
      </c>
      <c r="K675" s="362" t="s">
        <v>257</v>
      </c>
      <c r="L675" s="362" t="s">
        <v>112</v>
      </c>
      <c r="M675" s="362" t="s">
        <v>144</v>
      </c>
      <c r="N675" s="362"/>
      <c r="P675" s="371"/>
    </row>
    <row r="676" spans="1:16" s="372" customFormat="1" ht="14" outlineLevel="3">
      <c r="A676" s="405" t="s">
        <v>8</v>
      </c>
      <c r="B676" s="490" t="s">
        <v>455</v>
      </c>
      <c r="C676" s="397" t="s">
        <v>24</v>
      </c>
      <c r="D676" s="398"/>
      <c r="E676" s="398"/>
      <c r="F676" s="491"/>
      <c r="G676" s="398">
        <f t="shared" si="204"/>
        <v>0</v>
      </c>
      <c r="H676" s="398">
        <f t="shared" si="205"/>
        <v>0</v>
      </c>
      <c r="I676" s="399"/>
      <c r="J676" s="362" t="s">
        <v>38</v>
      </c>
      <c r="K676" s="362" t="s">
        <v>257</v>
      </c>
      <c r="L676" s="362" t="s">
        <v>112</v>
      </c>
      <c r="M676" s="362" t="s">
        <v>144</v>
      </c>
      <c r="N676" s="362"/>
      <c r="P676" s="338"/>
    </row>
    <row r="677" spans="1:16" s="372" customFormat="1" ht="14" outlineLevel="3">
      <c r="A677" s="405" t="s">
        <v>8</v>
      </c>
      <c r="B677" s="490" t="s">
        <v>456</v>
      </c>
      <c r="C677" s="397" t="s">
        <v>24</v>
      </c>
      <c r="D677" s="398"/>
      <c r="E677" s="398"/>
      <c r="F677" s="524"/>
      <c r="G677" s="398">
        <f t="shared" si="204"/>
        <v>0</v>
      </c>
      <c r="H677" s="398">
        <f t="shared" si="205"/>
        <v>0</v>
      </c>
      <c r="I677" s="399"/>
      <c r="J677" s="362" t="s">
        <v>38</v>
      </c>
      <c r="K677" s="362" t="s">
        <v>257</v>
      </c>
      <c r="L677" s="362" t="s">
        <v>112</v>
      </c>
      <c r="M677" s="362" t="s">
        <v>144</v>
      </c>
      <c r="N677" s="362"/>
      <c r="P677" s="338"/>
    </row>
    <row r="678" spans="1:16" s="372" customFormat="1" ht="14" outlineLevel="3">
      <c r="A678" s="405" t="s">
        <v>8</v>
      </c>
      <c r="B678" s="490" t="s">
        <v>457</v>
      </c>
      <c r="C678" s="397" t="s">
        <v>24</v>
      </c>
      <c r="D678" s="398"/>
      <c r="E678" s="398"/>
      <c r="F678" s="524"/>
      <c r="G678" s="398">
        <f t="shared" si="204"/>
        <v>0</v>
      </c>
      <c r="H678" s="398">
        <f t="shared" si="205"/>
        <v>0</v>
      </c>
      <c r="I678" s="399"/>
      <c r="J678" s="362" t="s">
        <v>38</v>
      </c>
      <c r="K678" s="362" t="s">
        <v>257</v>
      </c>
      <c r="L678" s="362" t="s">
        <v>112</v>
      </c>
      <c r="M678" s="362" t="s">
        <v>144</v>
      </c>
      <c r="N678" s="362"/>
      <c r="P678" s="338"/>
    </row>
    <row r="679" spans="1:16" s="372" customFormat="1" ht="14" outlineLevel="3">
      <c r="A679" s="405" t="s">
        <v>8</v>
      </c>
      <c r="B679" s="490" t="s">
        <v>195</v>
      </c>
      <c r="C679" s="397" t="s">
        <v>24</v>
      </c>
      <c r="D679" s="398"/>
      <c r="E679" s="398"/>
      <c r="F679" s="493"/>
      <c r="G679" s="398">
        <f t="shared" si="204"/>
        <v>0</v>
      </c>
      <c r="H679" s="398">
        <f t="shared" si="205"/>
        <v>0</v>
      </c>
      <c r="I679" s="399"/>
      <c r="J679" s="362" t="s">
        <v>38</v>
      </c>
      <c r="K679" s="362" t="s">
        <v>257</v>
      </c>
      <c r="L679" s="362" t="s">
        <v>112</v>
      </c>
      <c r="M679" s="362" t="s">
        <v>144</v>
      </c>
      <c r="N679" s="362"/>
      <c r="P679" s="371"/>
    </row>
    <row r="680" spans="1:16" s="372" customFormat="1" ht="14" outlineLevel="3">
      <c r="A680" s="405" t="s">
        <v>8</v>
      </c>
      <c r="B680" s="490" t="s">
        <v>265</v>
      </c>
      <c r="C680" s="397" t="s">
        <v>24</v>
      </c>
      <c r="D680" s="398"/>
      <c r="E680" s="398"/>
      <c r="F680" s="494"/>
      <c r="G680" s="398">
        <f t="shared" si="204"/>
        <v>0</v>
      </c>
      <c r="H680" s="398">
        <f t="shared" si="205"/>
        <v>0</v>
      </c>
      <c r="I680" s="399"/>
      <c r="J680" s="362" t="s">
        <v>38</v>
      </c>
      <c r="K680" s="362" t="s">
        <v>257</v>
      </c>
      <c r="L680" s="362" t="s">
        <v>112</v>
      </c>
      <c r="M680" s="362" t="s">
        <v>144</v>
      </c>
      <c r="N680" s="362"/>
      <c r="P680" s="371"/>
    </row>
    <row r="681" spans="1:16" s="385" customFormat="1" ht="14" outlineLevel="2">
      <c r="A681" s="388" t="s">
        <v>607</v>
      </c>
      <c r="B681" s="488" t="s">
        <v>59</v>
      </c>
      <c r="C681" s="390"/>
      <c r="D681" s="391"/>
      <c r="E681" s="391"/>
      <c r="F681" s="391"/>
      <c r="G681" s="391"/>
      <c r="H681" s="391">
        <f>SUBTOTAL(9,H682:H686)</f>
        <v>0</v>
      </c>
      <c r="I681" s="526"/>
      <c r="J681" s="383"/>
      <c r="K681" s="383"/>
      <c r="L681" s="383"/>
      <c r="M681" s="383"/>
      <c r="N681" s="383"/>
      <c r="P681" s="386"/>
    </row>
    <row r="682" spans="1:16" s="372" customFormat="1" ht="14" outlineLevel="3">
      <c r="A682" s="405" t="s">
        <v>8</v>
      </c>
      <c r="B682" s="490" t="s">
        <v>162</v>
      </c>
      <c r="C682" s="397" t="s">
        <v>24</v>
      </c>
      <c r="D682" s="398"/>
      <c r="E682" s="398"/>
      <c r="F682" s="499"/>
      <c r="G682" s="398">
        <f t="shared" ref="G682:G686" si="206">F682*D682</f>
        <v>0</v>
      </c>
      <c r="H682" s="398">
        <f t="shared" ref="H682:H686" si="207">F682*E682</f>
        <v>0</v>
      </c>
      <c r="I682" s="399"/>
      <c r="J682" s="362" t="s">
        <v>38</v>
      </c>
      <c r="K682" s="362" t="s">
        <v>257</v>
      </c>
      <c r="L682" s="362" t="s">
        <v>112</v>
      </c>
      <c r="M682" s="362" t="s">
        <v>144</v>
      </c>
      <c r="N682" s="362"/>
      <c r="P682" s="371"/>
    </row>
    <row r="683" spans="1:16" s="372" customFormat="1" ht="14" outlineLevel="3">
      <c r="A683" s="405" t="s">
        <v>8</v>
      </c>
      <c r="B683" s="490" t="s">
        <v>235</v>
      </c>
      <c r="C683" s="397" t="s">
        <v>24</v>
      </c>
      <c r="D683" s="398"/>
      <c r="E683" s="398"/>
      <c r="F683" s="499"/>
      <c r="G683" s="398">
        <f t="shared" si="206"/>
        <v>0</v>
      </c>
      <c r="H683" s="398">
        <f t="shared" si="207"/>
        <v>0</v>
      </c>
      <c r="I683" s="399"/>
      <c r="J683" s="362" t="s">
        <v>38</v>
      </c>
      <c r="K683" s="362" t="s">
        <v>257</v>
      </c>
      <c r="L683" s="362" t="s">
        <v>112</v>
      </c>
      <c r="M683" s="362" t="s">
        <v>144</v>
      </c>
      <c r="N683" s="362"/>
      <c r="P683" s="371"/>
    </row>
    <row r="684" spans="1:16" s="372" customFormat="1" ht="14" outlineLevel="3">
      <c r="A684" s="405" t="s">
        <v>8</v>
      </c>
      <c r="B684" s="490" t="s">
        <v>196</v>
      </c>
      <c r="C684" s="397" t="s">
        <v>24</v>
      </c>
      <c r="D684" s="398"/>
      <c r="E684" s="398"/>
      <c r="F684" s="500"/>
      <c r="G684" s="398">
        <f t="shared" si="206"/>
        <v>0</v>
      </c>
      <c r="H684" s="398">
        <f t="shared" si="207"/>
        <v>0</v>
      </c>
      <c r="I684" s="399"/>
      <c r="J684" s="362" t="s">
        <v>38</v>
      </c>
      <c r="K684" s="362" t="s">
        <v>257</v>
      </c>
      <c r="L684" s="362" t="s">
        <v>112</v>
      </c>
      <c r="M684" s="362" t="s">
        <v>144</v>
      </c>
      <c r="N684" s="362"/>
      <c r="P684" s="371"/>
    </row>
    <row r="685" spans="1:16" s="372" customFormat="1" ht="14" outlineLevel="3">
      <c r="A685" s="405" t="s">
        <v>8</v>
      </c>
      <c r="B685" s="501" t="s">
        <v>266</v>
      </c>
      <c r="C685" s="397" t="s">
        <v>9</v>
      </c>
      <c r="D685" s="398"/>
      <c r="E685" s="398"/>
      <c r="F685" s="398"/>
      <c r="G685" s="398">
        <f t="shared" si="206"/>
        <v>0</v>
      </c>
      <c r="H685" s="398">
        <f t="shared" si="207"/>
        <v>0</v>
      </c>
      <c r="I685" s="399"/>
      <c r="J685" s="362" t="s">
        <v>38</v>
      </c>
      <c r="K685" s="362" t="s">
        <v>257</v>
      </c>
      <c r="L685" s="362" t="s">
        <v>112</v>
      </c>
      <c r="M685" s="362" t="s">
        <v>144</v>
      </c>
      <c r="N685" s="362"/>
      <c r="P685" s="371"/>
    </row>
    <row r="686" spans="1:16" s="372" customFormat="1" ht="14" outlineLevel="3">
      <c r="A686" s="405" t="s">
        <v>8</v>
      </c>
      <c r="B686" s="490" t="s">
        <v>267</v>
      </c>
      <c r="C686" s="397" t="s">
        <v>9</v>
      </c>
      <c r="D686" s="502"/>
      <c r="E686" s="502"/>
      <c r="F686" s="542"/>
      <c r="G686" s="398">
        <f t="shared" si="206"/>
        <v>0</v>
      </c>
      <c r="H686" s="398">
        <f t="shared" si="207"/>
        <v>0</v>
      </c>
      <c r="I686" s="399"/>
      <c r="J686" s="362" t="s">
        <v>38</v>
      </c>
      <c r="K686" s="362" t="s">
        <v>257</v>
      </c>
      <c r="L686" s="362" t="s">
        <v>112</v>
      </c>
      <c r="M686" s="362" t="s">
        <v>144</v>
      </c>
      <c r="N686" s="362"/>
      <c r="P686" s="371"/>
    </row>
    <row r="687" spans="1:16" s="385" customFormat="1" ht="14" outlineLevel="2">
      <c r="A687" s="388" t="s">
        <v>608</v>
      </c>
      <c r="B687" s="527" t="s">
        <v>35</v>
      </c>
      <c r="C687" s="390"/>
      <c r="D687" s="391"/>
      <c r="E687" s="391"/>
      <c r="F687" s="391"/>
      <c r="G687" s="391"/>
      <c r="H687" s="391"/>
      <c r="I687" s="392"/>
      <c r="J687" s="383"/>
      <c r="K687" s="383"/>
      <c r="L687" s="383"/>
      <c r="M687" s="383"/>
      <c r="N687" s="383"/>
      <c r="P687" s="386"/>
    </row>
    <row r="688" spans="1:16" s="372" customFormat="1" ht="14" outlineLevel="4">
      <c r="A688" s="405" t="s">
        <v>8</v>
      </c>
      <c r="B688" s="396" t="s">
        <v>197</v>
      </c>
      <c r="C688" s="397" t="s">
        <v>24</v>
      </c>
      <c r="D688" s="398"/>
      <c r="E688" s="398"/>
      <c r="F688" s="398"/>
      <c r="G688" s="398">
        <f t="shared" ref="G688:G707" si="208">F688*D688</f>
        <v>0</v>
      </c>
      <c r="H688" s="398">
        <f t="shared" ref="H688:H707" si="209">F688*E688</f>
        <v>0</v>
      </c>
      <c r="I688" s="399"/>
      <c r="J688" s="362" t="s">
        <v>38</v>
      </c>
      <c r="K688" s="362" t="s">
        <v>257</v>
      </c>
      <c r="L688" s="362" t="s">
        <v>112</v>
      </c>
      <c r="M688" s="362" t="s">
        <v>144</v>
      </c>
      <c r="N688" s="362"/>
      <c r="P688" s="371"/>
    </row>
    <row r="689" spans="1:16" s="372" customFormat="1" ht="14" outlineLevel="4">
      <c r="A689" s="405" t="s">
        <v>8</v>
      </c>
      <c r="B689" s="396" t="s">
        <v>198</v>
      </c>
      <c r="C689" s="397" t="s">
        <v>24</v>
      </c>
      <c r="D689" s="398"/>
      <c r="E689" s="398"/>
      <c r="F689" s="398"/>
      <c r="G689" s="398">
        <f t="shared" si="208"/>
        <v>0</v>
      </c>
      <c r="H689" s="398">
        <f t="shared" si="209"/>
        <v>0</v>
      </c>
      <c r="I689" s="399"/>
      <c r="J689" s="362" t="s">
        <v>38</v>
      </c>
      <c r="K689" s="362" t="s">
        <v>257</v>
      </c>
      <c r="L689" s="362" t="s">
        <v>112</v>
      </c>
      <c r="M689" s="362" t="s">
        <v>144</v>
      </c>
      <c r="N689" s="362"/>
      <c r="P689" s="371"/>
    </row>
    <row r="690" spans="1:16" s="372" customFormat="1" ht="14" outlineLevel="4">
      <c r="A690" s="405" t="s">
        <v>8</v>
      </c>
      <c r="B690" s="396" t="s">
        <v>197</v>
      </c>
      <c r="C690" s="397" t="s">
        <v>24</v>
      </c>
      <c r="D690" s="398"/>
      <c r="E690" s="398"/>
      <c r="F690" s="398"/>
      <c r="G690" s="398">
        <f t="shared" si="208"/>
        <v>0</v>
      </c>
      <c r="H690" s="398">
        <f t="shared" si="209"/>
        <v>0</v>
      </c>
      <c r="I690" s="399"/>
      <c r="J690" s="362" t="s">
        <v>38</v>
      </c>
      <c r="K690" s="362" t="s">
        <v>257</v>
      </c>
      <c r="L690" s="362" t="s">
        <v>112</v>
      </c>
      <c r="M690" s="362" t="s">
        <v>144</v>
      </c>
      <c r="N690" s="362"/>
      <c r="P690" s="371"/>
    </row>
    <row r="691" spans="1:16" s="372" customFormat="1" ht="14" outlineLevel="4">
      <c r="A691" s="405" t="s">
        <v>8</v>
      </c>
      <c r="B691" s="396" t="s">
        <v>198</v>
      </c>
      <c r="C691" s="397" t="s">
        <v>24</v>
      </c>
      <c r="D691" s="398"/>
      <c r="E691" s="398"/>
      <c r="F691" s="398"/>
      <c r="G691" s="398">
        <f t="shared" si="208"/>
        <v>0</v>
      </c>
      <c r="H691" s="398">
        <f t="shared" si="209"/>
        <v>0</v>
      </c>
      <c r="I691" s="399"/>
      <c r="J691" s="362" t="s">
        <v>38</v>
      </c>
      <c r="K691" s="362" t="s">
        <v>257</v>
      </c>
      <c r="L691" s="362" t="s">
        <v>112</v>
      </c>
      <c r="M691" s="362" t="s">
        <v>144</v>
      </c>
      <c r="N691" s="362"/>
      <c r="P691" s="371"/>
    </row>
    <row r="692" spans="1:16" s="372" customFormat="1" ht="14" outlineLevel="4">
      <c r="A692" s="405" t="s">
        <v>8</v>
      </c>
      <c r="B692" s="396" t="s">
        <v>268</v>
      </c>
      <c r="C692" s="397" t="s">
        <v>24</v>
      </c>
      <c r="D692" s="398"/>
      <c r="E692" s="398"/>
      <c r="F692" s="500"/>
      <c r="G692" s="398">
        <f t="shared" si="208"/>
        <v>0</v>
      </c>
      <c r="H692" s="398">
        <f t="shared" si="209"/>
        <v>0</v>
      </c>
      <c r="I692" s="399"/>
      <c r="J692" s="362" t="s">
        <v>38</v>
      </c>
      <c r="K692" s="362" t="s">
        <v>257</v>
      </c>
      <c r="L692" s="362" t="s">
        <v>112</v>
      </c>
      <c r="M692" s="362" t="s">
        <v>144</v>
      </c>
      <c r="N692" s="362"/>
      <c r="P692" s="339"/>
    </row>
    <row r="693" spans="1:16" s="372" customFormat="1" ht="14" outlineLevel="4">
      <c r="A693" s="405" t="s">
        <v>8</v>
      </c>
      <c r="B693" s="396" t="s">
        <v>269</v>
      </c>
      <c r="C693" s="397" t="s">
        <v>24</v>
      </c>
      <c r="D693" s="398"/>
      <c r="E693" s="398"/>
      <c r="F693" s="398"/>
      <c r="G693" s="398">
        <f t="shared" si="208"/>
        <v>0</v>
      </c>
      <c r="H693" s="398">
        <f t="shared" si="209"/>
        <v>0</v>
      </c>
      <c r="I693" s="399"/>
      <c r="J693" s="362" t="s">
        <v>38</v>
      </c>
      <c r="K693" s="362" t="s">
        <v>257</v>
      </c>
      <c r="L693" s="362" t="s">
        <v>112</v>
      </c>
      <c r="M693" s="362" t="s">
        <v>144</v>
      </c>
      <c r="N693" s="362"/>
      <c r="P693" s="371"/>
    </row>
    <row r="694" spans="1:16" s="372" customFormat="1" ht="14" outlineLevel="4">
      <c r="A694" s="405" t="s">
        <v>8</v>
      </c>
      <c r="B694" s="396" t="s">
        <v>270</v>
      </c>
      <c r="C694" s="397" t="s">
        <v>9</v>
      </c>
      <c r="D694" s="398"/>
      <c r="E694" s="398"/>
      <c r="F694" s="398"/>
      <c r="G694" s="398">
        <f t="shared" si="208"/>
        <v>0</v>
      </c>
      <c r="H694" s="398">
        <f t="shared" si="209"/>
        <v>0</v>
      </c>
      <c r="I694" s="399"/>
      <c r="J694" s="362" t="s">
        <v>38</v>
      </c>
      <c r="K694" s="362" t="s">
        <v>257</v>
      </c>
      <c r="L694" s="362" t="s">
        <v>112</v>
      </c>
      <c r="M694" s="362" t="s">
        <v>144</v>
      </c>
      <c r="N694" s="362"/>
      <c r="P694" s="371"/>
    </row>
    <row r="695" spans="1:16" s="372" customFormat="1" ht="14" outlineLevel="4">
      <c r="A695" s="405" t="s">
        <v>8</v>
      </c>
      <c r="B695" s="396" t="s">
        <v>199</v>
      </c>
      <c r="C695" s="397" t="s">
        <v>24</v>
      </c>
      <c r="D695" s="398"/>
      <c r="E695" s="398"/>
      <c r="F695" s="398"/>
      <c r="G695" s="398">
        <f t="shared" si="208"/>
        <v>0</v>
      </c>
      <c r="H695" s="398">
        <f t="shared" si="209"/>
        <v>0</v>
      </c>
      <c r="I695" s="399"/>
      <c r="J695" s="362" t="s">
        <v>38</v>
      </c>
      <c r="K695" s="362" t="s">
        <v>257</v>
      </c>
      <c r="L695" s="362" t="s">
        <v>112</v>
      </c>
      <c r="M695" s="362" t="s">
        <v>144</v>
      </c>
      <c r="N695" s="362"/>
      <c r="P695" s="371"/>
    </row>
    <row r="696" spans="1:16" s="372" customFormat="1" ht="14" outlineLevel="4">
      <c r="A696" s="405" t="s">
        <v>8</v>
      </c>
      <c r="B696" s="396" t="s">
        <v>200</v>
      </c>
      <c r="C696" s="397" t="s">
        <v>24</v>
      </c>
      <c r="D696" s="398"/>
      <c r="E696" s="398"/>
      <c r="F696" s="398"/>
      <c r="G696" s="398">
        <f t="shared" si="208"/>
        <v>0</v>
      </c>
      <c r="H696" s="398">
        <f t="shared" si="209"/>
        <v>0</v>
      </c>
      <c r="I696" s="399"/>
      <c r="J696" s="362" t="s">
        <v>38</v>
      </c>
      <c r="K696" s="362" t="s">
        <v>257</v>
      </c>
      <c r="L696" s="362" t="s">
        <v>112</v>
      </c>
      <c r="M696" s="362" t="s">
        <v>144</v>
      </c>
      <c r="N696" s="362"/>
      <c r="P696" s="371"/>
    </row>
    <row r="697" spans="1:16" s="372" customFormat="1" ht="14" outlineLevel="4">
      <c r="A697" s="405" t="s">
        <v>8</v>
      </c>
      <c r="B697" s="490" t="s">
        <v>271</v>
      </c>
      <c r="C697" s="397" t="s">
        <v>24</v>
      </c>
      <c r="D697" s="398"/>
      <c r="E697" s="398"/>
      <c r="F697" s="533"/>
      <c r="G697" s="398">
        <f t="shared" si="208"/>
        <v>0</v>
      </c>
      <c r="H697" s="398">
        <f t="shared" si="209"/>
        <v>0</v>
      </c>
      <c r="I697" s="399"/>
      <c r="J697" s="362" t="s">
        <v>38</v>
      </c>
      <c r="K697" s="362" t="s">
        <v>257</v>
      </c>
      <c r="L697" s="362" t="s">
        <v>112</v>
      </c>
      <c r="M697" s="362" t="s">
        <v>144</v>
      </c>
      <c r="N697" s="362"/>
      <c r="P697" s="339"/>
    </row>
    <row r="698" spans="1:16" s="372" customFormat="1" ht="14" outlineLevel="4">
      <c r="A698" s="405" t="s">
        <v>8</v>
      </c>
      <c r="B698" s="396" t="s">
        <v>272</v>
      </c>
      <c r="C698" s="397" t="s">
        <v>24</v>
      </c>
      <c r="D698" s="398"/>
      <c r="E698" s="398"/>
      <c r="F698" s="398"/>
      <c r="G698" s="398">
        <f t="shared" si="208"/>
        <v>0</v>
      </c>
      <c r="H698" s="398">
        <f t="shared" si="209"/>
        <v>0</v>
      </c>
      <c r="I698" s="399"/>
      <c r="J698" s="362" t="s">
        <v>38</v>
      </c>
      <c r="K698" s="362" t="s">
        <v>257</v>
      </c>
      <c r="L698" s="362" t="s">
        <v>112</v>
      </c>
      <c r="M698" s="362" t="s">
        <v>144</v>
      </c>
      <c r="N698" s="362"/>
      <c r="P698" s="371"/>
    </row>
    <row r="699" spans="1:16" s="372" customFormat="1" ht="14" outlineLevel="4">
      <c r="A699" s="405" t="s">
        <v>8</v>
      </c>
      <c r="B699" s="509" t="s">
        <v>273</v>
      </c>
      <c r="C699" s="397" t="s">
        <v>9</v>
      </c>
      <c r="D699" s="398"/>
      <c r="E699" s="398"/>
      <c r="F699" s="398"/>
      <c r="G699" s="398">
        <f t="shared" si="208"/>
        <v>0</v>
      </c>
      <c r="H699" s="398">
        <f t="shared" si="209"/>
        <v>0</v>
      </c>
      <c r="I699" s="399"/>
      <c r="J699" s="362" t="s">
        <v>38</v>
      </c>
      <c r="K699" s="362" t="s">
        <v>257</v>
      </c>
      <c r="L699" s="362" t="s">
        <v>112</v>
      </c>
      <c r="M699" s="362" t="s">
        <v>144</v>
      </c>
      <c r="N699" s="362"/>
      <c r="P699" s="371"/>
    </row>
    <row r="700" spans="1:16" s="372" customFormat="1" ht="14" outlineLevel="4">
      <c r="A700" s="405" t="s">
        <v>8</v>
      </c>
      <c r="B700" s="490" t="s">
        <v>201</v>
      </c>
      <c r="C700" s="397" t="s">
        <v>24</v>
      </c>
      <c r="D700" s="398"/>
      <c r="E700" s="398"/>
      <c r="F700" s="398"/>
      <c r="G700" s="398">
        <f t="shared" si="208"/>
        <v>0</v>
      </c>
      <c r="H700" s="398">
        <f t="shared" si="209"/>
        <v>0</v>
      </c>
      <c r="I700" s="399"/>
      <c r="J700" s="362" t="s">
        <v>38</v>
      </c>
      <c r="K700" s="362" t="s">
        <v>257</v>
      </c>
      <c r="L700" s="362" t="s">
        <v>112</v>
      </c>
      <c r="M700" s="362" t="s">
        <v>144</v>
      </c>
      <c r="N700" s="362"/>
      <c r="P700" s="371"/>
    </row>
    <row r="701" spans="1:16" s="372" customFormat="1" ht="14" outlineLevel="4">
      <c r="A701" s="405" t="s">
        <v>8</v>
      </c>
      <c r="B701" s="396" t="s">
        <v>207</v>
      </c>
      <c r="C701" s="397" t="s">
        <v>24</v>
      </c>
      <c r="D701" s="398"/>
      <c r="E701" s="398"/>
      <c r="F701" s="398"/>
      <c r="G701" s="398">
        <f t="shared" si="208"/>
        <v>0</v>
      </c>
      <c r="H701" s="398">
        <f t="shared" si="209"/>
        <v>0</v>
      </c>
      <c r="I701" s="399"/>
      <c r="J701" s="362" t="s">
        <v>38</v>
      </c>
      <c r="K701" s="362" t="s">
        <v>257</v>
      </c>
      <c r="L701" s="362" t="s">
        <v>112</v>
      </c>
      <c r="M701" s="362" t="s">
        <v>144</v>
      </c>
      <c r="N701" s="362"/>
      <c r="P701" s="371"/>
    </row>
    <row r="702" spans="1:16" s="372" customFormat="1" ht="14" outlineLevel="4">
      <c r="A702" s="405" t="s">
        <v>8</v>
      </c>
      <c r="B702" s="509" t="s">
        <v>202</v>
      </c>
      <c r="C702" s="397" t="s">
        <v>24</v>
      </c>
      <c r="D702" s="398"/>
      <c r="E702" s="398"/>
      <c r="F702" s="504"/>
      <c r="G702" s="398">
        <f t="shared" si="208"/>
        <v>0</v>
      </c>
      <c r="H702" s="398">
        <f t="shared" si="209"/>
        <v>0</v>
      </c>
      <c r="I702" s="399"/>
      <c r="J702" s="362" t="s">
        <v>38</v>
      </c>
      <c r="K702" s="362" t="s">
        <v>257</v>
      </c>
      <c r="L702" s="362" t="s">
        <v>112</v>
      </c>
      <c r="M702" s="362" t="s">
        <v>144</v>
      </c>
      <c r="N702" s="362"/>
      <c r="P702" s="340"/>
    </row>
    <row r="703" spans="1:16" s="372" customFormat="1" ht="14" outlineLevel="4">
      <c r="A703" s="405" t="s">
        <v>8</v>
      </c>
      <c r="B703" s="509" t="s">
        <v>203</v>
      </c>
      <c r="C703" s="397" t="s">
        <v>24</v>
      </c>
      <c r="D703" s="398"/>
      <c r="E703" s="398"/>
      <c r="F703" s="528"/>
      <c r="G703" s="398">
        <f t="shared" si="208"/>
        <v>0</v>
      </c>
      <c r="H703" s="398">
        <f t="shared" si="209"/>
        <v>0</v>
      </c>
      <c r="I703" s="399"/>
      <c r="J703" s="362" t="s">
        <v>38</v>
      </c>
      <c r="K703" s="362" t="s">
        <v>257</v>
      </c>
      <c r="L703" s="362" t="s">
        <v>112</v>
      </c>
      <c r="M703" s="362" t="s">
        <v>144</v>
      </c>
      <c r="N703" s="362"/>
      <c r="P703" s="371"/>
    </row>
    <row r="704" spans="1:16" s="372" customFormat="1" ht="14" outlineLevel="4">
      <c r="A704" s="405" t="s">
        <v>8</v>
      </c>
      <c r="B704" s="509" t="s">
        <v>278</v>
      </c>
      <c r="C704" s="397" t="s">
        <v>24</v>
      </c>
      <c r="D704" s="398"/>
      <c r="E704" s="398"/>
      <c r="F704" s="398"/>
      <c r="G704" s="398">
        <f t="shared" si="208"/>
        <v>0</v>
      </c>
      <c r="H704" s="398">
        <f t="shared" si="209"/>
        <v>0</v>
      </c>
      <c r="I704" s="399"/>
      <c r="J704" s="362" t="s">
        <v>38</v>
      </c>
      <c r="K704" s="362" t="s">
        <v>257</v>
      </c>
      <c r="L704" s="362" t="s">
        <v>112</v>
      </c>
      <c r="M704" s="362" t="s">
        <v>144</v>
      </c>
      <c r="N704" s="362"/>
      <c r="P704" s="371"/>
    </row>
    <row r="705" spans="1:16" s="372" customFormat="1" ht="14" outlineLevel="4">
      <c r="A705" s="405" t="s">
        <v>8</v>
      </c>
      <c r="B705" s="509" t="s">
        <v>142</v>
      </c>
      <c r="C705" s="397" t="s">
        <v>24</v>
      </c>
      <c r="D705" s="398"/>
      <c r="E705" s="398"/>
      <c r="F705" s="504"/>
      <c r="G705" s="398">
        <f t="shared" si="208"/>
        <v>0</v>
      </c>
      <c r="H705" s="398">
        <f t="shared" si="209"/>
        <v>0</v>
      </c>
      <c r="I705" s="399"/>
      <c r="J705" s="362" t="s">
        <v>38</v>
      </c>
      <c r="K705" s="362" t="s">
        <v>257</v>
      </c>
      <c r="L705" s="362" t="s">
        <v>112</v>
      </c>
      <c r="M705" s="362" t="s">
        <v>144</v>
      </c>
      <c r="N705" s="362"/>
      <c r="P705" s="340"/>
    </row>
    <row r="706" spans="1:16" s="372" customFormat="1" ht="14" outlineLevel="4">
      <c r="A706" s="405" t="s">
        <v>8</v>
      </c>
      <c r="B706" s="509" t="s">
        <v>143</v>
      </c>
      <c r="C706" s="397" t="s">
        <v>24</v>
      </c>
      <c r="D706" s="398"/>
      <c r="E706" s="398"/>
      <c r="F706" s="398"/>
      <c r="G706" s="398">
        <f t="shared" si="208"/>
        <v>0</v>
      </c>
      <c r="H706" s="398">
        <f t="shared" si="209"/>
        <v>0</v>
      </c>
      <c r="I706" s="399"/>
      <c r="J706" s="362" t="s">
        <v>38</v>
      </c>
      <c r="K706" s="362" t="s">
        <v>257</v>
      </c>
      <c r="L706" s="362" t="s">
        <v>112</v>
      </c>
      <c r="M706" s="362" t="s">
        <v>144</v>
      </c>
      <c r="N706" s="362"/>
      <c r="P706" s="371"/>
    </row>
    <row r="707" spans="1:16" s="372" customFormat="1" ht="14" outlineLevel="4">
      <c r="A707" s="405" t="s">
        <v>8</v>
      </c>
      <c r="B707" s="509" t="s">
        <v>204</v>
      </c>
      <c r="C707" s="397" t="s">
        <v>9</v>
      </c>
      <c r="D707" s="398"/>
      <c r="E707" s="398"/>
      <c r="F707" s="398"/>
      <c r="G707" s="398">
        <f t="shared" si="208"/>
        <v>0</v>
      </c>
      <c r="H707" s="398">
        <f t="shared" si="209"/>
        <v>0</v>
      </c>
      <c r="I707" s="399"/>
      <c r="J707" s="362" t="s">
        <v>38</v>
      </c>
      <c r="K707" s="362" t="s">
        <v>257</v>
      </c>
      <c r="L707" s="362" t="s">
        <v>112</v>
      </c>
      <c r="M707" s="362" t="s">
        <v>144</v>
      </c>
      <c r="N707" s="362"/>
      <c r="P707" s="371"/>
    </row>
    <row r="708" spans="1:16" s="385" customFormat="1" ht="14" outlineLevel="2">
      <c r="A708" s="529">
        <v>2.2999999999999998</v>
      </c>
      <c r="B708" s="527" t="s">
        <v>581</v>
      </c>
      <c r="C708" s="530"/>
      <c r="D708" s="531"/>
      <c r="E708" s="531"/>
      <c r="F708" s="531"/>
      <c r="G708" s="531">
        <f>SUBTOTAL(9,G709:G743)</f>
        <v>0</v>
      </c>
      <c r="H708" s="531">
        <f>SUBTOTAL(9,H709:H743)</f>
        <v>0</v>
      </c>
      <c r="I708" s="392"/>
      <c r="J708" s="383"/>
      <c r="K708" s="383"/>
      <c r="L708" s="383"/>
      <c r="M708" s="383"/>
      <c r="N708" s="383"/>
      <c r="P708" s="386"/>
    </row>
    <row r="709" spans="1:16" s="372" customFormat="1" ht="14" outlineLevel="3">
      <c r="A709" s="388" t="s">
        <v>609</v>
      </c>
      <c r="B709" s="532" t="s">
        <v>541</v>
      </c>
      <c r="C709" s="397"/>
      <c r="D709" s="398"/>
      <c r="E709" s="398"/>
      <c r="F709" s="524"/>
      <c r="G709" s="398">
        <f>SUBTOTAL(9,G710:G715)</f>
        <v>0</v>
      </c>
      <c r="H709" s="398">
        <f>SUBTOTAL(9,H710:H715)</f>
        <v>0</v>
      </c>
      <c r="I709" s="399"/>
      <c r="J709" s="362"/>
      <c r="K709" s="362"/>
      <c r="L709" s="362"/>
      <c r="M709" s="362"/>
      <c r="N709" s="362"/>
      <c r="P709" s="371"/>
    </row>
    <row r="710" spans="1:16" s="372" customFormat="1" ht="14" outlineLevel="3">
      <c r="A710" s="388" t="s">
        <v>8</v>
      </c>
      <c r="B710" s="490" t="s">
        <v>193</v>
      </c>
      <c r="C710" s="397" t="s">
        <v>24</v>
      </c>
      <c r="D710" s="398"/>
      <c r="E710" s="398"/>
      <c r="F710" s="524"/>
      <c r="G710" s="398">
        <f t="shared" ref="G710:G715" si="210">F710*D710</f>
        <v>0</v>
      </c>
      <c r="H710" s="398">
        <f t="shared" ref="H710:H715" si="211">F710*E710</f>
        <v>0</v>
      </c>
      <c r="I710" s="399"/>
      <c r="J710" s="362" t="s">
        <v>38</v>
      </c>
      <c r="K710" s="362" t="s">
        <v>257</v>
      </c>
      <c r="L710" s="362" t="s">
        <v>112</v>
      </c>
      <c r="M710" s="362" t="s">
        <v>144</v>
      </c>
      <c r="N710" s="362"/>
      <c r="P710" s="371"/>
    </row>
    <row r="711" spans="1:16" s="372" customFormat="1" ht="14" outlineLevel="3">
      <c r="A711" s="405" t="s">
        <v>8</v>
      </c>
      <c r="B711" s="490" t="s">
        <v>455</v>
      </c>
      <c r="C711" s="397" t="s">
        <v>24</v>
      </c>
      <c r="D711" s="398"/>
      <c r="E711" s="398"/>
      <c r="F711" s="493"/>
      <c r="G711" s="398">
        <f t="shared" si="210"/>
        <v>0</v>
      </c>
      <c r="H711" s="398">
        <f t="shared" si="211"/>
        <v>0</v>
      </c>
      <c r="I711" s="399"/>
      <c r="J711" s="362" t="s">
        <v>38</v>
      </c>
      <c r="K711" s="362" t="s">
        <v>257</v>
      </c>
      <c r="L711" s="362" t="s">
        <v>112</v>
      </c>
      <c r="M711" s="362" t="s">
        <v>144</v>
      </c>
      <c r="N711" s="362"/>
      <c r="P711" s="371"/>
    </row>
    <row r="712" spans="1:16" s="372" customFormat="1" ht="14" outlineLevel="3">
      <c r="A712" s="405" t="s">
        <v>8</v>
      </c>
      <c r="B712" s="490" t="s">
        <v>456</v>
      </c>
      <c r="C712" s="397" t="s">
        <v>24</v>
      </c>
      <c r="D712" s="398"/>
      <c r="E712" s="398"/>
      <c r="F712" s="494"/>
      <c r="G712" s="398">
        <f t="shared" si="210"/>
        <v>0</v>
      </c>
      <c r="H712" s="398">
        <f t="shared" si="211"/>
        <v>0</v>
      </c>
      <c r="I712" s="399"/>
      <c r="J712" s="362" t="s">
        <v>38</v>
      </c>
      <c r="K712" s="362" t="s">
        <v>257</v>
      </c>
      <c r="L712" s="362" t="s">
        <v>112</v>
      </c>
      <c r="M712" s="362" t="s">
        <v>144</v>
      </c>
      <c r="N712" s="362"/>
      <c r="P712" s="371"/>
    </row>
    <row r="713" spans="1:16" s="372" customFormat="1" ht="14" outlineLevel="3">
      <c r="A713" s="405" t="s">
        <v>8</v>
      </c>
      <c r="B713" s="490" t="s">
        <v>457</v>
      </c>
      <c r="C713" s="397" t="s">
        <v>24</v>
      </c>
      <c r="D713" s="398"/>
      <c r="E713" s="398"/>
      <c r="F713" s="524"/>
      <c r="G713" s="398">
        <f t="shared" si="210"/>
        <v>0</v>
      </c>
      <c r="H713" s="398">
        <f t="shared" si="211"/>
        <v>0</v>
      </c>
      <c r="I713" s="399"/>
      <c r="J713" s="362" t="s">
        <v>38</v>
      </c>
      <c r="K713" s="362" t="s">
        <v>257</v>
      </c>
      <c r="L713" s="362" t="s">
        <v>112</v>
      </c>
      <c r="M713" s="362" t="s">
        <v>144</v>
      </c>
      <c r="N713" s="362"/>
      <c r="P713" s="371"/>
    </row>
    <row r="714" spans="1:16" s="372" customFormat="1" ht="14" outlineLevel="3">
      <c r="A714" s="405" t="s">
        <v>8</v>
      </c>
      <c r="B714" s="490" t="s">
        <v>195</v>
      </c>
      <c r="C714" s="397" t="s">
        <v>24</v>
      </c>
      <c r="D714" s="398"/>
      <c r="E714" s="398"/>
      <c r="F714" s="493"/>
      <c r="G714" s="398">
        <f t="shared" si="210"/>
        <v>0</v>
      </c>
      <c r="H714" s="398">
        <f t="shared" si="211"/>
        <v>0</v>
      </c>
      <c r="I714" s="399"/>
      <c r="J714" s="362" t="s">
        <v>38</v>
      </c>
      <c r="K714" s="362" t="s">
        <v>257</v>
      </c>
      <c r="L714" s="362" t="s">
        <v>112</v>
      </c>
      <c r="M714" s="362" t="s">
        <v>144</v>
      </c>
      <c r="N714" s="362"/>
      <c r="P714" s="371"/>
    </row>
    <row r="715" spans="1:16" s="372" customFormat="1" ht="14" outlineLevel="3">
      <c r="A715" s="405" t="s">
        <v>8</v>
      </c>
      <c r="B715" s="490" t="s">
        <v>265</v>
      </c>
      <c r="C715" s="397" t="s">
        <v>24</v>
      </c>
      <c r="D715" s="398"/>
      <c r="E715" s="398"/>
      <c r="F715" s="494"/>
      <c r="G715" s="398">
        <f t="shared" si="210"/>
        <v>0</v>
      </c>
      <c r="H715" s="398">
        <f t="shared" si="211"/>
        <v>0</v>
      </c>
      <c r="I715" s="399"/>
      <c r="J715" s="362" t="s">
        <v>38</v>
      </c>
      <c r="K715" s="362" t="s">
        <v>257</v>
      </c>
      <c r="L715" s="362" t="s">
        <v>112</v>
      </c>
      <c r="M715" s="362" t="s">
        <v>144</v>
      </c>
      <c r="N715" s="362"/>
      <c r="P715" s="371"/>
    </row>
    <row r="716" spans="1:16" s="385" customFormat="1" ht="14" outlineLevel="2">
      <c r="A716" s="388" t="s">
        <v>610</v>
      </c>
      <c r="B716" s="488" t="s">
        <v>59</v>
      </c>
      <c r="C716" s="390"/>
      <c r="D716" s="391"/>
      <c r="E716" s="391"/>
      <c r="F716" s="391"/>
      <c r="G716" s="391">
        <f>SUBTOTAL(9,G717:G721)</f>
        <v>0</v>
      </c>
      <c r="H716" s="391">
        <f>SUBTOTAL(9,H717:H721)</f>
        <v>0</v>
      </c>
      <c r="I716" s="526"/>
      <c r="J716" s="383"/>
      <c r="K716" s="383"/>
      <c r="L716" s="383"/>
      <c r="M716" s="383"/>
      <c r="N716" s="383"/>
      <c r="P716" s="386"/>
    </row>
    <row r="717" spans="1:16" s="372" customFormat="1" ht="14" outlineLevel="3">
      <c r="A717" s="405" t="s">
        <v>8</v>
      </c>
      <c r="B717" s="490" t="s">
        <v>162</v>
      </c>
      <c r="C717" s="397" t="s">
        <v>24</v>
      </c>
      <c r="D717" s="398"/>
      <c r="E717" s="398"/>
      <c r="F717" s="499"/>
      <c r="G717" s="398">
        <f t="shared" ref="G717:G721" si="212">F717*D717</f>
        <v>0</v>
      </c>
      <c r="H717" s="398">
        <f t="shared" ref="H717:H721" si="213">F717*E717</f>
        <v>0</v>
      </c>
      <c r="I717" s="399"/>
      <c r="J717" s="362" t="s">
        <v>38</v>
      </c>
      <c r="K717" s="362" t="s">
        <v>257</v>
      </c>
      <c r="L717" s="362" t="s">
        <v>112</v>
      </c>
      <c r="M717" s="362" t="s">
        <v>144</v>
      </c>
      <c r="N717" s="362"/>
      <c r="P717" s="371"/>
    </row>
    <row r="718" spans="1:16" s="372" customFormat="1" ht="14" outlineLevel="3">
      <c r="A718" s="405" t="s">
        <v>8</v>
      </c>
      <c r="B718" s="490" t="s">
        <v>235</v>
      </c>
      <c r="C718" s="397" t="s">
        <v>24</v>
      </c>
      <c r="D718" s="398"/>
      <c r="E718" s="398"/>
      <c r="F718" s="398"/>
      <c r="G718" s="398">
        <f t="shared" si="212"/>
        <v>0</v>
      </c>
      <c r="H718" s="398">
        <f t="shared" si="213"/>
        <v>0</v>
      </c>
      <c r="I718" s="399"/>
      <c r="J718" s="362" t="s">
        <v>38</v>
      </c>
      <c r="K718" s="362" t="s">
        <v>257</v>
      </c>
      <c r="L718" s="362" t="s">
        <v>112</v>
      </c>
      <c r="M718" s="362" t="s">
        <v>144</v>
      </c>
      <c r="N718" s="362"/>
      <c r="P718" s="371"/>
    </row>
    <row r="719" spans="1:16" s="372" customFormat="1" ht="14" outlineLevel="3">
      <c r="A719" s="405" t="s">
        <v>8</v>
      </c>
      <c r="B719" s="490" t="s">
        <v>196</v>
      </c>
      <c r="C719" s="397" t="s">
        <v>24</v>
      </c>
      <c r="D719" s="398"/>
      <c r="E719" s="398"/>
      <c r="F719" s="500"/>
      <c r="G719" s="398">
        <f t="shared" si="212"/>
        <v>0</v>
      </c>
      <c r="H719" s="398">
        <f t="shared" si="213"/>
        <v>0</v>
      </c>
      <c r="I719" s="399"/>
      <c r="J719" s="362" t="s">
        <v>38</v>
      </c>
      <c r="K719" s="362" t="s">
        <v>257</v>
      </c>
      <c r="L719" s="362" t="s">
        <v>112</v>
      </c>
      <c r="M719" s="362" t="s">
        <v>144</v>
      </c>
      <c r="N719" s="362"/>
      <c r="P719" s="371"/>
    </row>
    <row r="720" spans="1:16" s="372" customFormat="1" ht="14" outlineLevel="3">
      <c r="A720" s="405" t="s">
        <v>8</v>
      </c>
      <c r="B720" s="501" t="s">
        <v>266</v>
      </c>
      <c r="C720" s="397" t="s">
        <v>9</v>
      </c>
      <c r="D720" s="398"/>
      <c r="E720" s="398"/>
      <c r="F720" s="398"/>
      <c r="G720" s="398">
        <f t="shared" si="212"/>
        <v>0</v>
      </c>
      <c r="H720" s="398">
        <f t="shared" si="213"/>
        <v>0</v>
      </c>
      <c r="I720" s="399"/>
      <c r="J720" s="362" t="s">
        <v>38</v>
      </c>
      <c r="K720" s="362" t="s">
        <v>257</v>
      </c>
      <c r="L720" s="362" t="s">
        <v>112</v>
      </c>
      <c r="M720" s="362" t="s">
        <v>144</v>
      </c>
      <c r="N720" s="362"/>
      <c r="P720" s="371"/>
    </row>
    <row r="721" spans="1:16" s="372" customFormat="1" ht="14" outlineLevel="3">
      <c r="A721" s="405" t="s">
        <v>8</v>
      </c>
      <c r="B721" s="490" t="s">
        <v>267</v>
      </c>
      <c r="C721" s="397" t="s">
        <v>9</v>
      </c>
      <c r="D721" s="502"/>
      <c r="E721" s="502"/>
      <c r="F721" s="503"/>
      <c r="G721" s="398">
        <f t="shared" si="212"/>
        <v>0</v>
      </c>
      <c r="H721" s="398">
        <f t="shared" si="213"/>
        <v>0</v>
      </c>
      <c r="I721" s="399"/>
      <c r="J721" s="362" t="s">
        <v>38</v>
      </c>
      <c r="K721" s="362" t="s">
        <v>257</v>
      </c>
      <c r="L721" s="362" t="s">
        <v>112</v>
      </c>
      <c r="M721" s="362" t="s">
        <v>144</v>
      </c>
      <c r="N721" s="362"/>
      <c r="P721" s="371"/>
    </row>
    <row r="722" spans="1:16" s="385" customFormat="1" ht="14" outlineLevel="2">
      <c r="A722" s="388" t="s">
        <v>611</v>
      </c>
      <c r="B722" s="527" t="s">
        <v>35</v>
      </c>
      <c r="C722" s="390"/>
      <c r="D722" s="391"/>
      <c r="E722" s="391"/>
      <c r="F722" s="391"/>
      <c r="G722" s="391">
        <f>SUBTOTAL(9,G723:G742)</f>
        <v>0</v>
      </c>
      <c r="H722" s="391">
        <f>SUBTOTAL(9,H723:H742)</f>
        <v>0</v>
      </c>
      <c r="I722" s="392"/>
      <c r="J722" s="383"/>
      <c r="K722" s="383"/>
      <c r="L722" s="383"/>
      <c r="M722" s="383"/>
      <c r="N722" s="383"/>
      <c r="P722" s="386"/>
    </row>
    <row r="723" spans="1:16" s="372" customFormat="1" ht="14" outlineLevel="4">
      <c r="A723" s="405" t="s">
        <v>8</v>
      </c>
      <c r="B723" s="396" t="s">
        <v>197</v>
      </c>
      <c r="C723" s="397" t="s">
        <v>24</v>
      </c>
      <c r="D723" s="398"/>
      <c r="E723" s="398"/>
      <c r="F723" s="398"/>
      <c r="G723" s="398">
        <f t="shared" ref="G723:G743" si="214">F723*D723</f>
        <v>0</v>
      </c>
      <c r="H723" s="398">
        <f t="shared" ref="H723:H743" si="215">F723*E723</f>
        <v>0</v>
      </c>
      <c r="I723" s="399"/>
      <c r="J723" s="362" t="s">
        <v>38</v>
      </c>
      <c r="K723" s="362" t="s">
        <v>257</v>
      </c>
      <c r="L723" s="362" t="s">
        <v>112</v>
      </c>
      <c r="M723" s="362" t="s">
        <v>144</v>
      </c>
      <c r="N723" s="362"/>
      <c r="P723" s="371"/>
    </row>
    <row r="724" spans="1:16" s="372" customFormat="1" ht="14" outlineLevel="4">
      <c r="A724" s="405" t="s">
        <v>8</v>
      </c>
      <c r="B724" s="396" t="s">
        <v>198</v>
      </c>
      <c r="C724" s="397" t="s">
        <v>24</v>
      </c>
      <c r="D724" s="398"/>
      <c r="E724" s="398"/>
      <c r="F724" s="398"/>
      <c r="G724" s="398">
        <f t="shared" si="214"/>
        <v>0</v>
      </c>
      <c r="H724" s="398">
        <f t="shared" si="215"/>
        <v>0</v>
      </c>
      <c r="I724" s="399"/>
      <c r="J724" s="362" t="s">
        <v>38</v>
      </c>
      <c r="K724" s="362" t="s">
        <v>257</v>
      </c>
      <c r="L724" s="362" t="s">
        <v>112</v>
      </c>
      <c r="M724" s="362" t="s">
        <v>144</v>
      </c>
      <c r="N724" s="362"/>
      <c r="P724" s="371"/>
    </row>
    <row r="725" spans="1:16" s="372" customFormat="1" ht="14" outlineLevel="4">
      <c r="A725" s="405" t="s">
        <v>8</v>
      </c>
      <c r="B725" s="396" t="s">
        <v>197</v>
      </c>
      <c r="C725" s="397" t="s">
        <v>24</v>
      </c>
      <c r="D725" s="398"/>
      <c r="E725" s="398"/>
      <c r="F725" s="398"/>
      <c r="G725" s="398">
        <f t="shared" si="214"/>
        <v>0</v>
      </c>
      <c r="H725" s="398">
        <f t="shared" si="215"/>
        <v>0</v>
      </c>
      <c r="I725" s="399"/>
      <c r="J725" s="362" t="s">
        <v>38</v>
      </c>
      <c r="K725" s="362" t="s">
        <v>257</v>
      </c>
      <c r="L725" s="362" t="s">
        <v>112</v>
      </c>
      <c r="M725" s="362" t="s">
        <v>144</v>
      </c>
      <c r="N725" s="362"/>
      <c r="P725" s="371"/>
    </row>
    <row r="726" spans="1:16" s="372" customFormat="1" ht="14" outlineLevel="4">
      <c r="A726" s="405" t="s">
        <v>8</v>
      </c>
      <c r="B726" s="396" t="s">
        <v>198</v>
      </c>
      <c r="C726" s="397" t="s">
        <v>24</v>
      </c>
      <c r="D726" s="398"/>
      <c r="E726" s="398"/>
      <c r="F726" s="398"/>
      <c r="G726" s="398">
        <f t="shared" si="214"/>
        <v>0</v>
      </c>
      <c r="H726" s="398">
        <f t="shared" si="215"/>
        <v>0</v>
      </c>
      <c r="I726" s="399"/>
      <c r="J726" s="362" t="s">
        <v>38</v>
      </c>
      <c r="K726" s="362" t="s">
        <v>257</v>
      </c>
      <c r="L726" s="362" t="s">
        <v>112</v>
      </c>
      <c r="M726" s="362" t="s">
        <v>144</v>
      </c>
      <c r="N726" s="362"/>
      <c r="P726" s="371"/>
    </row>
    <row r="727" spans="1:16" s="372" customFormat="1" ht="14" outlineLevel="4">
      <c r="A727" s="405" t="s">
        <v>8</v>
      </c>
      <c r="B727" s="396" t="s">
        <v>268</v>
      </c>
      <c r="C727" s="397" t="s">
        <v>24</v>
      </c>
      <c r="D727" s="398"/>
      <c r="E727" s="398"/>
      <c r="F727" s="500"/>
      <c r="G727" s="398">
        <f t="shared" si="214"/>
        <v>0</v>
      </c>
      <c r="H727" s="398">
        <f t="shared" si="215"/>
        <v>0</v>
      </c>
      <c r="I727" s="399"/>
      <c r="J727" s="362" t="s">
        <v>38</v>
      </c>
      <c r="K727" s="362" t="s">
        <v>257</v>
      </c>
      <c r="L727" s="362" t="s">
        <v>112</v>
      </c>
      <c r="M727" s="362" t="s">
        <v>144</v>
      </c>
      <c r="N727" s="362"/>
      <c r="P727" s="371"/>
    </row>
    <row r="728" spans="1:16" s="372" customFormat="1" ht="14" outlineLevel="4">
      <c r="A728" s="405" t="s">
        <v>8</v>
      </c>
      <c r="B728" s="396" t="s">
        <v>269</v>
      </c>
      <c r="C728" s="397" t="s">
        <v>24</v>
      </c>
      <c r="D728" s="398"/>
      <c r="E728" s="398"/>
      <c r="F728" s="398"/>
      <c r="G728" s="398">
        <f t="shared" si="214"/>
        <v>0</v>
      </c>
      <c r="H728" s="398">
        <f t="shared" si="215"/>
        <v>0</v>
      </c>
      <c r="I728" s="399"/>
      <c r="J728" s="362" t="s">
        <v>38</v>
      </c>
      <c r="K728" s="362" t="s">
        <v>257</v>
      </c>
      <c r="L728" s="362" t="s">
        <v>112</v>
      </c>
      <c r="M728" s="362" t="s">
        <v>144</v>
      </c>
      <c r="N728" s="362"/>
      <c r="P728" s="371"/>
    </row>
    <row r="729" spans="1:16" s="372" customFormat="1" ht="14" outlineLevel="4">
      <c r="A729" s="405" t="s">
        <v>8</v>
      </c>
      <c r="B729" s="396" t="s">
        <v>270</v>
      </c>
      <c r="C729" s="397" t="s">
        <v>9</v>
      </c>
      <c r="D729" s="398"/>
      <c r="E729" s="398"/>
      <c r="F729" s="398"/>
      <c r="G729" s="398">
        <f t="shared" si="214"/>
        <v>0</v>
      </c>
      <c r="H729" s="398">
        <f t="shared" si="215"/>
        <v>0</v>
      </c>
      <c r="I729" s="399"/>
      <c r="J729" s="362" t="s">
        <v>38</v>
      </c>
      <c r="K729" s="362" t="s">
        <v>257</v>
      </c>
      <c r="L729" s="362" t="s">
        <v>112</v>
      </c>
      <c r="M729" s="362" t="s">
        <v>144</v>
      </c>
      <c r="N729" s="362"/>
      <c r="P729" s="371"/>
    </row>
    <row r="730" spans="1:16" s="372" customFormat="1" ht="14" outlineLevel="4">
      <c r="A730" s="405" t="s">
        <v>8</v>
      </c>
      <c r="B730" s="396" t="s">
        <v>199</v>
      </c>
      <c r="C730" s="397" t="s">
        <v>24</v>
      </c>
      <c r="D730" s="398"/>
      <c r="E730" s="398"/>
      <c r="F730" s="398"/>
      <c r="G730" s="398">
        <f t="shared" si="214"/>
        <v>0</v>
      </c>
      <c r="H730" s="398">
        <f t="shared" si="215"/>
        <v>0</v>
      </c>
      <c r="I730" s="399"/>
      <c r="J730" s="362" t="s">
        <v>38</v>
      </c>
      <c r="K730" s="362" t="s">
        <v>257</v>
      </c>
      <c r="L730" s="362" t="s">
        <v>112</v>
      </c>
      <c r="M730" s="362" t="s">
        <v>144</v>
      </c>
      <c r="N730" s="362"/>
      <c r="P730" s="371"/>
    </row>
    <row r="731" spans="1:16" s="372" customFormat="1" ht="14" outlineLevel="4">
      <c r="A731" s="405" t="s">
        <v>8</v>
      </c>
      <c r="B731" s="396" t="s">
        <v>200</v>
      </c>
      <c r="C731" s="397" t="s">
        <v>24</v>
      </c>
      <c r="D731" s="398"/>
      <c r="E731" s="398"/>
      <c r="F731" s="398"/>
      <c r="G731" s="398">
        <f t="shared" si="214"/>
        <v>0</v>
      </c>
      <c r="H731" s="398">
        <f t="shared" si="215"/>
        <v>0</v>
      </c>
      <c r="I731" s="399"/>
      <c r="J731" s="362" t="s">
        <v>38</v>
      </c>
      <c r="K731" s="362" t="s">
        <v>257</v>
      </c>
      <c r="L731" s="362" t="s">
        <v>112</v>
      </c>
      <c r="M731" s="362" t="s">
        <v>144</v>
      </c>
      <c r="N731" s="362"/>
      <c r="P731" s="371"/>
    </row>
    <row r="732" spans="1:16" s="372" customFormat="1" ht="14" outlineLevel="4">
      <c r="A732" s="405" t="s">
        <v>8</v>
      </c>
      <c r="B732" s="490" t="s">
        <v>271</v>
      </c>
      <c r="C732" s="397" t="s">
        <v>24</v>
      </c>
      <c r="D732" s="398"/>
      <c r="E732" s="398"/>
      <c r="F732" s="398"/>
      <c r="G732" s="398">
        <f t="shared" si="214"/>
        <v>0</v>
      </c>
      <c r="H732" s="398">
        <f t="shared" si="215"/>
        <v>0</v>
      </c>
      <c r="I732" s="399"/>
      <c r="J732" s="362" t="s">
        <v>38</v>
      </c>
      <c r="K732" s="362" t="s">
        <v>257</v>
      </c>
      <c r="L732" s="362" t="s">
        <v>112</v>
      </c>
      <c r="M732" s="362" t="s">
        <v>144</v>
      </c>
      <c r="N732" s="362"/>
      <c r="P732" s="371"/>
    </row>
    <row r="733" spans="1:16" s="372" customFormat="1" ht="14" outlineLevel="4">
      <c r="A733" s="405" t="s">
        <v>8</v>
      </c>
      <c r="B733" s="396" t="s">
        <v>272</v>
      </c>
      <c r="C733" s="397" t="s">
        <v>24</v>
      </c>
      <c r="D733" s="398"/>
      <c r="E733" s="398"/>
      <c r="F733" s="398"/>
      <c r="G733" s="398">
        <f t="shared" si="214"/>
        <v>0</v>
      </c>
      <c r="H733" s="398">
        <f t="shared" si="215"/>
        <v>0</v>
      </c>
      <c r="I733" s="399"/>
      <c r="J733" s="362" t="s">
        <v>38</v>
      </c>
      <c r="K733" s="362" t="s">
        <v>257</v>
      </c>
      <c r="L733" s="362" t="s">
        <v>112</v>
      </c>
      <c r="M733" s="362" t="s">
        <v>144</v>
      </c>
      <c r="N733" s="362"/>
      <c r="P733" s="371"/>
    </row>
    <row r="734" spans="1:16" s="372" customFormat="1" ht="14" outlineLevel="4">
      <c r="A734" s="405" t="s">
        <v>8</v>
      </c>
      <c r="B734" s="509" t="s">
        <v>273</v>
      </c>
      <c r="C734" s="397" t="s">
        <v>9</v>
      </c>
      <c r="D734" s="398"/>
      <c r="E734" s="398"/>
      <c r="F734" s="398"/>
      <c r="G734" s="398">
        <f t="shared" si="214"/>
        <v>0</v>
      </c>
      <c r="H734" s="398">
        <f t="shared" si="215"/>
        <v>0</v>
      </c>
      <c r="I734" s="399"/>
      <c r="J734" s="362" t="s">
        <v>38</v>
      </c>
      <c r="K734" s="362" t="s">
        <v>257</v>
      </c>
      <c r="L734" s="362" t="s">
        <v>112</v>
      </c>
      <c r="M734" s="362" t="s">
        <v>144</v>
      </c>
      <c r="N734" s="362"/>
      <c r="P734" s="371"/>
    </row>
    <row r="735" spans="1:16" s="372" customFormat="1" ht="14" outlineLevel="4">
      <c r="A735" s="405" t="s">
        <v>8</v>
      </c>
      <c r="B735" s="490" t="s">
        <v>201</v>
      </c>
      <c r="C735" s="397" t="s">
        <v>24</v>
      </c>
      <c r="D735" s="398"/>
      <c r="E735" s="398"/>
      <c r="F735" s="398"/>
      <c r="G735" s="398">
        <f t="shared" si="214"/>
        <v>0</v>
      </c>
      <c r="H735" s="398">
        <f t="shared" si="215"/>
        <v>0</v>
      </c>
      <c r="I735" s="399"/>
      <c r="J735" s="362" t="s">
        <v>38</v>
      </c>
      <c r="K735" s="362" t="s">
        <v>257</v>
      </c>
      <c r="L735" s="362" t="s">
        <v>112</v>
      </c>
      <c r="M735" s="362" t="s">
        <v>144</v>
      </c>
      <c r="N735" s="362"/>
      <c r="P735" s="371"/>
    </row>
    <row r="736" spans="1:16" s="372" customFormat="1" ht="14" outlineLevel="4">
      <c r="A736" s="405" t="s">
        <v>8</v>
      </c>
      <c r="B736" s="396" t="s">
        <v>207</v>
      </c>
      <c r="C736" s="397" t="s">
        <v>24</v>
      </c>
      <c r="D736" s="398"/>
      <c r="E736" s="398"/>
      <c r="F736" s="398"/>
      <c r="G736" s="398">
        <f t="shared" si="214"/>
        <v>0</v>
      </c>
      <c r="H736" s="398">
        <f t="shared" si="215"/>
        <v>0</v>
      </c>
      <c r="I736" s="399"/>
      <c r="J736" s="362" t="s">
        <v>38</v>
      </c>
      <c r="K736" s="362" t="s">
        <v>257</v>
      </c>
      <c r="L736" s="362" t="s">
        <v>112</v>
      </c>
      <c r="M736" s="362" t="s">
        <v>144</v>
      </c>
      <c r="N736" s="362"/>
      <c r="P736" s="371"/>
    </row>
    <row r="737" spans="1:16" s="372" customFormat="1" ht="14" outlineLevel="4">
      <c r="A737" s="405" t="s">
        <v>8</v>
      </c>
      <c r="B737" s="509" t="s">
        <v>202</v>
      </c>
      <c r="C737" s="397" t="s">
        <v>24</v>
      </c>
      <c r="D737" s="398"/>
      <c r="E737" s="398"/>
      <c r="F737" s="504"/>
      <c r="G737" s="398">
        <f t="shared" si="214"/>
        <v>0</v>
      </c>
      <c r="H737" s="398">
        <f t="shared" si="215"/>
        <v>0</v>
      </c>
      <c r="I737" s="399"/>
      <c r="J737" s="362" t="s">
        <v>38</v>
      </c>
      <c r="K737" s="362" t="s">
        <v>257</v>
      </c>
      <c r="L737" s="362" t="s">
        <v>112</v>
      </c>
      <c r="M737" s="362" t="s">
        <v>144</v>
      </c>
      <c r="N737" s="362"/>
      <c r="P737" s="371"/>
    </row>
    <row r="738" spans="1:16" s="372" customFormat="1" ht="14" outlineLevel="4">
      <c r="A738" s="405" t="s">
        <v>8</v>
      </c>
      <c r="B738" s="509" t="s">
        <v>203</v>
      </c>
      <c r="C738" s="397" t="s">
        <v>24</v>
      </c>
      <c r="D738" s="398"/>
      <c r="E738" s="398"/>
      <c r="F738" s="528"/>
      <c r="G738" s="398">
        <f t="shared" si="214"/>
        <v>0</v>
      </c>
      <c r="H738" s="398">
        <f t="shared" si="215"/>
        <v>0</v>
      </c>
      <c r="I738" s="399"/>
      <c r="J738" s="362" t="s">
        <v>38</v>
      </c>
      <c r="K738" s="362" t="s">
        <v>257</v>
      </c>
      <c r="L738" s="362" t="s">
        <v>112</v>
      </c>
      <c r="M738" s="362" t="s">
        <v>144</v>
      </c>
      <c r="N738" s="362"/>
      <c r="P738" s="371"/>
    </row>
    <row r="739" spans="1:16" s="372" customFormat="1" ht="14" outlineLevel="4">
      <c r="A739" s="405" t="s">
        <v>8</v>
      </c>
      <c r="B739" s="509" t="s">
        <v>278</v>
      </c>
      <c r="C739" s="397" t="s">
        <v>24</v>
      </c>
      <c r="D739" s="398"/>
      <c r="E739" s="398"/>
      <c r="F739" s="398"/>
      <c r="G739" s="398">
        <f t="shared" si="214"/>
        <v>0</v>
      </c>
      <c r="H739" s="398">
        <f t="shared" si="215"/>
        <v>0</v>
      </c>
      <c r="I739" s="399"/>
      <c r="J739" s="362" t="s">
        <v>38</v>
      </c>
      <c r="K739" s="362" t="s">
        <v>257</v>
      </c>
      <c r="L739" s="362" t="s">
        <v>112</v>
      </c>
      <c r="M739" s="362" t="s">
        <v>144</v>
      </c>
      <c r="N739" s="362"/>
      <c r="P739" s="371"/>
    </row>
    <row r="740" spans="1:16" s="372" customFormat="1" ht="14" outlineLevel="4">
      <c r="A740" s="405" t="s">
        <v>8</v>
      </c>
      <c r="B740" s="509" t="s">
        <v>142</v>
      </c>
      <c r="C740" s="397" t="s">
        <v>24</v>
      </c>
      <c r="D740" s="398"/>
      <c r="E740" s="398"/>
      <c r="F740" s="504"/>
      <c r="G740" s="398">
        <f t="shared" si="214"/>
        <v>0</v>
      </c>
      <c r="H740" s="398">
        <f t="shared" si="215"/>
        <v>0</v>
      </c>
      <c r="I740" s="399"/>
      <c r="J740" s="362" t="s">
        <v>38</v>
      </c>
      <c r="K740" s="362" t="s">
        <v>257</v>
      </c>
      <c r="L740" s="362" t="s">
        <v>112</v>
      </c>
      <c r="M740" s="362" t="s">
        <v>144</v>
      </c>
      <c r="N740" s="362"/>
      <c r="P740" s="371"/>
    </row>
    <row r="741" spans="1:16" s="372" customFormat="1" ht="14" outlineLevel="4">
      <c r="A741" s="405" t="s">
        <v>8</v>
      </c>
      <c r="B741" s="509" t="s">
        <v>143</v>
      </c>
      <c r="C741" s="397" t="s">
        <v>24</v>
      </c>
      <c r="D741" s="398"/>
      <c r="E741" s="398"/>
      <c r="F741" s="398"/>
      <c r="G741" s="398">
        <f t="shared" si="214"/>
        <v>0</v>
      </c>
      <c r="H741" s="398">
        <f t="shared" si="215"/>
        <v>0</v>
      </c>
      <c r="I741" s="399"/>
      <c r="J741" s="362" t="s">
        <v>38</v>
      </c>
      <c r="K741" s="362" t="s">
        <v>257</v>
      </c>
      <c r="L741" s="362" t="s">
        <v>112</v>
      </c>
      <c r="M741" s="362" t="s">
        <v>144</v>
      </c>
      <c r="N741" s="362"/>
      <c r="P741" s="371"/>
    </row>
    <row r="742" spans="1:16" s="372" customFormat="1" ht="14" outlineLevel="4">
      <c r="A742" s="405" t="s">
        <v>8</v>
      </c>
      <c r="B742" s="509" t="s">
        <v>204</v>
      </c>
      <c r="C742" s="397" t="s">
        <v>9</v>
      </c>
      <c r="D742" s="398"/>
      <c r="E742" s="398"/>
      <c r="F742" s="398"/>
      <c r="G742" s="398">
        <f t="shared" si="214"/>
        <v>0</v>
      </c>
      <c r="H742" s="398">
        <f t="shared" si="215"/>
        <v>0</v>
      </c>
      <c r="I742" s="399"/>
      <c r="J742" s="362" t="s">
        <v>38</v>
      </c>
      <c r="K742" s="362" t="s">
        <v>257</v>
      </c>
      <c r="L742" s="362" t="s">
        <v>112</v>
      </c>
      <c r="M742" s="362" t="s">
        <v>144</v>
      </c>
      <c r="N742" s="362"/>
      <c r="P742" s="371"/>
    </row>
    <row r="743" spans="1:16" s="416" customFormat="1" ht="14" outlineLevel="2">
      <c r="A743" s="388" t="s">
        <v>612</v>
      </c>
      <c r="B743" s="523" t="s">
        <v>600</v>
      </c>
      <c r="C743" s="397" t="s">
        <v>9</v>
      </c>
      <c r="D743" s="502"/>
      <c r="E743" s="398"/>
      <c r="F743" s="398"/>
      <c r="G743" s="398">
        <f t="shared" si="214"/>
        <v>0</v>
      </c>
      <c r="H743" s="398">
        <f t="shared" si="215"/>
        <v>0</v>
      </c>
      <c r="I743" s="399"/>
      <c r="J743" s="362" t="s">
        <v>38</v>
      </c>
      <c r="K743" s="362" t="s">
        <v>257</v>
      </c>
      <c r="L743" s="411" t="s">
        <v>112</v>
      </c>
      <c r="M743" s="411"/>
      <c r="N743" s="411"/>
      <c r="P743" s="417"/>
    </row>
    <row r="744" spans="1:16" s="372" customFormat="1" ht="14" outlineLevel="3">
      <c r="A744" s="388">
        <v>2.4</v>
      </c>
      <c r="B744" s="489" t="s">
        <v>154</v>
      </c>
      <c r="C744" s="397"/>
      <c r="D744" s="398"/>
      <c r="E744" s="398"/>
      <c r="F744" s="493"/>
      <c r="G744" s="398">
        <f>SUBTOTAL(9,G745:G778)</f>
        <v>0</v>
      </c>
      <c r="H744" s="398">
        <f>SUBTOTAL(9,H745:H778)</f>
        <v>0</v>
      </c>
      <c r="I744" s="399"/>
      <c r="J744" s="362"/>
      <c r="K744" s="362"/>
      <c r="L744" s="362"/>
      <c r="M744" s="362"/>
      <c r="N744" s="362"/>
      <c r="P744" s="371"/>
    </row>
    <row r="745" spans="1:16" s="372" customFormat="1" ht="14" outlineLevel="3">
      <c r="A745" s="388" t="s">
        <v>615</v>
      </c>
      <c r="B745" s="489" t="s">
        <v>541</v>
      </c>
      <c r="C745" s="397"/>
      <c r="D745" s="398"/>
      <c r="E745" s="398"/>
      <c r="F745" s="491"/>
      <c r="G745" s="398"/>
      <c r="H745" s="398"/>
      <c r="I745" s="399"/>
      <c r="J745" s="362"/>
      <c r="K745" s="362"/>
      <c r="L745" s="362"/>
      <c r="M745" s="362"/>
      <c r="N745" s="362"/>
      <c r="P745" s="371"/>
    </row>
    <row r="746" spans="1:16" s="372" customFormat="1" ht="14" outlineLevel="3">
      <c r="A746" s="388" t="s">
        <v>8</v>
      </c>
      <c r="B746" s="490" t="s">
        <v>193</v>
      </c>
      <c r="C746" s="397" t="s">
        <v>24</v>
      </c>
      <c r="D746" s="398"/>
      <c r="E746" s="398"/>
      <c r="F746" s="491"/>
      <c r="G746" s="398">
        <f t="shared" ref="G746:G751" si="216">F746*D746</f>
        <v>0</v>
      </c>
      <c r="H746" s="398">
        <f t="shared" ref="H746:H751" si="217">F746*E746</f>
        <v>0</v>
      </c>
      <c r="I746" s="399"/>
      <c r="J746" s="362" t="s">
        <v>38</v>
      </c>
      <c r="K746" s="362" t="s">
        <v>257</v>
      </c>
      <c r="L746" s="362" t="s">
        <v>112</v>
      </c>
      <c r="M746" s="362" t="s">
        <v>144</v>
      </c>
      <c r="N746" s="362"/>
      <c r="P746" s="371"/>
    </row>
    <row r="747" spans="1:16" s="372" customFormat="1" ht="14" outlineLevel="3">
      <c r="A747" s="405" t="s">
        <v>8</v>
      </c>
      <c r="B747" s="490" t="s">
        <v>455</v>
      </c>
      <c r="C747" s="397" t="s">
        <v>24</v>
      </c>
      <c r="D747" s="398"/>
      <c r="E747" s="398"/>
      <c r="F747" s="491"/>
      <c r="G747" s="398">
        <f t="shared" si="216"/>
        <v>0</v>
      </c>
      <c r="H747" s="398">
        <f t="shared" si="217"/>
        <v>0</v>
      </c>
      <c r="I747" s="399"/>
      <c r="J747" s="362" t="s">
        <v>38</v>
      </c>
      <c r="K747" s="362" t="s">
        <v>257</v>
      </c>
      <c r="L747" s="362" t="s">
        <v>112</v>
      </c>
      <c r="M747" s="362" t="s">
        <v>144</v>
      </c>
      <c r="N747" s="362"/>
      <c r="P747" s="341"/>
    </row>
    <row r="748" spans="1:16" s="372" customFormat="1" ht="14" outlineLevel="3">
      <c r="A748" s="405" t="s">
        <v>8</v>
      </c>
      <c r="B748" s="490" t="s">
        <v>456</v>
      </c>
      <c r="C748" s="397" t="s">
        <v>24</v>
      </c>
      <c r="D748" s="398"/>
      <c r="E748" s="398"/>
      <c r="F748" s="525"/>
      <c r="G748" s="398">
        <f t="shared" si="216"/>
        <v>0</v>
      </c>
      <c r="H748" s="398">
        <f t="shared" si="217"/>
        <v>0</v>
      </c>
      <c r="I748" s="399"/>
      <c r="J748" s="362" t="s">
        <v>38</v>
      </c>
      <c r="K748" s="362" t="s">
        <v>257</v>
      </c>
      <c r="L748" s="362" t="s">
        <v>112</v>
      </c>
      <c r="M748" s="362" t="s">
        <v>144</v>
      </c>
      <c r="N748" s="362"/>
      <c r="P748" s="341"/>
    </row>
    <row r="749" spans="1:16" s="372" customFormat="1" ht="14" outlineLevel="3">
      <c r="A749" s="405" t="s">
        <v>8</v>
      </c>
      <c r="B749" s="490" t="s">
        <v>457</v>
      </c>
      <c r="C749" s="397" t="s">
        <v>24</v>
      </c>
      <c r="D749" s="398"/>
      <c r="E749" s="398"/>
      <c r="F749" s="524"/>
      <c r="G749" s="398">
        <f t="shared" si="216"/>
        <v>0</v>
      </c>
      <c r="H749" s="398">
        <f t="shared" si="217"/>
        <v>0</v>
      </c>
      <c r="I749" s="399"/>
      <c r="J749" s="362" t="s">
        <v>38</v>
      </c>
      <c r="K749" s="362" t="s">
        <v>257</v>
      </c>
      <c r="L749" s="362" t="s">
        <v>112</v>
      </c>
      <c r="M749" s="362" t="s">
        <v>144</v>
      </c>
      <c r="N749" s="362"/>
      <c r="P749" s="371"/>
    </row>
    <row r="750" spans="1:16" s="372" customFormat="1" ht="14" outlineLevel="3">
      <c r="A750" s="405" t="s">
        <v>8</v>
      </c>
      <c r="B750" s="490" t="s">
        <v>195</v>
      </c>
      <c r="C750" s="397" t="s">
        <v>24</v>
      </c>
      <c r="D750" s="398"/>
      <c r="E750" s="398"/>
      <c r="F750" s="491"/>
      <c r="G750" s="398">
        <f t="shared" si="216"/>
        <v>0</v>
      </c>
      <c r="H750" s="398">
        <f t="shared" si="217"/>
        <v>0</v>
      </c>
      <c r="I750" s="399"/>
      <c r="J750" s="362" t="s">
        <v>38</v>
      </c>
      <c r="K750" s="362" t="s">
        <v>257</v>
      </c>
      <c r="L750" s="362" t="s">
        <v>112</v>
      </c>
      <c r="M750" s="362" t="s">
        <v>144</v>
      </c>
      <c r="N750" s="362"/>
      <c r="P750" s="371"/>
    </row>
    <row r="751" spans="1:16" s="372" customFormat="1" ht="14" outlineLevel="3">
      <c r="A751" s="405" t="s">
        <v>8</v>
      </c>
      <c r="B751" s="490" t="s">
        <v>265</v>
      </c>
      <c r="C751" s="397" t="s">
        <v>24</v>
      </c>
      <c r="D751" s="398"/>
      <c r="E751" s="398"/>
      <c r="F751" s="398"/>
      <c r="G751" s="398">
        <f t="shared" si="216"/>
        <v>0</v>
      </c>
      <c r="H751" s="398">
        <f t="shared" si="217"/>
        <v>0</v>
      </c>
      <c r="I751" s="399"/>
      <c r="J751" s="362" t="s">
        <v>38</v>
      </c>
      <c r="K751" s="362" t="s">
        <v>257</v>
      </c>
      <c r="L751" s="362" t="s">
        <v>112</v>
      </c>
      <c r="M751" s="362" t="s">
        <v>144</v>
      </c>
      <c r="N751" s="362"/>
      <c r="P751" s="371"/>
    </row>
    <row r="752" spans="1:16" s="385" customFormat="1" ht="14" outlineLevel="2">
      <c r="A752" s="388" t="s">
        <v>617</v>
      </c>
      <c r="B752" s="488" t="s">
        <v>59</v>
      </c>
      <c r="C752" s="390"/>
      <c r="D752" s="391"/>
      <c r="E752" s="391"/>
      <c r="F752" s="391"/>
      <c r="G752" s="391">
        <f>SUBTOTAL(9,G753:G757)</f>
        <v>0</v>
      </c>
      <c r="H752" s="391">
        <f>SUBTOTAL(9,H753:H757)</f>
        <v>0</v>
      </c>
      <c r="I752" s="526"/>
      <c r="J752" s="383"/>
      <c r="K752" s="383"/>
      <c r="L752" s="383"/>
      <c r="M752" s="383"/>
      <c r="N752" s="383"/>
      <c r="P752" s="386"/>
    </row>
    <row r="753" spans="1:16" s="372" customFormat="1" ht="14" outlineLevel="3">
      <c r="A753" s="405" t="s">
        <v>8</v>
      </c>
      <c r="B753" s="490" t="s">
        <v>162</v>
      </c>
      <c r="C753" s="397" t="s">
        <v>24</v>
      </c>
      <c r="D753" s="398"/>
      <c r="E753" s="398"/>
      <c r="F753" s="499"/>
      <c r="G753" s="398">
        <f t="shared" ref="G753:G757" si="218">F753*D753</f>
        <v>0</v>
      </c>
      <c r="H753" s="398">
        <f t="shared" ref="H753:H757" si="219">F753*E753</f>
        <v>0</v>
      </c>
      <c r="I753" s="399"/>
      <c r="J753" s="362" t="s">
        <v>38</v>
      </c>
      <c r="K753" s="362" t="s">
        <v>257</v>
      </c>
      <c r="L753" s="362" t="s">
        <v>112</v>
      </c>
      <c r="M753" s="362" t="s">
        <v>144</v>
      </c>
      <c r="N753" s="362"/>
      <c r="P753" s="371"/>
    </row>
    <row r="754" spans="1:16" s="372" customFormat="1" ht="14" outlineLevel="3">
      <c r="A754" s="405" t="s">
        <v>8</v>
      </c>
      <c r="B754" s="490" t="s">
        <v>235</v>
      </c>
      <c r="C754" s="397" t="s">
        <v>24</v>
      </c>
      <c r="D754" s="398"/>
      <c r="E754" s="398"/>
      <c r="F754" s="398"/>
      <c r="G754" s="398">
        <f t="shared" si="218"/>
        <v>0</v>
      </c>
      <c r="H754" s="398">
        <f t="shared" si="219"/>
        <v>0</v>
      </c>
      <c r="I754" s="399"/>
      <c r="J754" s="362" t="s">
        <v>38</v>
      </c>
      <c r="K754" s="362" t="s">
        <v>257</v>
      </c>
      <c r="L754" s="362" t="s">
        <v>112</v>
      </c>
      <c r="M754" s="362" t="s">
        <v>144</v>
      </c>
      <c r="N754" s="362"/>
      <c r="P754" s="371"/>
    </row>
    <row r="755" spans="1:16" s="372" customFormat="1" ht="14" outlineLevel="3">
      <c r="A755" s="405" t="s">
        <v>8</v>
      </c>
      <c r="B755" s="490" t="s">
        <v>196</v>
      </c>
      <c r="C755" s="397" t="s">
        <v>24</v>
      </c>
      <c r="D755" s="398"/>
      <c r="E755" s="398"/>
      <c r="F755" s="500"/>
      <c r="G755" s="398">
        <f t="shared" si="218"/>
        <v>0</v>
      </c>
      <c r="H755" s="398">
        <f t="shared" si="219"/>
        <v>0</v>
      </c>
      <c r="I755" s="399"/>
      <c r="J755" s="362" t="s">
        <v>38</v>
      </c>
      <c r="K755" s="362" t="s">
        <v>257</v>
      </c>
      <c r="L755" s="362" t="s">
        <v>112</v>
      </c>
      <c r="M755" s="362" t="s">
        <v>144</v>
      </c>
      <c r="N755" s="362"/>
      <c r="P755" s="371"/>
    </row>
    <row r="756" spans="1:16" s="372" customFormat="1" ht="14" outlineLevel="3">
      <c r="A756" s="405" t="s">
        <v>8</v>
      </c>
      <c r="B756" s="501" t="s">
        <v>266</v>
      </c>
      <c r="C756" s="397" t="s">
        <v>9</v>
      </c>
      <c r="D756" s="398"/>
      <c r="E756" s="398"/>
      <c r="F756" s="398"/>
      <c r="G756" s="398">
        <f t="shared" si="218"/>
        <v>0</v>
      </c>
      <c r="H756" s="398">
        <f t="shared" si="219"/>
        <v>0</v>
      </c>
      <c r="I756" s="399"/>
      <c r="J756" s="362" t="s">
        <v>38</v>
      </c>
      <c r="K756" s="362" t="s">
        <v>257</v>
      </c>
      <c r="L756" s="362" t="s">
        <v>112</v>
      </c>
      <c r="M756" s="362" t="s">
        <v>144</v>
      </c>
      <c r="N756" s="362"/>
      <c r="P756" s="371"/>
    </row>
    <row r="757" spans="1:16" s="372" customFormat="1" ht="14" outlineLevel="3">
      <c r="A757" s="405" t="s">
        <v>8</v>
      </c>
      <c r="B757" s="490" t="s">
        <v>267</v>
      </c>
      <c r="C757" s="397" t="s">
        <v>9</v>
      </c>
      <c r="D757" s="502"/>
      <c r="E757" s="502"/>
      <c r="F757" s="503"/>
      <c r="G757" s="398">
        <f t="shared" si="218"/>
        <v>0</v>
      </c>
      <c r="H757" s="398">
        <f t="shared" si="219"/>
        <v>0</v>
      </c>
      <c r="I757" s="399"/>
      <c r="J757" s="362" t="s">
        <v>38</v>
      </c>
      <c r="K757" s="362" t="s">
        <v>257</v>
      </c>
      <c r="L757" s="362" t="s">
        <v>112</v>
      </c>
      <c r="M757" s="362" t="s">
        <v>144</v>
      </c>
      <c r="N757" s="362"/>
      <c r="P757" s="371"/>
    </row>
    <row r="758" spans="1:16" s="385" customFormat="1" ht="14" outlineLevel="2">
      <c r="A758" s="388" t="s">
        <v>618</v>
      </c>
      <c r="B758" s="527" t="s">
        <v>35</v>
      </c>
      <c r="C758" s="390"/>
      <c r="D758" s="391"/>
      <c r="E758" s="391"/>
      <c r="F758" s="391"/>
      <c r="G758" s="391">
        <f>SUBTOTAL(9,G759:G778)</f>
        <v>0</v>
      </c>
      <c r="H758" s="391">
        <f>SUBTOTAL(9,H759:H778)</f>
        <v>0</v>
      </c>
      <c r="I758" s="392"/>
      <c r="J758" s="383"/>
      <c r="K758" s="383"/>
      <c r="L758" s="383"/>
      <c r="M758" s="383"/>
      <c r="N758" s="383"/>
      <c r="P758" s="386"/>
    </row>
    <row r="759" spans="1:16" s="372" customFormat="1" ht="14" outlineLevel="4">
      <c r="A759" s="405" t="s">
        <v>8</v>
      </c>
      <c r="B759" s="396" t="s">
        <v>197</v>
      </c>
      <c r="C759" s="397" t="s">
        <v>24</v>
      </c>
      <c r="D759" s="398"/>
      <c r="E759" s="398"/>
      <c r="F759" s="398"/>
      <c r="G759" s="398">
        <f t="shared" ref="G759:G778" si="220">F759*D759</f>
        <v>0</v>
      </c>
      <c r="H759" s="398">
        <f t="shared" ref="H759:H778" si="221">F759*E759</f>
        <v>0</v>
      </c>
      <c r="I759" s="399"/>
      <c r="J759" s="362" t="s">
        <v>38</v>
      </c>
      <c r="K759" s="362" t="s">
        <v>257</v>
      </c>
      <c r="L759" s="362" t="s">
        <v>112</v>
      </c>
      <c r="M759" s="362" t="s">
        <v>144</v>
      </c>
      <c r="N759" s="362"/>
      <c r="P759" s="371"/>
    </row>
    <row r="760" spans="1:16" s="372" customFormat="1" ht="14" outlineLevel="4">
      <c r="A760" s="405" t="s">
        <v>8</v>
      </c>
      <c r="B760" s="396" t="s">
        <v>198</v>
      </c>
      <c r="C760" s="397" t="s">
        <v>24</v>
      </c>
      <c r="D760" s="398"/>
      <c r="E760" s="398"/>
      <c r="F760" s="398"/>
      <c r="G760" s="398">
        <f t="shared" si="220"/>
        <v>0</v>
      </c>
      <c r="H760" s="398">
        <f t="shared" si="221"/>
        <v>0</v>
      </c>
      <c r="I760" s="399"/>
      <c r="J760" s="362" t="s">
        <v>38</v>
      </c>
      <c r="K760" s="362" t="s">
        <v>257</v>
      </c>
      <c r="L760" s="362" t="s">
        <v>112</v>
      </c>
      <c r="M760" s="362" t="s">
        <v>144</v>
      </c>
      <c r="N760" s="362"/>
      <c r="P760" s="371"/>
    </row>
    <row r="761" spans="1:16" s="372" customFormat="1" ht="14" outlineLevel="4">
      <c r="A761" s="405" t="s">
        <v>8</v>
      </c>
      <c r="B761" s="396" t="s">
        <v>197</v>
      </c>
      <c r="C761" s="397" t="s">
        <v>24</v>
      </c>
      <c r="D761" s="398"/>
      <c r="E761" s="398"/>
      <c r="F761" s="398"/>
      <c r="G761" s="398">
        <f t="shared" si="220"/>
        <v>0</v>
      </c>
      <c r="H761" s="398">
        <f t="shared" si="221"/>
        <v>0</v>
      </c>
      <c r="I761" s="399"/>
      <c r="J761" s="362" t="s">
        <v>38</v>
      </c>
      <c r="K761" s="362" t="s">
        <v>257</v>
      </c>
      <c r="L761" s="362" t="s">
        <v>112</v>
      </c>
      <c r="M761" s="362" t="s">
        <v>144</v>
      </c>
      <c r="N761" s="362"/>
      <c r="P761" s="371"/>
    </row>
    <row r="762" spans="1:16" s="372" customFormat="1" ht="14" outlineLevel="4">
      <c r="A762" s="405" t="s">
        <v>8</v>
      </c>
      <c r="B762" s="396" t="s">
        <v>198</v>
      </c>
      <c r="C762" s="397" t="s">
        <v>24</v>
      </c>
      <c r="D762" s="398"/>
      <c r="E762" s="398"/>
      <c r="F762" s="398"/>
      <c r="G762" s="398">
        <f t="shared" si="220"/>
        <v>0</v>
      </c>
      <c r="H762" s="398">
        <f t="shared" si="221"/>
        <v>0</v>
      </c>
      <c r="I762" s="399"/>
      <c r="J762" s="362" t="s">
        <v>38</v>
      </c>
      <c r="K762" s="362" t="s">
        <v>257</v>
      </c>
      <c r="L762" s="362" t="s">
        <v>112</v>
      </c>
      <c r="M762" s="362" t="s">
        <v>144</v>
      </c>
      <c r="N762" s="362"/>
      <c r="P762" s="371"/>
    </row>
    <row r="763" spans="1:16" s="372" customFormat="1" ht="14" outlineLevel="4">
      <c r="A763" s="405" t="s">
        <v>8</v>
      </c>
      <c r="B763" s="396" t="s">
        <v>268</v>
      </c>
      <c r="C763" s="397" t="s">
        <v>24</v>
      </c>
      <c r="D763" s="398"/>
      <c r="E763" s="398"/>
      <c r="F763" s="500"/>
      <c r="G763" s="398">
        <f t="shared" si="220"/>
        <v>0</v>
      </c>
      <c r="H763" s="398">
        <f t="shared" si="221"/>
        <v>0</v>
      </c>
      <c r="I763" s="399"/>
      <c r="J763" s="362" t="s">
        <v>38</v>
      </c>
      <c r="K763" s="362" t="s">
        <v>257</v>
      </c>
      <c r="L763" s="362" t="s">
        <v>112</v>
      </c>
      <c r="M763" s="362" t="s">
        <v>144</v>
      </c>
      <c r="N763" s="362"/>
      <c r="P763" s="371"/>
    </row>
    <row r="764" spans="1:16" s="372" customFormat="1" ht="14" outlineLevel="4">
      <c r="A764" s="405" t="s">
        <v>8</v>
      </c>
      <c r="B764" s="396" t="s">
        <v>269</v>
      </c>
      <c r="C764" s="397" t="s">
        <v>24</v>
      </c>
      <c r="D764" s="398"/>
      <c r="E764" s="398"/>
      <c r="F764" s="398"/>
      <c r="G764" s="398">
        <f t="shared" si="220"/>
        <v>0</v>
      </c>
      <c r="H764" s="398">
        <f t="shared" si="221"/>
        <v>0</v>
      </c>
      <c r="I764" s="399"/>
      <c r="J764" s="362" t="s">
        <v>38</v>
      </c>
      <c r="K764" s="362" t="s">
        <v>257</v>
      </c>
      <c r="L764" s="362" t="s">
        <v>112</v>
      </c>
      <c r="M764" s="362" t="s">
        <v>144</v>
      </c>
      <c r="N764" s="362"/>
      <c r="P764" s="371"/>
    </row>
    <row r="765" spans="1:16" s="372" customFormat="1" ht="14" outlineLevel="4">
      <c r="A765" s="405" t="s">
        <v>8</v>
      </c>
      <c r="B765" s="396" t="s">
        <v>270</v>
      </c>
      <c r="C765" s="397" t="s">
        <v>9</v>
      </c>
      <c r="D765" s="398"/>
      <c r="E765" s="398"/>
      <c r="F765" s="398"/>
      <c r="G765" s="398">
        <f t="shared" si="220"/>
        <v>0</v>
      </c>
      <c r="H765" s="398">
        <f t="shared" si="221"/>
        <v>0</v>
      </c>
      <c r="I765" s="399"/>
      <c r="J765" s="362" t="s">
        <v>38</v>
      </c>
      <c r="K765" s="362" t="s">
        <v>257</v>
      </c>
      <c r="L765" s="362" t="s">
        <v>112</v>
      </c>
      <c r="M765" s="362" t="s">
        <v>144</v>
      </c>
      <c r="N765" s="362"/>
      <c r="P765" s="371"/>
    </row>
    <row r="766" spans="1:16" s="372" customFormat="1" ht="14" outlineLevel="4">
      <c r="A766" s="405" t="s">
        <v>8</v>
      </c>
      <c r="B766" s="396" t="s">
        <v>199</v>
      </c>
      <c r="C766" s="397" t="s">
        <v>24</v>
      </c>
      <c r="D766" s="398"/>
      <c r="E766" s="398"/>
      <c r="F766" s="398"/>
      <c r="G766" s="398">
        <f t="shared" si="220"/>
        <v>0</v>
      </c>
      <c r="H766" s="398">
        <f t="shared" si="221"/>
        <v>0</v>
      </c>
      <c r="I766" s="399"/>
      <c r="J766" s="362" t="s">
        <v>38</v>
      </c>
      <c r="K766" s="362" t="s">
        <v>257</v>
      </c>
      <c r="L766" s="362" t="s">
        <v>112</v>
      </c>
      <c r="M766" s="362" t="s">
        <v>144</v>
      </c>
      <c r="N766" s="362"/>
      <c r="P766" s="371"/>
    </row>
    <row r="767" spans="1:16" s="372" customFormat="1" ht="14" outlineLevel="4">
      <c r="A767" s="405" t="s">
        <v>8</v>
      </c>
      <c r="B767" s="396" t="s">
        <v>200</v>
      </c>
      <c r="C767" s="397" t="s">
        <v>24</v>
      </c>
      <c r="D767" s="398"/>
      <c r="E767" s="398"/>
      <c r="F767" s="398"/>
      <c r="G767" s="398">
        <f t="shared" si="220"/>
        <v>0</v>
      </c>
      <c r="H767" s="398">
        <f t="shared" si="221"/>
        <v>0</v>
      </c>
      <c r="I767" s="399"/>
      <c r="J767" s="362" t="s">
        <v>38</v>
      </c>
      <c r="K767" s="362" t="s">
        <v>257</v>
      </c>
      <c r="L767" s="362" t="s">
        <v>112</v>
      </c>
      <c r="M767" s="362" t="s">
        <v>144</v>
      </c>
      <c r="N767" s="362"/>
      <c r="P767" s="371"/>
    </row>
    <row r="768" spans="1:16" s="372" customFormat="1" ht="14" outlineLevel="4">
      <c r="A768" s="405" t="s">
        <v>8</v>
      </c>
      <c r="B768" s="490" t="s">
        <v>271</v>
      </c>
      <c r="C768" s="397" t="s">
        <v>24</v>
      </c>
      <c r="D768" s="398"/>
      <c r="E768" s="398"/>
      <c r="F768" s="398"/>
      <c r="G768" s="398">
        <f t="shared" si="220"/>
        <v>0</v>
      </c>
      <c r="H768" s="398">
        <f t="shared" si="221"/>
        <v>0</v>
      </c>
      <c r="I768" s="399"/>
      <c r="J768" s="362" t="s">
        <v>38</v>
      </c>
      <c r="K768" s="362" t="s">
        <v>257</v>
      </c>
      <c r="L768" s="362" t="s">
        <v>112</v>
      </c>
      <c r="M768" s="362" t="s">
        <v>144</v>
      </c>
      <c r="N768" s="362"/>
      <c r="P768" s="371"/>
    </row>
    <row r="769" spans="1:16" s="372" customFormat="1" ht="14" outlineLevel="4">
      <c r="A769" s="405" t="s">
        <v>8</v>
      </c>
      <c r="B769" s="396" t="s">
        <v>272</v>
      </c>
      <c r="C769" s="397" t="s">
        <v>24</v>
      </c>
      <c r="D769" s="398"/>
      <c r="E769" s="398"/>
      <c r="F769" s="398"/>
      <c r="G769" s="398">
        <f t="shared" si="220"/>
        <v>0</v>
      </c>
      <c r="H769" s="398">
        <f t="shared" si="221"/>
        <v>0</v>
      </c>
      <c r="I769" s="399"/>
      <c r="J769" s="362" t="s">
        <v>38</v>
      </c>
      <c r="K769" s="362" t="s">
        <v>257</v>
      </c>
      <c r="L769" s="362" t="s">
        <v>112</v>
      </c>
      <c r="M769" s="362" t="s">
        <v>144</v>
      </c>
      <c r="N769" s="362"/>
      <c r="P769" s="371"/>
    </row>
    <row r="770" spans="1:16" s="372" customFormat="1" ht="14" outlineLevel="4">
      <c r="A770" s="405" t="s">
        <v>8</v>
      </c>
      <c r="B770" s="509" t="s">
        <v>273</v>
      </c>
      <c r="C770" s="397" t="s">
        <v>9</v>
      </c>
      <c r="D770" s="398"/>
      <c r="E770" s="398"/>
      <c r="F770" s="398"/>
      <c r="G770" s="398">
        <f t="shared" si="220"/>
        <v>0</v>
      </c>
      <c r="H770" s="398">
        <f t="shared" si="221"/>
        <v>0</v>
      </c>
      <c r="I770" s="399"/>
      <c r="J770" s="362" t="s">
        <v>38</v>
      </c>
      <c r="K770" s="362" t="s">
        <v>257</v>
      </c>
      <c r="L770" s="362" t="s">
        <v>112</v>
      </c>
      <c r="M770" s="362" t="s">
        <v>144</v>
      </c>
      <c r="N770" s="362"/>
      <c r="P770" s="371"/>
    </row>
    <row r="771" spans="1:16" s="372" customFormat="1" ht="14" outlineLevel="4">
      <c r="A771" s="405" t="s">
        <v>8</v>
      </c>
      <c r="B771" s="490" t="s">
        <v>201</v>
      </c>
      <c r="C771" s="397" t="s">
        <v>24</v>
      </c>
      <c r="D771" s="398"/>
      <c r="E771" s="398"/>
      <c r="F771" s="398"/>
      <c r="G771" s="398">
        <f t="shared" si="220"/>
        <v>0</v>
      </c>
      <c r="H771" s="398">
        <f t="shared" si="221"/>
        <v>0</v>
      </c>
      <c r="I771" s="399"/>
      <c r="J771" s="362" t="s">
        <v>38</v>
      </c>
      <c r="K771" s="362" t="s">
        <v>257</v>
      </c>
      <c r="L771" s="362" t="s">
        <v>112</v>
      </c>
      <c r="M771" s="362" t="s">
        <v>144</v>
      </c>
      <c r="N771" s="362"/>
      <c r="P771" s="371"/>
    </row>
    <row r="772" spans="1:16" s="372" customFormat="1" ht="14" outlineLevel="4">
      <c r="A772" s="405" t="s">
        <v>8</v>
      </c>
      <c r="B772" s="396" t="s">
        <v>207</v>
      </c>
      <c r="C772" s="397" t="s">
        <v>24</v>
      </c>
      <c r="D772" s="398"/>
      <c r="E772" s="398"/>
      <c r="F772" s="398"/>
      <c r="G772" s="398">
        <f t="shared" si="220"/>
        <v>0</v>
      </c>
      <c r="H772" s="398">
        <f t="shared" si="221"/>
        <v>0</v>
      </c>
      <c r="I772" s="399"/>
      <c r="J772" s="362" t="s">
        <v>38</v>
      </c>
      <c r="K772" s="362" t="s">
        <v>257</v>
      </c>
      <c r="L772" s="362" t="s">
        <v>112</v>
      </c>
      <c r="M772" s="362" t="s">
        <v>144</v>
      </c>
      <c r="N772" s="362"/>
      <c r="P772" s="371"/>
    </row>
    <row r="773" spans="1:16" s="372" customFormat="1" ht="14" outlineLevel="4">
      <c r="A773" s="405" t="s">
        <v>8</v>
      </c>
      <c r="B773" s="509" t="s">
        <v>202</v>
      </c>
      <c r="C773" s="397" t="s">
        <v>24</v>
      </c>
      <c r="D773" s="398"/>
      <c r="E773" s="398"/>
      <c r="F773" s="504"/>
      <c r="G773" s="398">
        <f t="shared" si="220"/>
        <v>0</v>
      </c>
      <c r="H773" s="398">
        <f t="shared" si="221"/>
        <v>0</v>
      </c>
      <c r="I773" s="399"/>
      <c r="J773" s="362" t="s">
        <v>38</v>
      </c>
      <c r="K773" s="362" t="s">
        <v>257</v>
      </c>
      <c r="L773" s="362" t="s">
        <v>112</v>
      </c>
      <c r="M773" s="362" t="s">
        <v>144</v>
      </c>
      <c r="N773" s="362"/>
      <c r="P773" s="371"/>
    </row>
    <row r="774" spans="1:16" s="372" customFormat="1" ht="14" outlineLevel="4">
      <c r="A774" s="405" t="s">
        <v>8</v>
      </c>
      <c r="B774" s="509" t="s">
        <v>203</v>
      </c>
      <c r="C774" s="397" t="s">
        <v>24</v>
      </c>
      <c r="D774" s="398"/>
      <c r="E774" s="398"/>
      <c r="F774" s="528"/>
      <c r="G774" s="398">
        <f t="shared" si="220"/>
        <v>0</v>
      </c>
      <c r="H774" s="398">
        <f t="shared" si="221"/>
        <v>0</v>
      </c>
      <c r="I774" s="399"/>
      <c r="J774" s="362" t="s">
        <v>38</v>
      </c>
      <c r="K774" s="362" t="s">
        <v>257</v>
      </c>
      <c r="L774" s="362" t="s">
        <v>112</v>
      </c>
      <c r="M774" s="362" t="s">
        <v>144</v>
      </c>
      <c r="N774" s="362"/>
      <c r="P774" s="371"/>
    </row>
    <row r="775" spans="1:16" s="372" customFormat="1" ht="14" outlineLevel="4">
      <c r="A775" s="405" t="s">
        <v>8</v>
      </c>
      <c r="B775" s="509" t="s">
        <v>278</v>
      </c>
      <c r="C775" s="397" t="s">
        <v>24</v>
      </c>
      <c r="D775" s="398"/>
      <c r="E775" s="398"/>
      <c r="F775" s="398"/>
      <c r="G775" s="398">
        <f t="shared" si="220"/>
        <v>0</v>
      </c>
      <c r="H775" s="398">
        <f t="shared" si="221"/>
        <v>0</v>
      </c>
      <c r="I775" s="399"/>
      <c r="J775" s="362" t="s">
        <v>38</v>
      </c>
      <c r="K775" s="362" t="s">
        <v>257</v>
      </c>
      <c r="L775" s="362" t="s">
        <v>112</v>
      </c>
      <c r="M775" s="362" t="s">
        <v>144</v>
      </c>
      <c r="N775" s="362"/>
      <c r="P775" s="371"/>
    </row>
    <row r="776" spans="1:16" s="372" customFormat="1" ht="14" outlineLevel="4">
      <c r="A776" s="405" t="s">
        <v>8</v>
      </c>
      <c r="B776" s="509" t="s">
        <v>142</v>
      </c>
      <c r="C776" s="397" t="s">
        <v>24</v>
      </c>
      <c r="D776" s="398"/>
      <c r="E776" s="398"/>
      <c r="F776" s="504"/>
      <c r="G776" s="398">
        <f t="shared" si="220"/>
        <v>0</v>
      </c>
      <c r="H776" s="398">
        <f t="shared" si="221"/>
        <v>0</v>
      </c>
      <c r="I776" s="399"/>
      <c r="J776" s="362" t="s">
        <v>38</v>
      </c>
      <c r="K776" s="362" t="s">
        <v>257</v>
      </c>
      <c r="L776" s="362" t="s">
        <v>112</v>
      </c>
      <c r="M776" s="362" t="s">
        <v>144</v>
      </c>
      <c r="N776" s="362"/>
      <c r="P776" s="371"/>
    </row>
    <row r="777" spans="1:16" s="372" customFormat="1" ht="14" outlineLevel="4">
      <c r="A777" s="405" t="s">
        <v>8</v>
      </c>
      <c r="B777" s="509" t="s">
        <v>143</v>
      </c>
      <c r="C777" s="397" t="s">
        <v>24</v>
      </c>
      <c r="D777" s="398"/>
      <c r="E777" s="398"/>
      <c r="F777" s="398"/>
      <c r="G777" s="398">
        <f t="shared" si="220"/>
        <v>0</v>
      </c>
      <c r="H777" s="398">
        <f t="shared" si="221"/>
        <v>0</v>
      </c>
      <c r="I777" s="399"/>
      <c r="J777" s="362" t="s">
        <v>38</v>
      </c>
      <c r="K777" s="362" t="s">
        <v>257</v>
      </c>
      <c r="L777" s="362" t="s">
        <v>112</v>
      </c>
      <c r="M777" s="362" t="s">
        <v>144</v>
      </c>
      <c r="N777" s="362"/>
      <c r="P777" s="371"/>
    </row>
    <row r="778" spans="1:16" s="372" customFormat="1" ht="14" outlineLevel="4">
      <c r="A778" s="405" t="s">
        <v>8</v>
      </c>
      <c r="B778" s="509" t="s">
        <v>204</v>
      </c>
      <c r="C778" s="397" t="s">
        <v>9</v>
      </c>
      <c r="D778" s="398"/>
      <c r="E778" s="398"/>
      <c r="F778" s="398"/>
      <c r="G778" s="398">
        <f t="shared" si="220"/>
        <v>0</v>
      </c>
      <c r="H778" s="398">
        <f t="shared" si="221"/>
        <v>0</v>
      </c>
      <c r="I778" s="399"/>
      <c r="J778" s="362" t="s">
        <v>38</v>
      </c>
      <c r="K778" s="362" t="s">
        <v>257</v>
      </c>
      <c r="L778" s="362" t="s">
        <v>112</v>
      </c>
      <c r="M778" s="362" t="s">
        <v>144</v>
      </c>
      <c r="N778" s="362"/>
      <c r="P778" s="371"/>
    </row>
    <row r="779" spans="1:16" s="372" customFormat="1" ht="14" outlineLevel="4">
      <c r="A779" s="405">
        <v>2.5</v>
      </c>
      <c r="B779" s="521" t="s">
        <v>467</v>
      </c>
      <c r="C779" s="397"/>
      <c r="D779" s="398"/>
      <c r="E779" s="398"/>
      <c r="F779" s="398"/>
      <c r="G779" s="398">
        <f>SUBTOTAL(9,G780:G790)</f>
        <v>0</v>
      </c>
      <c r="H779" s="398">
        <f>SUBTOTAL(9,H780:H790)</f>
        <v>0</v>
      </c>
      <c r="I779" s="399"/>
      <c r="J779" s="362"/>
      <c r="K779" s="362"/>
      <c r="L779" s="362"/>
      <c r="M779" s="362"/>
      <c r="N779" s="362"/>
      <c r="P779" s="371"/>
    </row>
    <row r="780" spans="1:16" s="372" customFormat="1" ht="14" outlineLevel="4">
      <c r="A780" s="405" t="s">
        <v>8</v>
      </c>
      <c r="B780" s="396" t="s">
        <v>468</v>
      </c>
      <c r="C780" s="397" t="s">
        <v>24</v>
      </c>
      <c r="D780" s="398"/>
      <c r="E780" s="398"/>
      <c r="F780" s="543"/>
      <c r="G780" s="398">
        <f t="shared" ref="G780:G790" si="222">F780*D780</f>
        <v>0</v>
      </c>
      <c r="H780" s="398">
        <f t="shared" ref="H780:H790" si="223">F780*E780</f>
        <v>0</v>
      </c>
      <c r="I780" s="399"/>
      <c r="J780" s="362" t="s">
        <v>38</v>
      </c>
      <c r="K780" s="362" t="s">
        <v>257</v>
      </c>
      <c r="L780" s="362" t="s">
        <v>112</v>
      </c>
      <c r="M780" s="362" t="s">
        <v>144</v>
      </c>
      <c r="N780" s="362"/>
      <c r="P780" s="342"/>
    </row>
    <row r="781" spans="1:16" s="372" customFormat="1" ht="14" outlineLevel="4">
      <c r="A781" s="405" t="s">
        <v>8</v>
      </c>
      <c r="B781" s="396" t="s">
        <v>469</v>
      </c>
      <c r="C781" s="397" t="s">
        <v>470</v>
      </c>
      <c r="D781" s="398"/>
      <c r="E781" s="398"/>
      <c r="F781" s="544"/>
      <c r="G781" s="398">
        <f t="shared" si="222"/>
        <v>0</v>
      </c>
      <c r="H781" s="398">
        <f t="shared" si="223"/>
        <v>0</v>
      </c>
      <c r="I781" s="399"/>
      <c r="J781" s="362" t="s">
        <v>38</v>
      </c>
      <c r="K781" s="362" t="s">
        <v>257</v>
      </c>
      <c r="L781" s="362" t="s">
        <v>112</v>
      </c>
      <c r="M781" s="362" t="s">
        <v>144</v>
      </c>
      <c r="N781" s="362"/>
      <c r="P781" s="371"/>
    </row>
    <row r="782" spans="1:16" s="372" customFormat="1" ht="14" outlineLevel="4">
      <c r="A782" s="405" t="s">
        <v>8</v>
      </c>
      <c r="B782" s="396" t="s">
        <v>471</v>
      </c>
      <c r="C782" s="397" t="s">
        <v>470</v>
      </c>
      <c r="D782" s="398"/>
      <c r="E782" s="398"/>
      <c r="F782" s="544"/>
      <c r="G782" s="398">
        <f t="shared" si="222"/>
        <v>0</v>
      </c>
      <c r="H782" s="398">
        <f t="shared" si="223"/>
        <v>0</v>
      </c>
      <c r="I782" s="399"/>
      <c r="J782" s="362" t="s">
        <v>38</v>
      </c>
      <c r="K782" s="362" t="s">
        <v>257</v>
      </c>
      <c r="L782" s="362" t="s">
        <v>112</v>
      </c>
      <c r="M782" s="362" t="s">
        <v>144</v>
      </c>
      <c r="N782" s="362"/>
      <c r="P782" s="371"/>
    </row>
    <row r="783" spans="1:16" s="372" customFormat="1" ht="14" outlineLevel="4">
      <c r="A783" s="405" t="s">
        <v>8</v>
      </c>
      <c r="B783" s="490" t="s">
        <v>472</v>
      </c>
      <c r="C783" s="397" t="s">
        <v>473</v>
      </c>
      <c r="D783" s="398"/>
      <c r="E783" s="398"/>
      <c r="F783" s="545"/>
      <c r="G783" s="398">
        <f t="shared" si="222"/>
        <v>0</v>
      </c>
      <c r="H783" s="398">
        <f t="shared" si="223"/>
        <v>0</v>
      </c>
      <c r="I783" s="399"/>
      <c r="J783" s="362" t="s">
        <v>38</v>
      </c>
      <c r="K783" s="362" t="s">
        <v>257</v>
      </c>
      <c r="L783" s="362" t="s">
        <v>112</v>
      </c>
      <c r="M783" s="362" t="s">
        <v>144</v>
      </c>
      <c r="N783" s="362"/>
      <c r="P783" s="371"/>
    </row>
    <row r="784" spans="1:16" s="372" customFormat="1" ht="14" outlineLevel="4">
      <c r="A784" s="405" t="s">
        <v>8</v>
      </c>
      <c r="B784" s="396" t="s">
        <v>474</v>
      </c>
      <c r="C784" s="397" t="s">
        <v>475</v>
      </c>
      <c r="D784" s="398"/>
      <c r="E784" s="398"/>
      <c r="F784" s="545"/>
      <c r="G784" s="398">
        <f t="shared" si="222"/>
        <v>0</v>
      </c>
      <c r="H784" s="398">
        <f t="shared" si="223"/>
        <v>0</v>
      </c>
      <c r="I784" s="399"/>
      <c r="J784" s="362" t="s">
        <v>38</v>
      </c>
      <c r="K784" s="362" t="s">
        <v>257</v>
      </c>
      <c r="L784" s="362" t="s">
        <v>112</v>
      </c>
      <c r="M784" s="362" t="s">
        <v>144</v>
      </c>
      <c r="N784" s="362"/>
      <c r="P784" s="371"/>
    </row>
    <row r="785" spans="1:16" s="372" customFormat="1" ht="14" outlineLevel="4">
      <c r="A785" s="405" t="s">
        <v>8</v>
      </c>
      <c r="B785" s="509" t="s">
        <v>476</v>
      </c>
      <c r="C785" s="397" t="s">
        <v>477</v>
      </c>
      <c r="D785" s="398"/>
      <c r="E785" s="398"/>
      <c r="F785" s="546"/>
      <c r="G785" s="398">
        <f t="shared" si="222"/>
        <v>0</v>
      </c>
      <c r="H785" s="398">
        <f t="shared" si="223"/>
        <v>0</v>
      </c>
      <c r="I785" s="399"/>
      <c r="J785" s="362" t="s">
        <v>38</v>
      </c>
      <c r="K785" s="362" t="s">
        <v>257</v>
      </c>
      <c r="L785" s="362" t="s">
        <v>112</v>
      </c>
      <c r="M785" s="362" t="s">
        <v>144</v>
      </c>
      <c r="N785" s="362"/>
      <c r="P785" s="371"/>
    </row>
    <row r="786" spans="1:16" s="372" customFormat="1" ht="14" outlineLevel="4">
      <c r="A786" s="405" t="s">
        <v>8</v>
      </c>
      <c r="B786" s="509" t="s">
        <v>478</v>
      </c>
      <c r="C786" s="397" t="s">
        <v>464</v>
      </c>
      <c r="D786" s="398"/>
      <c r="E786" s="398"/>
      <c r="F786" s="546"/>
      <c r="G786" s="398">
        <f t="shared" si="222"/>
        <v>0</v>
      </c>
      <c r="H786" s="398">
        <f t="shared" si="223"/>
        <v>0</v>
      </c>
      <c r="I786" s="399"/>
      <c r="J786" s="362" t="s">
        <v>38</v>
      </c>
      <c r="K786" s="362" t="s">
        <v>257</v>
      </c>
      <c r="L786" s="362" t="s">
        <v>112</v>
      </c>
      <c r="M786" s="362" t="s">
        <v>144</v>
      </c>
      <c r="N786" s="362"/>
      <c r="P786" s="371"/>
    </row>
    <row r="787" spans="1:16" s="372" customFormat="1" ht="14" outlineLevel="4">
      <c r="A787" s="405" t="s">
        <v>8</v>
      </c>
      <c r="B787" s="509" t="s">
        <v>479</v>
      </c>
      <c r="C787" s="397" t="s">
        <v>464</v>
      </c>
      <c r="D787" s="398"/>
      <c r="E787" s="398"/>
      <c r="F787" s="546"/>
      <c r="G787" s="398">
        <f t="shared" si="222"/>
        <v>0</v>
      </c>
      <c r="H787" s="398">
        <f t="shared" si="223"/>
        <v>0</v>
      </c>
      <c r="I787" s="399"/>
      <c r="J787" s="362" t="s">
        <v>38</v>
      </c>
      <c r="K787" s="362" t="s">
        <v>257</v>
      </c>
      <c r="L787" s="362" t="s">
        <v>112</v>
      </c>
      <c r="M787" s="362" t="s">
        <v>144</v>
      </c>
      <c r="N787" s="362"/>
      <c r="P787" s="371"/>
    </row>
    <row r="788" spans="1:16" s="372" customFormat="1" ht="14" outlineLevel="4">
      <c r="A788" s="405" t="s">
        <v>8</v>
      </c>
      <c r="B788" s="509" t="s">
        <v>480</v>
      </c>
      <c r="C788" s="397" t="s">
        <v>477</v>
      </c>
      <c r="D788" s="398"/>
      <c r="E788" s="398"/>
      <c r="F788" s="546"/>
      <c r="G788" s="398">
        <f t="shared" si="222"/>
        <v>0</v>
      </c>
      <c r="H788" s="398">
        <f t="shared" si="223"/>
        <v>0</v>
      </c>
      <c r="I788" s="399"/>
      <c r="J788" s="362" t="s">
        <v>38</v>
      </c>
      <c r="K788" s="362" t="s">
        <v>257</v>
      </c>
      <c r="L788" s="362" t="s">
        <v>112</v>
      </c>
      <c r="M788" s="362" t="s">
        <v>144</v>
      </c>
      <c r="N788" s="362"/>
      <c r="P788" s="371"/>
    </row>
    <row r="789" spans="1:16" s="372" customFormat="1" ht="14" outlineLevel="4">
      <c r="A789" s="405" t="s">
        <v>8</v>
      </c>
      <c r="B789" s="509" t="s">
        <v>481</v>
      </c>
      <c r="C789" s="397" t="s">
        <v>477</v>
      </c>
      <c r="D789" s="398"/>
      <c r="E789" s="398"/>
      <c r="F789" s="546"/>
      <c r="G789" s="398">
        <f t="shared" si="222"/>
        <v>0</v>
      </c>
      <c r="H789" s="398">
        <f t="shared" si="223"/>
        <v>0</v>
      </c>
      <c r="I789" s="399"/>
      <c r="J789" s="362" t="s">
        <v>38</v>
      </c>
      <c r="K789" s="362" t="s">
        <v>257</v>
      </c>
      <c r="L789" s="362" t="s">
        <v>112</v>
      </c>
      <c r="M789" s="362" t="s">
        <v>144</v>
      </c>
      <c r="N789" s="362"/>
      <c r="P789" s="371"/>
    </row>
    <row r="790" spans="1:16" s="372" customFormat="1" ht="14" outlineLevel="4">
      <c r="A790" s="405" t="s">
        <v>8</v>
      </c>
      <c r="B790" s="509" t="s">
        <v>482</v>
      </c>
      <c r="C790" s="397" t="s">
        <v>9</v>
      </c>
      <c r="D790" s="398"/>
      <c r="E790" s="398"/>
      <c r="F790" s="543"/>
      <c r="G790" s="398">
        <f t="shared" si="222"/>
        <v>0</v>
      </c>
      <c r="H790" s="398">
        <f t="shared" si="223"/>
        <v>0</v>
      </c>
      <c r="I790" s="399"/>
      <c r="J790" s="362" t="s">
        <v>38</v>
      </c>
      <c r="K790" s="362" t="s">
        <v>257</v>
      </c>
      <c r="L790" s="362" t="s">
        <v>112</v>
      </c>
      <c r="M790" s="362" t="s">
        <v>144</v>
      </c>
      <c r="N790" s="362"/>
      <c r="P790" s="371"/>
    </row>
    <row r="791" spans="1:16" s="372" customFormat="1" ht="14" outlineLevel="3">
      <c r="A791" s="466">
        <v>3</v>
      </c>
      <c r="B791" s="547" t="s">
        <v>1290</v>
      </c>
      <c r="C791" s="397"/>
      <c r="D791" s="398"/>
      <c r="E791" s="398"/>
      <c r="F791" s="398"/>
      <c r="G791" s="398">
        <f>SUBTOTAL(9,G792:G909)</f>
        <v>0</v>
      </c>
      <c r="H791" s="398">
        <f>SUBTOTAL(9,H792:H909)</f>
        <v>595630</v>
      </c>
      <c r="I791" s="399"/>
      <c r="J791" s="362"/>
      <c r="K791" s="362"/>
      <c r="L791" s="362"/>
      <c r="M791" s="362"/>
      <c r="N791" s="362"/>
      <c r="P791" s="371"/>
    </row>
    <row r="792" spans="1:16" s="372" customFormat="1" ht="14" outlineLevel="3">
      <c r="A792" s="466">
        <v>3.1</v>
      </c>
      <c r="B792" s="541" t="s">
        <v>602</v>
      </c>
      <c r="C792" s="397"/>
      <c r="D792" s="398"/>
      <c r="E792" s="398"/>
      <c r="F792" s="540"/>
      <c r="G792" s="398"/>
      <c r="H792" s="398"/>
      <c r="I792" s="399"/>
      <c r="J792" s="362"/>
      <c r="K792" s="362"/>
      <c r="L792" s="362"/>
      <c r="M792" s="362"/>
      <c r="N792" s="362"/>
      <c r="P792" s="371"/>
    </row>
    <row r="793" spans="1:16" s="372" customFormat="1" ht="14" outlineLevel="3">
      <c r="A793" s="388" t="s">
        <v>619</v>
      </c>
      <c r="B793" s="489" t="s">
        <v>541</v>
      </c>
      <c r="C793" s="397"/>
      <c r="D793" s="398"/>
      <c r="E793" s="398"/>
      <c r="F793" s="491"/>
      <c r="G793" s="398"/>
      <c r="H793" s="398"/>
      <c r="I793" s="399"/>
      <c r="J793" s="362"/>
      <c r="K793" s="362"/>
      <c r="L793" s="362"/>
      <c r="M793" s="362"/>
      <c r="N793" s="362"/>
      <c r="P793" s="371"/>
    </row>
    <row r="794" spans="1:16" s="372" customFormat="1" ht="14" outlineLevel="3">
      <c r="A794" s="388" t="s">
        <v>8</v>
      </c>
      <c r="B794" s="490" t="s">
        <v>193</v>
      </c>
      <c r="C794" s="397" t="s">
        <v>24</v>
      </c>
      <c r="D794" s="398"/>
      <c r="E794" s="398"/>
      <c r="F794" s="491"/>
      <c r="G794" s="398">
        <f t="shared" ref="G794:G802" si="224">F794*D794</f>
        <v>0</v>
      </c>
      <c r="H794" s="398">
        <f t="shared" ref="H794:H802" si="225">F794*E794</f>
        <v>0</v>
      </c>
      <c r="I794" s="399"/>
      <c r="J794" s="362" t="s">
        <v>38</v>
      </c>
      <c r="K794" s="362" t="s">
        <v>257</v>
      </c>
      <c r="L794" s="362" t="s">
        <v>112</v>
      </c>
      <c r="M794" s="362" t="s">
        <v>144</v>
      </c>
      <c r="N794" s="362"/>
      <c r="P794" s="371"/>
    </row>
    <row r="795" spans="1:16" s="372" customFormat="1" ht="14" outlineLevel="3">
      <c r="A795" s="405" t="s">
        <v>8</v>
      </c>
      <c r="B795" s="490" t="s">
        <v>455</v>
      </c>
      <c r="C795" s="397" t="s">
        <v>24</v>
      </c>
      <c r="D795" s="398"/>
      <c r="E795" s="398">
        <v>10</v>
      </c>
      <c r="F795" s="491">
        <v>59563</v>
      </c>
      <c r="G795" s="398">
        <f t="shared" si="224"/>
        <v>0</v>
      </c>
      <c r="H795" s="398">
        <f t="shared" si="225"/>
        <v>595630</v>
      </c>
      <c r="I795" s="399"/>
      <c r="J795" s="362" t="s">
        <v>38</v>
      </c>
      <c r="K795" s="362" t="s">
        <v>257</v>
      </c>
      <c r="L795" s="362" t="s">
        <v>112</v>
      </c>
      <c r="M795" s="362" t="s">
        <v>144</v>
      </c>
      <c r="N795" s="362"/>
      <c r="P795" s="341"/>
    </row>
    <row r="796" spans="1:16" s="372" customFormat="1" ht="14" outlineLevel="3">
      <c r="A796" s="405" t="s">
        <v>8</v>
      </c>
      <c r="B796" s="490" t="s">
        <v>456</v>
      </c>
      <c r="C796" s="397" t="s">
        <v>24</v>
      </c>
      <c r="D796" s="398"/>
      <c r="E796" s="398"/>
      <c r="F796" s="524"/>
      <c r="G796" s="398">
        <f t="shared" si="224"/>
        <v>0</v>
      </c>
      <c r="H796" s="398">
        <f t="shared" si="225"/>
        <v>0</v>
      </c>
      <c r="I796" s="399"/>
      <c r="J796" s="362" t="s">
        <v>38</v>
      </c>
      <c r="K796" s="362" t="s">
        <v>257</v>
      </c>
      <c r="L796" s="362" t="s">
        <v>112</v>
      </c>
      <c r="M796" s="362" t="s">
        <v>144</v>
      </c>
      <c r="N796" s="362"/>
      <c r="P796" s="371"/>
    </row>
    <row r="797" spans="1:16" s="372" customFormat="1" ht="14" outlineLevel="3">
      <c r="A797" s="405" t="s">
        <v>8</v>
      </c>
      <c r="B797" s="490" t="s">
        <v>457</v>
      </c>
      <c r="C797" s="397" t="s">
        <v>24</v>
      </c>
      <c r="D797" s="398"/>
      <c r="E797" s="398"/>
      <c r="F797" s="524"/>
      <c r="G797" s="398">
        <f t="shared" si="224"/>
        <v>0</v>
      </c>
      <c r="H797" s="398">
        <f t="shared" si="225"/>
        <v>0</v>
      </c>
      <c r="I797" s="399"/>
      <c r="J797" s="362" t="s">
        <v>38</v>
      </c>
      <c r="K797" s="362" t="s">
        <v>257</v>
      </c>
      <c r="L797" s="362" t="s">
        <v>112</v>
      </c>
      <c r="M797" s="362" t="s">
        <v>144</v>
      </c>
      <c r="N797" s="362"/>
      <c r="P797" s="371"/>
    </row>
    <row r="798" spans="1:16" s="372" customFormat="1" ht="14" outlineLevel="3">
      <c r="A798" s="405" t="s">
        <v>8</v>
      </c>
      <c r="B798" s="490" t="s">
        <v>195</v>
      </c>
      <c r="C798" s="397" t="s">
        <v>24</v>
      </c>
      <c r="D798" s="398"/>
      <c r="E798" s="398"/>
      <c r="F798" s="493"/>
      <c r="G798" s="398">
        <f t="shared" si="224"/>
        <v>0</v>
      </c>
      <c r="H798" s="398">
        <f t="shared" si="225"/>
        <v>0</v>
      </c>
      <c r="I798" s="399"/>
      <c r="J798" s="362" t="s">
        <v>38</v>
      </c>
      <c r="K798" s="362" t="s">
        <v>257</v>
      </c>
      <c r="L798" s="362" t="s">
        <v>112</v>
      </c>
      <c r="M798" s="362" t="s">
        <v>144</v>
      </c>
      <c r="N798" s="362"/>
      <c r="P798" s="371"/>
    </row>
    <row r="799" spans="1:16" s="372" customFormat="1" ht="14" outlineLevel="3">
      <c r="A799" s="405" t="s">
        <v>8</v>
      </c>
      <c r="B799" s="490" t="s">
        <v>265</v>
      </c>
      <c r="C799" s="397" t="s">
        <v>24</v>
      </c>
      <c r="D799" s="398"/>
      <c r="E799" s="398"/>
      <c r="F799" s="494"/>
      <c r="G799" s="398">
        <f t="shared" si="224"/>
        <v>0</v>
      </c>
      <c r="H799" s="398">
        <f t="shared" si="225"/>
        <v>0</v>
      </c>
      <c r="I799" s="399"/>
      <c r="J799" s="362" t="s">
        <v>38</v>
      </c>
      <c r="K799" s="362" t="s">
        <v>257</v>
      </c>
      <c r="L799" s="362" t="s">
        <v>112</v>
      </c>
      <c r="M799" s="362" t="s">
        <v>144</v>
      </c>
      <c r="N799" s="362"/>
      <c r="P799" s="371"/>
    </row>
    <row r="800" spans="1:16" s="385" customFormat="1" ht="14" outlineLevel="2">
      <c r="A800" s="388" t="s">
        <v>620</v>
      </c>
      <c r="B800" s="488" t="s">
        <v>59</v>
      </c>
      <c r="C800" s="390"/>
      <c r="D800" s="391"/>
      <c r="E800" s="391"/>
      <c r="F800" s="391"/>
      <c r="G800" s="391"/>
      <c r="H800" s="391"/>
      <c r="I800" s="526"/>
      <c r="J800" s="383"/>
      <c r="K800" s="383"/>
      <c r="L800" s="383"/>
      <c r="M800" s="383"/>
      <c r="N800" s="383"/>
      <c r="P800" s="386"/>
    </row>
    <row r="801" spans="1:16" s="372" customFormat="1" ht="14" outlineLevel="3">
      <c r="A801" s="405" t="s">
        <v>8</v>
      </c>
      <c r="B801" s="490" t="s">
        <v>162</v>
      </c>
      <c r="C801" s="397" t="s">
        <v>24</v>
      </c>
      <c r="D801" s="548"/>
      <c r="E801" s="548"/>
      <c r="F801" s="548"/>
      <c r="G801" s="398">
        <f t="shared" si="224"/>
        <v>0</v>
      </c>
      <c r="H801" s="398">
        <f t="shared" si="225"/>
        <v>0</v>
      </c>
      <c r="I801" s="399"/>
      <c r="J801" s="362" t="s">
        <v>38</v>
      </c>
      <c r="K801" s="362" t="s">
        <v>257</v>
      </c>
      <c r="L801" s="362" t="s">
        <v>112</v>
      </c>
      <c r="M801" s="362" t="s">
        <v>144</v>
      </c>
      <c r="N801" s="362"/>
      <c r="P801" s="371"/>
    </row>
    <row r="802" spans="1:16" s="372" customFormat="1" ht="14" outlineLevel="3">
      <c r="A802" s="405" t="s">
        <v>8</v>
      </c>
      <c r="B802" s="490" t="s">
        <v>235</v>
      </c>
      <c r="C802" s="397" t="s">
        <v>24</v>
      </c>
      <c r="D802" s="398"/>
      <c r="E802" s="398"/>
      <c r="F802" s="499"/>
      <c r="G802" s="398">
        <f t="shared" si="224"/>
        <v>0</v>
      </c>
      <c r="H802" s="398">
        <f t="shared" si="225"/>
        <v>0</v>
      </c>
      <c r="I802" s="399"/>
      <c r="J802" s="362" t="s">
        <v>38</v>
      </c>
      <c r="K802" s="362" t="s">
        <v>257</v>
      </c>
      <c r="L802" s="362" t="s">
        <v>112</v>
      </c>
      <c r="M802" s="362" t="s">
        <v>144</v>
      </c>
      <c r="N802" s="362"/>
      <c r="P802" s="371"/>
    </row>
    <row r="803" spans="1:16" s="372" customFormat="1" ht="14" outlineLevel="3">
      <c r="A803" s="405" t="s">
        <v>8</v>
      </c>
      <c r="B803" s="490" t="s">
        <v>196</v>
      </c>
      <c r="C803" s="397" t="s">
        <v>24</v>
      </c>
      <c r="D803" s="398"/>
      <c r="E803" s="398"/>
      <c r="F803" s="500"/>
      <c r="G803" s="398">
        <f t="shared" ref="G803:G805" si="226">F803*D803</f>
        <v>0</v>
      </c>
      <c r="H803" s="398">
        <f t="shared" ref="H803:H805" si="227">F803*E803</f>
        <v>0</v>
      </c>
      <c r="I803" s="399"/>
      <c r="J803" s="362" t="s">
        <v>38</v>
      </c>
      <c r="K803" s="362" t="s">
        <v>257</v>
      </c>
      <c r="L803" s="362" t="s">
        <v>112</v>
      </c>
      <c r="M803" s="362" t="s">
        <v>144</v>
      </c>
      <c r="N803" s="362"/>
      <c r="P803" s="371"/>
    </row>
    <row r="804" spans="1:16" s="372" customFormat="1" ht="14" outlineLevel="3">
      <c r="A804" s="405" t="s">
        <v>8</v>
      </c>
      <c r="B804" s="501" t="s">
        <v>266</v>
      </c>
      <c r="C804" s="397" t="s">
        <v>9</v>
      </c>
      <c r="D804" s="398"/>
      <c r="E804" s="398"/>
      <c r="F804" s="398"/>
      <c r="G804" s="398">
        <f t="shared" si="226"/>
        <v>0</v>
      </c>
      <c r="H804" s="398">
        <f t="shared" si="227"/>
        <v>0</v>
      </c>
      <c r="I804" s="399"/>
      <c r="J804" s="362" t="s">
        <v>38</v>
      </c>
      <c r="K804" s="362" t="s">
        <v>257</v>
      </c>
      <c r="L804" s="362" t="s">
        <v>112</v>
      </c>
      <c r="M804" s="362" t="s">
        <v>144</v>
      </c>
      <c r="N804" s="362"/>
      <c r="P804" s="371"/>
    </row>
    <row r="805" spans="1:16" s="372" customFormat="1" ht="14" outlineLevel="3">
      <c r="A805" s="405" t="s">
        <v>8</v>
      </c>
      <c r="B805" s="490" t="s">
        <v>267</v>
      </c>
      <c r="C805" s="397" t="s">
        <v>9</v>
      </c>
      <c r="D805" s="502"/>
      <c r="E805" s="502"/>
      <c r="F805" s="503"/>
      <c r="G805" s="398">
        <f t="shared" si="226"/>
        <v>0</v>
      </c>
      <c r="H805" s="398">
        <f t="shared" si="227"/>
        <v>0</v>
      </c>
      <c r="I805" s="399"/>
      <c r="J805" s="362" t="s">
        <v>38</v>
      </c>
      <c r="K805" s="362" t="s">
        <v>257</v>
      </c>
      <c r="L805" s="362" t="s">
        <v>112</v>
      </c>
      <c r="M805" s="362" t="s">
        <v>144</v>
      </c>
      <c r="N805" s="362"/>
      <c r="P805" s="371"/>
    </row>
    <row r="806" spans="1:16" s="385" customFormat="1" ht="14" outlineLevel="2">
      <c r="A806" s="388" t="s">
        <v>621</v>
      </c>
      <c r="B806" s="527" t="s">
        <v>35</v>
      </c>
      <c r="C806" s="390"/>
      <c r="D806" s="391"/>
      <c r="E806" s="391"/>
      <c r="F806" s="391"/>
      <c r="G806" s="391"/>
      <c r="H806" s="391"/>
      <c r="I806" s="392"/>
      <c r="J806" s="383"/>
      <c r="K806" s="383"/>
      <c r="L806" s="383"/>
      <c r="M806" s="383"/>
      <c r="N806" s="383"/>
      <c r="P806" s="386"/>
    </row>
    <row r="807" spans="1:16" s="372" customFormat="1" ht="14" outlineLevel="4">
      <c r="A807" s="405" t="s">
        <v>8</v>
      </c>
      <c r="B807" s="396" t="s">
        <v>197</v>
      </c>
      <c r="C807" s="397" t="s">
        <v>24</v>
      </c>
      <c r="D807" s="398"/>
      <c r="E807" s="398"/>
      <c r="F807" s="398"/>
      <c r="G807" s="398">
        <f t="shared" ref="G807:G826" si="228">F807*D807</f>
        <v>0</v>
      </c>
      <c r="H807" s="398">
        <f t="shared" ref="H807:H826" si="229">F807*E807</f>
        <v>0</v>
      </c>
      <c r="I807" s="399"/>
      <c r="J807" s="362" t="s">
        <v>38</v>
      </c>
      <c r="K807" s="362" t="s">
        <v>257</v>
      </c>
      <c r="L807" s="362" t="s">
        <v>112</v>
      </c>
      <c r="M807" s="362" t="s">
        <v>144</v>
      </c>
      <c r="N807" s="362"/>
      <c r="P807" s="371"/>
    </row>
    <row r="808" spans="1:16" s="372" customFormat="1" ht="14" outlineLevel="4">
      <c r="A808" s="405" t="s">
        <v>8</v>
      </c>
      <c r="B808" s="396" t="s">
        <v>198</v>
      </c>
      <c r="C808" s="397" t="s">
        <v>24</v>
      </c>
      <c r="D808" s="398"/>
      <c r="E808" s="398"/>
      <c r="F808" s="398"/>
      <c r="G808" s="398">
        <f t="shared" si="228"/>
        <v>0</v>
      </c>
      <c r="H808" s="398">
        <f t="shared" si="229"/>
        <v>0</v>
      </c>
      <c r="I808" s="399"/>
      <c r="J808" s="362" t="s">
        <v>38</v>
      </c>
      <c r="K808" s="362" t="s">
        <v>257</v>
      </c>
      <c r="L808" s="362" t="s">
        <v>112</v>
      </c>
      <c r="M808" s="362" t="s">
        <v>144</v>
      </c>
      <c r="N808" s="362"/>
      <c r="P808" s="371"/>
    </row>
    <row r="809" spans="1:16" s="372" customFormat="1" ht="14" outlineLevel="4">
      <c r="A809" s="405" t="s">
        <v>8</v>
      </c>
      <c r="B809" s="396" t="s">
        <v>197</v>
      </c>
      <c r="C809" s="397" t="s">
        <v>24</v>
      </c>
      <c r="D809" s="398"/>
      <c r="E809" s="398"/>
      <c r="F809" s="398"/>
      <c r="G809" s="398">
        <f t="shared" si="228"/>
        <v>0</v>
      </c>
      <c r="H809" s="398">
        <f t="shared" si="229"/>
        <v>0</v>
      </c>
      <c r="I809" s="399"/>
      <c r="J809" s="362" t="s">
        <v>38</v>
      </c>
      <c r="K809" s="362" t="s">
        <v>257</v>
      </c>
      <c r="L809" s="362" t="s">
        <v>112</v>
      </c>
      <c r="M809" s="362" t="s">
        <v>144</v>
      </c>
      <c r="N809" s="362"/>
      <c r="P809" s="371"/>
    </row>
    <row r="810" spans="1:16" s="372" customFormat="1" ht="14" outlineLevel="4">
      <c r="A810" s="405" t="s">
        <v>8</v>
      </c>
      <c r="B810" s="396" t="s">
        <v>198</v>
      </c>
      <c r="C810" s="397" t="s">
        <v>24</v>
      </c>
      <c r="D810" s="398"/>
      <c r="E810" s="398"/>
      <c r="F810" s="398"/>
      <c r="G810" s="398">
        <f t="shared" si="228"/>
        <v>0</v>
      </c>
      <c r="H810" s="398">
        <f t="shared" si="229"/>
        <v>0</v>
      </c>
      <c r="I810" s="399"/>
      <c r="J810" s="362" t="s">
        <v>38</v>
      </c>
      <c r="K810" s="362" t="s">
        <v>257</v>
      </c>
      <c r="L810" s="362" t="s">
        <v>112</v>
      </c>
      <c r="M810" s="362" t="s">
        <v>144</v>
      </c>
      <c r="N810" s="362"/>
      <c r="P810" s="371"/>
    </row>
    <row r="811" spans="1:16" s="372" customFormat="1" ht="14" outlineLevel="4">
      <c r="A811" s="405" t="s">
        <v>8</v>
      </c>
      <c r="B811" s="396" t="s">
        <v>268</v>
      </c>
      <c r="C811" s="397" t="s">
        <v>24</v>
      </c>
      <c r="D811" s="398"/>
      <c r="E811" s="398"/>
      <c r="F811" s="500"/>
      <c r="G811" s="398">
        <f t="shared" si="228"/>
        <v>0</v>
      </c>
      <c r="H811" s="398">
        <f t="shared" si="229"/>
        <v>0</v>
      </c>
      <c r="I811" s="399"/>
      <c r="J811" s="362" t="s">
        <v>38</v>
      </c>
      <c r="K811" s="362" t="s">
        <v>257</v>
      </c>
      <c r="L811" s="362" t="s">
        <v>112</v>
      </c>
      <c r="M811" s="362" t="s">
        <v>144</v>
      </c>
      <c r="N811" s="362"/>
      <c r="P811" s="371"/>
    </row>
    <row r="812" spans="1:16" s="372" customFormat="1" ht="14" outlineLevel="4">
      <c r="A812" s="405" t="s">
        <v>8</v>
      </c>
      <c r="B812" s="396" t="s">
        <v>269</v>
      </c>
      <c r="C812" s="397" t="s">
        <v>24</v>
      </c>
      <c r="D812" s="398"/>
      <c r="E812" s="398"/>
      <c r="F812" s="398"/>
      <c r="G812" s="398">
        <f t="shared" si="228"/>
        <v>0</v>
      </c>
      <c r="H812" s="398">
        <f t="shared" si="229"/>
        <v>0</v>
      </c>
      <c r="I812" s="399"/>
      <c r="J812" s="362" t="s">
        <v>38</v>
      </c>
      <c r="K812" s="362" t="s">
        <v>257</v>
      </c>
      <c r="L812" s="362" t="s">
        <v>112</v>
      </c>
      <c r="M812" s="362" t="s">
        <v>144</v>
      </c>
      <c r="N812" s="362"/>
      <c r="P812" s="371"/>
    </row>
    <row r="813" spans="1:16" s="372" customFormat="1" ht="14" outlineLevel="4">
      <c r="A813" s="405" t="s">
        <v>8</v>
      </c>
      <c r="B813" s="396" t="s">
        <v>270</v>
      </c>
      <c r="C813" s="397" t="s">
        <v>9</v>
      </c>
      <c r="D813" s="398"/>
      <c r="E813" s="398"/>
      <c r="F813" s="398"/>
      <c r="G813" s="398">
        <f t="shared" si="228"/>
        <v>0</v>
      </c>
      <c r="H813" s="398">
        <f t="shared" si="229"/>
        <v>0</v>
      </c>
      <c r="I813" s="399"/>
      <c r="J813" s="362" t="s">
        <v>38</v>
      </c>
      <c r="K813" s="362" t="s">
        <v>257</v>
      </c>
      <c r="L813" s="362" t="s">
        <v>112</v>
      </c>
      <c r="M813" s="362" t="s">
        <v>144</v>
      </c>
      <c r="N813" s="362"/>
      <c r="P813" s="371"/>
    </row>
    <row r="814" spans="1:16" s="372" customFormat="1" ht="14" outlineLevel="4">
      <c r="A814" s="405" t="s">
        <v>8</v>
      </c>
      <c r="B814" s="396" t="s">
        <v>199</v>
      </c>
      <c r="C814" s="397" t="s">
        <v>24</v>
      </c>
      <c r="D814" s="398"/>
      <c r="E814" s="398"/>
      <c r="F814" s="398"/>
      <c r="G814" s="398">
        <f t="shared" si="228"/>
        <v>0</v>
      </c>
      <c r="H814" s="398">
        <f t="shared" si="229"/>
        <v>0</v>
      </c>
      <c r="I814" s="399"/>
      <c r="J814" s="362" t="s">
        <v>38</v>
      </c>
      <c r="K814" s="362" t="s">
        <v>257</v>
      </c>
      <c r="L814" s="362" t="s">
        <v>112</v>
      </c>
      <c r="M814" s="362" t="s">
        <v>144</v>
      </c>
      <c r="N814" s="362"/>
      <c r="P814" s="371"/>
    </row>
    <row r="815" spans="1:16" s="372" customFormat="1" ht="14" outlineLevel="4">
      <c r="A815" s="405" t="s">
        <v>8</v>
      </c>
      <c r="B815" s="396" t="s">
        <v>200</v>
      </c>
      <c r="C815" s="397" t="s">
        <v>24</v>
      </c>
      <c r="D815" s="398"/>
      <c r="E815" s="398"/>
      <c r="F815" s="398"/>
      <c r="G815" s="398">
        <f t="shared" si="228"/>
        <v>0</v>
      </c>
      <c r="H815" s="398">
        <f t="shared" si="229"/>
        <v>0</v>
      </c>
      <c r="I815" s="399"/>
      <c r="J815" s="362" t="s">
        <v>38</v>
      </c>
      <c r="K815" s="362" t="s">
        <v>257</v>
      </c>
      <c r="L815" s="362" t="s">
        <v>112</v>
      </c>
      <c r="M815" s="362" t="s">
        <v>144</v>
      </c>
      <c r="N815" s="362"/>
      <c r="P815" s="371"/>
    </row>
    <row r="816" spans="1:16" s="372" customFormat="1" ht="14" outlineLevel="4">
      <c r="A816" s="405" t="s">
        <v>8</v>
      </c>
      <c r="B816" s="490" t="s">
        <v>271</v>
      </c>
      <c r="C816" s="397" t="s">
        <v>24</v>
      </c>
      <c r="D816" s="398"/>
      <c r="E816" s="398"/>
      <c r="F816" s="533"/>
      <c r="G816" s="398">
        <f t="shared" si="228"/>
        <v>0</v>
      </c>
      <c r="H816" s="398">
        <f t="shared" si="229"/>
        <v>0</v>
      </c>
      <c r="I816" s="399"/>
      <c r="J816" s="362" t="s">
        <v>38</v>
      </c>
      <c r="K816" s="362" t="s">
        <v>257</v>
      </c>
      <c r="L816" s="362" t="s">
        <v>112</v>
      </c>
      <c r="M816" s="362" t="s">
        <v>144</v>
      </c>
      <c r="N816" s="362"/>
      <c r="P816" s="371"/>
    </row>
    <row r="817" spans="1:16" s="372" customFormat="1" ht="14" outlineLevel="4">
      <c r="A817" s="405" t="s">
        <v>8</v>
      </c>
      <c r="B817" s="396" t="s">
        <v>272</v>
      </c>
      <c r="C817" s="397" t="s">
        <v>24</v>
      </c>
      <c r="D817" s="398"/>
      <c r="E817" s="398"/>
      <c r="F817" s="398"/>
      <c r="G817" s="398">
        <f t="shared" si="228"/>
        <v>0</v>
      </c>
      <c r="H817" s="398">
        <f t="shared" si="229"/>
        <v>0</v>
      </c>
      <c r="I817" s="399"/>
      <c r="J817" s="362" t="s">
        <v>38</v>
      </c>
      <c r="K817" s="362" t="s">
        <v>257</v>
      </c>
      <c r="L817" s="362" t="s">
        <v>112</v>
      </c>
      <c r="M817" s="362" t="s">
        <v>144</v>
      </c>
      <c r="N817" s="362"/>
      <c r="P817" s="371"/>
    </row>
    <row r="818" spans="1:16" s="372" customFormat="1" ht="14" outlineLevel="4">
      <c r="A818" s="405" t="s">
        <v>8</v>
      </c>
      <c r="B818" s="509" t="s">
        <v>273</v>
      </c>
      <c r="C818" s="397" t="s">
        <v>9</v>
      </c>
      <c r="D818" s="398"/>
      <c r="E818" s="398"/>
      <c r="F818" s="398"/>
      <c r="G818" s="398">
        <f t="shared" si="228"/>
        <v>0</v>
      </c>
      <c r="H818" s="398">
        <f t="shared" si="229"/>
        <v>0</v>
      </c>
      <c r="I818" s="399"/>
      <c r="J818" s="362" t="s">
        <v>38</v>
      </c>
      <c r="K818" s="362" t="s">
        <v>257</v>
      </c>
      <c r="L818" s="362" t="s">
        <v>112</v>
      </c>
      <c r="M818" s="362" t="s">
        <v>144</v>
      </c>
      <c r="N818" s="362"/>
      <c r="P818" s="371"/>
    </row>
    <row r="819" spans="1:16" s="372" customFormat="1" ht="14" outlineLevel="4">
      <c r="A819" s="405" t="s">
        <v>8</v>
      </c>
      <c r="B819" s="490" t="s">
        <v>201</v>
      </c>
      <c r="C819" s="397" t="s">
        <v>24</v>
      </c>
      <c r="D819" s="398"/>
      <c r="E819" s="398"/>
      <c r="F819" s="398"/>
      <c r="G819" s="398">
        <f t="shared" si="228"/>
        <v>0</v>
      </c>
      <c r="H819" s="398">
        <f t="shared" si="229"/>
        <v>0</v>
      </c>
      <c r="I819" s="399"/>
      <c r="J819" s="362" t="s">
        <v>38</v>
      </c>
      <c r="K819" s="362" t="s">
        <v>257</v>
      </c>
      <c r="L819" s="362" t="s">
        <v>112</v>
      </c>
      <c r="M819" s="362" t="s">
        <v>144</v>
      </c>
      <c r="N819" s="362"/>
      <c r="P819" s="371"/>
    </row>
    <row r="820" spans="1:16" s="372" customFormat="1" ht="14" outlineLevel="4">
      <c r="A820" s="405" t="s">
        <v>8</v>
      </c>
      <c r="B820" s="396" t="s">
        <v>207</v>
      </c>
      <c r="C820" s="397" t="s">
        <v>24</v>
      </c>
      <c r="D820" s="398"/>
      <c r="E820" s="398"/>
      <c r="F820" s="398"/>
      <c r="G820" s="398">
        <f t="shared" si="228"/>
        <v>0</v>
      </c>
      <c r="H820" s="398">
        <f t="shared" si="229"/>
        <v>0</v>
      </c>
      <c r="I820" s="399"/>
      <c r="J820" s="362" t="s">
        <v>38</v>
      </c>
      <c r="K820" s="362" t="s">
        <v>257</v>
      </c>
      <c r="L820" s="362" t="s">
        <v>112</v>
      </c>
      <c r="M820" s="362" t="s">
        <v>144</v>
      </c>
      <c r="N820" s="362"/>
      <c r="P820" s="371"/>
    </row>
    <row r="821" spans="1:16" s="372" customFormat="1" ht="14" outlineLevel="4">
      <c r="A821" s="405" t="s">
        <v>8</v>
      </c>
      <c r="B821" s="509" t="s">
        <v>202</v>
      </c>
      <c r="C821" s="397" t="s">
        <v>24</v>
      </c>
      <c r="D821" s="398"/>
      <c r="E821" s="398"/>
      <c r="F821" s="504"/>
      <c r="G821" s="398">
        <f t="shared" si="228"/>
        <v>0</v>
      </c>
      <c r="H821" s="398">
        <f t="shared" si="229"/>
        <v>0</v>
      </c>
      <c r="I821" s="399"/>
      <c r="J821" s="362" t="s">
        <v>38</v>
      </c>
      <c r="K821" s="362" t="s">
        <v>257</v>
      </c>
      <c r="L821" s="362" t="s">
        <v>112</v>
      </c>
      <c r="M821" s="362" t="s">
        <v>144</v>
      </c>
      <c r="N821" s="362"/>
      <c r="P821" s="371"/>
    </row>
    <row r="822" spans="1:16" s="372" customFormat="1" ht="14" outlineLevel="4">
      <c r="A822" s="405" t="s">
        <v>8</v>
      </c>
      <c r="B822" s="509" t="s">
        <v>203</v>
      </c>
      <c r="C822" s="397" t="s">
        <v>24</v>
      </c>
      <c r="D822" s="398"/>
      <c r="E822" s="398"/>
      <c r="F822" s="528"/>
      <c r="G822" s="398">
        <f t="shared" si="228"/>
        <v>0</v>
      </c>
      <c r="H822" s="398">
        <f t="shared" si="229"/>
        <v>0</v>
      </c>
      <c r="I822" s="399"/>
      <c r="J822" s="362" t="s">
        <v>38</v>
      </c>
      <c r="K822" s="362" t="s">
        <v>257</v>
      </c>
      <c r="L822" s="362" t="s">
        <v>112</v>
      </c>
      <c r="M822" s="362" t="s">
        <v>144</v>
      </c>
      <c r="N822" s="362"/>
      <c r="P822" s="371"/>
    </row>
    <row r="823" spans="1:16" s="372" customFormat="1" ht="14" outlineLevel="4">
      <c r="A823" s="405" t="s">
        <v>8</v>
      </c>
      <c r="B823" s="509" t="s">
        <v>278</v>
      </c>
      <c r="C823" s="397" t="s">
        <v>24</v>
      </c>
      <c r="D823" s="398"/>
      <c r="E823" s="398"/>
      <c r="F823" s="398"/>
      <c r="G823" s="398">
        <f t="shared" si="228"/>
        <v>0</v>
      </c>
      <c r="H823" s="398">
        <f t="shared" si="229"/>
        <v>0</v>
      </c>
      <c r="I823" s="399"/>
      <c r="J823" s="362" t="s">
        <v>38</v>
      </c>
      <c r="K823" s="362" t="s">
        <v>257</v>
      </c>
      <c r="L823" s="362" t="s">
        <v>112</v>
      </c>
      <c r="M823" s="362" t="s">
        <v>144</v>
      </c>
      <c r="N823" s="362"/>
      <c r="P823" s="371"/>
    </row>
    <row r="824" spans="1:16" s="372" customFormat="1" ht="14" outlineLevel="4">
      <c r="A824" s="405" t="s">
        <v>8</v>
      </c>
      <c r="B824" s="509" t="s">
        <v>142</v>
      </c>
      <c r="C824" s="397" t="s">
        <v>24</v>
      </c>
      <c r="D824" s="398"/>
      <c r="E824" s="398"/>
      <c r="F824" s="504"/>
      <c r="G824" s="398">
        <f t="shared" si="228"/>
        <v>0</v>
      </c>
      <c r="H824" s="398">
        <f t="shared" si="229"/>
        <v>0</v>
      </c>
      <c r="I824" s="399"/>
      <c r="J824" s="362" t="s">
        <v>38</v>
      </c>
      <c r="K824" s="362" t="s">
        <v>257</v>
      </c>
      <c r="L824" s="362" t="s">
        <v>112</v>
      </c>
      <c r="M824" s="362" t="s">
        <v>144</v>
      </c>
      <c r="N824" s="362"/>
      <c r="P824" s="371"/>
    </row>
    <row r="825" spans="1:16" s="372" customFormat="1" ht="14" outlineLevel="4">
      <c r="A825" s="405" t="s">
        <v>8</v>
      </c>
      <c r="B825" s="509" t="s">
        <v>143</v>
      </c>
      <c r="C825" s="397" t="s">
        <v>24</v>
      </c>
      <c r="D825" s="398"/>
      <c r="E825" s="398"/>
      <c r="F825" s="398"/>
      <c r="G825" s="398">
        <f t="shared" si="228"/>
        <v>0</v>
      </c>
      <c r="H825" s="398">
        <f t="shared" si="229"/>
        <v>0</v>
      </c>
      <c r="I825" s="399"/>
      <c r="J825" s="362" t="s">
        <v>38</v>
      </c>
      <c r="K825" s="362" t="s">
        <v>257</v>
      </c>
      <c r="L825" s="362" t="s">
        <v>112</v>
      </c>
      <c r="M825" s="362" t="s">
        <v>144</v>
      </c>
      <c r="N825" s="362"/>
      <c r="P825" s="371"/>
    </row>
    <row r="826" spans="1:16" s="372" customFormat="1" ht="14" outlineLevel="4">
      <c r="A826" s="405" t="s">
        <v>8</v>
      </c>
      <c r="B826" s="509" t="s">
        <v>204</v>
      </c>
      <c r="C826" s="397" t="s">
        <v>9</v>
      </c>
      <c r="D826" s="398"/>
      <c r="E826" s="398"/>
      <c r="F826" s="398"/>
      <c r="G826" s="398">
        <f t="shared" si="228"/>
        <v>0</v>
      </c>
      <c r="H826" s="398">
        <f t="shared" si="229"/>
        <v>0</v>
      </c>
      <c r="I826" s="399"/>
      <c r="J826" s="362" t="s">
        <v>38</v>
      </c>
      <c r="K826" s="362" t="s">
        <v>257</v>
      </c>
      <c r="L826" s="362" t="s">
        <v>112</v>
      </c>
      <c r="M826" s="362" t="s">
        <v>144</v>
      </c>
      <c r="N826" s="362"/>
      <c r="P826" s="371"/>
    </row>
    <row r="827" spans="1:16" s="385" customFormat="1" ht="14" outlineLevel="2">
      <c r="A827" s="529">
        <v>3.2</v>
      </c>
      <c r="B827" s="527" t="s">
        <v>581</v>
      </c>
      <c r="C827" s="530"/>
      <c r="D827" s="531"/>
      <c r="E827" s="531"/>
      <c r="F827" s="531"/>
      <c r="G827" s="531">
        <f>SUBTOTAL(9,G828:G862)</f>
        <v>0</v>
      </c>
      <c r="H827" s="531">
        <f>SUBTOTAL(9,H828:H861)</f>
        <v>0</v>
      </c>
      <c r="I827" s="392"/>
      <c r="J827" s="383"/>
      <c r="K827" s="383"/>
      <c r="L827" s="383"/>
      <c r="M827" s="383"/>
      <c r="N827" s="383"/>
      <c r="P827" s="386"/>
    </row>
    <row r="828" spans="1:16" s="372" customFormat="1" ht="14" outlineLevel="3">
      <c r="A828" s="388" t="s">
        <v>622</v>
      </c>
      <c r="B828" s="532" t="s">
        <v>541</v>
      </c>
      <c r="C828" s="397"/>
      <c r="D828" s="398"/>
      <c r="E828" s="398"/>
      <c r="F828" s="524"/>
      <c r="G828" s="398">
        <f>SUBTOTAL(9,G829:G834)</f>
        <v>0</v>
      </c>
      <c r="H828" s="398">
        <f>SUBTOTAL(9,H829:H834)</f>
        <v>0</v>
      </c>
      <c r="I828" s="399"/>
      <c r="J828" s="362"/>
      <c r="K828" s="362"/>
      <c r="L828" s="362"/>
      <c r="M828" s="362"/>
      <c r="N828" s="362"/>
      <c r="P828" s="371"/>
    </row>
    <row r="829" spans="1:16" s="372" customFormat="1" ht="14" outlineLevel="3">
      <c r="A829" s="388" t="s">
        <v>8</v>
      </c>
      <c r="B829" s="490" t="s">
        <v>193</v>
      </c>
      <c r="C829" s="397" t="s">
        <v>24</v>
      </c>
      <c r="D829" s="398"/>
      <c r="E829" s="398"/>
      <c r="F829" s="524"/>
      <c r="G829" s="398">
        <f t="shared" ref="G829:G834" si="230">F829*D829</f>
        <v>0</v>
      </c>
      <c r="H829" s="398">
        <f t="shared" ref="H829:H834" si="231">F829*E829</f>
        <v>0</v>
      </c>
      <c r="I829" s="399"/>
      <c r="J829" s="362" t="s">
        <v>38</v>
      </c>
      <c r="K829" s="362" t="s">
        <v>257</v>
      </c>
      <c r="L829" s="362" t="s">
        <v>112</v>
      </c>
      <c r="M829" s="362" t="s">
        <v>144</v>
      </c>
      <c r="N829" s="362"/>
      <c r="P829" s="371"/>
    </row>
    <row r="830" spans="1:16" s="372" customFormat="1" ht="14" outlineLevel="3">
      <c r="A830" s="405" t="s">
        <v>8</v>
      </c>
      <c r="B830" s="490" t="s">
        <v>455</v>
      </c>
      <c r="C830" s="397" t="s">
        <v>24</v>
      </c>
      <c r="D830" s="398"/>
      <c r="E830" s="398"/>
      <c r="F830" s="493"/>
      <c r="G830" s="398">
        <f t="shared" si="230"/>
        <v>0</v>
      </c>
      <c r="H830" s="398">
        <f t="shared" si="231"/>
        <v>0</v>
      </c>
      <c r="I830" s="399"/>
      <c r="J830" s="362" t="s">
        <v>38</v>
      </c>
      <c r="K830" s="362" t="s">
        <v>257</v>
      </c>
      <c r="L830" s="362" t="s">
        <v>112</v>
      </c>
      <c r="M830" s="362" t="s">
        <v>144</v>
      </c>
      <c r="N830" s="362"/>
      <c r="P830" s="371"/>
    </row>
    <row r="831" spans="1:16" s="372" customFormat="1" ht="14" outlineLevel="3">
      <c r="A831" s="405" t="s">
        <v>8</v>
      </c>
      <c r="B831" s="490" t="s">
        <v>456</v>
      </c>
      <c r="C831" s="397" t="s">
        <v>24</v>
      </c>
      <c r="D831" s="398"/>
      <c r="E831" s="398"/>
      <c r="F831" s="494"/>
      <c r="G831" s="398">
        <f t="shared" si="230"/>
        <v>0</v>
      </c>
      <c r="H831" s="398">
        <f t="shared" si="231"/>
        <v>0</v>
      </c>
      <c r="I831" s="399"/>
      <c r="J831" s="362" t="s">
        <v>38</v>
      </c>
      <c r="K831" s="362" t="s">
        <v>257</v>
      </c>
      <c r="L831" s="362" t="s">
        <v>112</v>
      </c>
      <c r="M831" s="362" t="s">
        <v>144</v>
      </c>
      <c r="N831" s="362"/>
      <c r="P831" s="371"/>
    </row>
    <row r="832" spans="1:16" s="372" customFormat="1" ht="14" outlineLevel="3">
      <c r="A832" s="405" t="s">
        <v>8</v>
      </c>
      <c r="B832" s="490" t="s">
        <v>457</v>
      </c>
      <c r="C832" s="397" t="s">
        <v>24</v>
      </c>
      <c r="D832" s="398"/>
      <c r="E832" s="398"/>
      <c r="F832" s="524"/>
      <c r="G832" s="398">
        <f t="shared" si="230"/>
        <v>0</v>
      </c>
      <c r="H832" s="398">
        <f t="shared" si="231"/>
        <v>0</v>
      </c>
      <c r="I832" s="399"/>
      <c r="J832" s="362" t="s">
        <v>38</v>
      </c>
      <c r="K832" s="362" t="s">
        <v>257</v>
      </c>
      <c r="L832" s="362" t="s">
        <v>112</v>
      </c>
      <c r="M832" s="362" t="s">
        <v>144</v>
      </c>
      <c r="N832" s="362"/>
      <c r="P832" s="371"/>
    </row>
    <row r="833" spans="1:16" s="372" customFormat="1" ht="14" outlineLevel="3">
      <c r="A833" s="405" t="s">
        <v>8</v>
      </c>
      <c r="B833" s="490" t="s">
        <v>195</v>
      </c>
      <c r="C833" s="397" t="s">
        <v>24</v>
      </c>
      <c r="D833" s="398"/>
      <c r="E833" s="398"/>
      <c r="F833" s="493"/>
      <c r="G833" s="398">
        <f t="shared" si="230"/>
        <v>0</v>
      </c>
      <c r="H833" s="398">
        <f t="shared" si="231"/>
        <v>0</v>
      </c>
      <c r="I833" s="399"/>
      <c r="J833" s="362" t="s">
        <v>38</v>
      </c>
      <c r="K833" s="362" t="s">
        <v>257</v>
      </c>
      <c r="L833" s="362" t="s">
        <v>112</v>
      </c>
      <c r="M833" s="362" t="s">
        <v>144</v>
      </c>
      <c r="N833" s="362"/>
      <c r="P833" s="371"/>
    </row>
    <row r="834" spans="1:16" s="372" customFormat="1" ht="14" outlineLevel="3">
      <c r="A834" s="405" t="s">
        <v>8</v>
      </c>
      <c r="B834" s="490" t="s">
        <v>265</v>
      </c>
      <c r="C834" s="397" t="s">
        <v>24</v>
      </c>
      <c r="D834" s="398"/>
      <c r="E834" s="398"/>
      <c r="F834" s="494"/>
      <c r="G834" s="398">
        <f t="shared" si="230"/>
        <v>0</v>
      </c>
      <c r="H834" s="398">
        <f t="shared" si="231"/>
        <v>0</v>
      </c>
      <c r="I834" s="399"/>
      <c r="J834" s="362" t="s">
        <v>38</v>
      </c>
      <c r="K834" s="362" t="s">
        <v>257</v>
      </c>
      <c r="L834" s="362" t="s">
        <v>112</v>
      </c>
      <c r="M834" s="362" t="s">
        <v>144</v>
      </c>
      <c r="N834" s="362"/>
      <c r="P834" s="371"/>
    </row>
    <row r="835" spans="1:16" s="385" customFormat="1" ht="14" outlineLevel="2">
      <c r="A835" s="388" t="s">
        <v>623</v>
      </c>
      <c r="B835" s="488" t="s">
        <v>59</v>
      </c>
      <c r="C835" s="390"/>
      <c r="D835" s="391"/>
      <c r="E835" s="391"/>
      <c r="F835" s="391"/>
      <c r="G835" s="391">
        <f>SUBTOTAL(9,G836:G840)</f>
        <v>0</v>
      </c>
      <c r="H835" s="391">
        <f>SUBTOTAL(9,H836:H840)</f>
        <v>0</v>
      </c>
      <c r="I835" s="526"/>
      <c r="J835" s="383"/>
      <c r="K835" s="383"/>
      <c r="L835" s="383"/>
      <c r="M835" s="383"/>
      <c r="N835" s="383"/>
      <c r="P835" s="386"/>
    </row>
    <row r="836" spans="1:16" s="372" customFormat="1" ht="14" outlineLevel="3">
      <c r="A836" s="405" t="s">
        <v>8</v>
      </c>
      <c r="B836" s="490" t="s">
        <v>162</v>
      </c>
      <c r="C836" s="397" t="s">
        <v>24</v>
      </c>
      <c r="D836" s="398"/>
      <c r="E836" s="398"/>
      <c r="F836" s="499"/>
      <c r="G836" s="398">
        <f t="shared" ref="G836:G840" si="232">F836*D836</f>
        <v>0</v>
      </c>
      <c r="H836" s="398">
        <f t="shared" ref="H836:H840" si="233">F836*E836</f>
        <v>0</v>
      </c>
      <c r="I836" s="399"/>
      <c r="J836" s="362" t="s">
        <v>38</v>
      </c>
      <c r="K836" s="362" t="s">
        <v>257</v>
      </c>
      <c r="L836" s="362" t="s">
        <v>112</v>
      </c>
      <c r="M836" s="362" t="s">
        <v>144</v>
      </c>
      <c r="N836" s="362"/>
      <c r="P836" s="371"/>
    </row>
    <row r="837" spans="1:16" s="372" customFormat="1" ht="14" outlineLevel="3">
      <c r="A837" s="405" t="s">
        <v>8</v>
      </c>
      <c r="B837" s="490" t="s">
        <v>235</v>
      </c>
      <c r="C837" s="397" t="s">
        <v>24</v>
      </c>
      <c r="D837" s="398"/>
      <c r="E837" s="398"/>
      <c r="F837" s="398"/>
      <c r="G837" s="398">
        <f t="shared" si="232"/>
        <v>0</v>
      </c>
      <c r="H837" s="398">
        <f t="shared" si="233"/>
        <v>0</v>
      </c>
      <c r="I837" s="399"/>
      <c r="J837" s="362" t="s">
        <v>38</v>
      </c>
      <c r="K837" s="362" t="s">
        <v>257</v>
      </c>
      <c r="L837" s="362" t="s">
        <v>112</v>
      </c>
      <c r="M837" s="362" t="s">
        <v>144</v>
      </c>
      <c r="N837" s="362"/>
      <c r="P837" s="371"/>
    </row>
    <row r="838" spans="1:16" s="372" customFormat="1" ht="14" outlineLevel="3">
      <c r="A838" s="405" t="s">
        <v>8</v>
      </c>
      <c r="B838" s="490" t="s">
        <v>196</v>
      </c>
      <c r="C838" s="397" t="s">
        <v>24</v>
      </c>
      <c r="D838" s="398"/>
      <c r="E838" s="398"/>
      <c r="F838" s="500"/>
      <c r="G838" s="398">
        <f t="shared" si="232"/>
        <v>0</v>
      </c>
      <c r="H838" s="398">
        <f t="shared" si="233"/>
        <v>0</v>
      </c>
      <c r="I838" s="399"/>
      <c r="J838" s="362" t="s">
        <v>38</v>
      </c>
      <c r="K838" s="362" t="s">
        <v>257</v>
      </c>
      <c r="L838" s="362" t="s">
        <v>112</v>
      </c>
      <c r="M838" s="362" t="s">
        <v>144</v>
      </c>
      <c r="N838" s="362"/>
      <c r="P838" s="371"/>
    </row>
    <row r="839" spans="1:16" s="372" customFormat="1" ht="14" outlineLevel="3">
      <c r="A839" s="405" t="s">
        <v>8</v>
      </c>
      <c r="B839" s="501" t="s">
        <v>266</v>
      </c>
      <c r="C839" s="397" t="s">
        <v>9</v>
      </c>
      <c r="D839" s="398"/>
      <c r="E839" s="398"/>
      <c r="F839" s="398"/>
      <c r="G839" s="398">
        <f t="shared" si="232"/>
        <v>0</v>
      </c>
      <c r="H839" s="398">
        <f t="shared" si="233"/>
        <v>0</v>
      </c>
      <c r="I839" s="399"/>
      <c r="J839" s="362" t="s">
        <v>38</v>
      </c>
      <c r="K839" s="362" t="s">
        <v>257</v>
      </c>
      <c r="L839" s="362" t="s">
        <v>112</v>
      </c>
      <c r="M839" s="362" t="s">
        <v>144</v>
      </c>
      <c r="N839" s="362"/>
      <c r="P839" s="371"/>
    </row>
    <row r="840" spans="1:16" s="372" customFormat="1" ht="14" outlineLevel="3">
      <c r="A840" s="405" t="s">
        <v>8</v>
      </c>
      <c r="B840" s="490" t="s">
        <v>267</v>
      </c>
      <c r="C840" s="397" t="s">
        <v>9</v>
      </c>
      <c r="D840" s="502"/>
      <c r="E840" s="502"/>
      <c r="F840" s="503"/>
      <c r="G840" s="398">
        <f t="shared" si="232"/>
        <v>0</v>
      </c>
      <c r="H840" s="398">
        <f t="shared" si="233"/>
        <v>0</v>
      </c>
      <c r="I840" s="399"/>
      <c r="J840" s="362" t="s">
        <v>38</v>
      </c>
      <c r="K840" s="362" t="s">
        <v>257</v>
      </c>
      <c r="L840" s="362" t="s">
        <v>112</v>
      </c>
      <c r="M840" s="362" t="s">
        <v>144</v>
      </c>
      <c r="N840" s="362"/>
      <c r="P840" s="371"/>
    </row>
    <row r="841" spans="1:16" s="385" customFormat="1" ht="14" outlineLevel="2">
      <c r="A841" s="388" t="s">
        <v>624</v>
      </c>
      <c r="B841" s="527" t="s">
        <v>35</v>
      </c>
      <c r="C841" s="390"/>
      <c r="D841" s="391"/>
      <c r="E841" s="391"/>
      <c r="F841" s="391"/>
      <c r="G841" s="391">
        <f>SUBTOTAL(9,G842:G861)</f>
        <v>0</v>
      </c>
      <c r="H841" s="391">
        <f>SUBTOTAL(9,H842:H861)</f>
        <v>0</v>
      </c>
      <c r="I841" s="392"/>
      <c r="J841" s="383"/>
      <c r="K841" s="383"/>
      <c r="L841" s="383"/>
      <c r="M841" s="383"/>
      <c r="N841" s="383"/>
      <c r="P841" s="386"/>
    </row>
    <row r="842" spans="1:16" s="372" customFormat="1" ht="14" outlineLevel="4">
      <c r="A842" s="405" t="s">
        <v>8</v>
      </c>
      <c r="B842" s="396" t="s">
        <v>197</v>
      </c>
      <c r="C842" s="397" t="s">
        <v>24</v>
      </c>
      <c r="D842" s="398"/>
      <c r="E842" s="398"/>
      <c r="F842" s="398"/>
      <c r="G842" s="398">
        <f t="shared" ref="G842:G862" si="234">F842*D842</f>
        <v>0</v>
      </c>
      <c r="H842" s="398">
        <f t="shared" ref="H842:H862" si="235">F842*E842</f>
        <v>0</v>
      </c>
      <c r="I842" s="399"/>
      <c r="J842" s="362" t="s">
        <v>38</v>
      </c>
      <c r="K842" s="362" t="s">
        <v>257</v>
      </c>
      <c r="L842" s="362" t="s">
        <v>112</v>
      </c>
      <c r="M842" s="362" t="s">
        <v>144</v>
      </c>
      <c r="N842" s="362"/>
      <c r="P842" s="371"/>
    </row>
    <row r="843" spans="1:16" s="372" customFormat="1" ht="14" outlineLevel="4">
      <c r="A843" s="405" t="s">
        <v>8</v>
      </c>
      <c r="B843" s="396" t="s">
        <v>198</v>
      </c>
      <c r="C843" s="397" t="s">
        <v>24</v>
      </c>
      <c r="D843" s="398"/>
      <c r="E843" s="398"/>
      <c r="F843" s="398"/>
      <c r="G843" s="398">
        <f t="shared" si="234"/>
        <v>0</v>
      </c>
      <c r="H843" s="398">
        <f t="shared" si="235"/>
        <v>0</v>
      </c>
      <c r="I843" s="399"/>
      <c r="J843" s="362" t="s">
        <v>38</v>
      </c>
      <c r="K843" s="362" t="s">
        <v>257</v>
      </c>
      <c r="L843" s="362" t="s">
        <v>112</v>
      </c>
      <c r="M843" s="362" t="s">
        <v>144</v>
      </c>
      <c r="N843" s="362"/>
      <c r="P843" s="371"/>
    </row>
    <row r="844" spans="1:16" s="372" customFormat="1" ht="14" outlineLevel="4">
      <c r="A844" s="405" t="s">
        <v>8</v>
      </c>
      <c r="B844" s="396" t="s">
        <v>197</v>
      </c>
      <c r="C844" s="397" t="s">
        <v>24</v>
      </c>
      <c r="D844" s="398"/>
      <c r="E844" s="398"/>
      <c r="F844" s="398"/>
      <c r="G844" s="398">
        <f t="shared" si="234"/>
        <v>0</v>
      </c>
      <c r="H844" s="398">
        <f t="shared" si="235"/>
        <v>0</v>
      </c>
      <c r="I844" s="399"/>
      <c r="J844" s="362" t="s">
        <v>38</v>
      </c>
      <c r="K844" s="362" t="s">
        <v>257</v>
      </c>
      <c r="L844" s="362" t="s">
        <v>112</v>
      </c>
      <c r="M844" s="362" t="s">
        <v>144</v>
      </c>
      <c r="N844" s="362"/>
      <c r="P844" s="371"/>
    </row>
    <row r="845" spans="1:16" s="372" customFormat="1" ht="14" outlineLevel="4">
      <c r="A845" s="405" t="s">
        <v>8</v>
      </c>
      <c r="B845" s="396" t="s">
        <v>198</v>
      </c>
      <c r="C845" s="397" t="s">
        <v>24</v>
      </c>
      <c r="D845" s="398"/>
      <c r="E845" s="398"/>
      <c r="F845" s="398"/>
      <c r="G845" s="398">
        <f t="shared" si="234"/>
        <v>0</v>
      </c>
      <c r="H845" s="398">
        <f t="shared" si="235"/>
        <v>0</v>
      </c>
      <c r="I845" s="399"/>
      <c r="J845" s="362" t="s">
        <v>38</v>
      </c>
      <c r="K845" s="362" t="s">
        <v>257</v>
      </c>
      <c r="L845" s="362" t="s">
        <v>112</v>
      </c>
      <c r="M845" s="362" t="s">
        <v>144</v>
      </c>
      <c r="N845" s="362"/>
      <c r="P845" s="371"/>
    </row>
    <row r="846" spans="1:16" s="372" customFormat="1" ht="14" outlineLevel="4">
      <c r="A846" s="405" t="s">
        <v>8</v>
      </c>
      <c r="B846" s="396" t="s">
        <v>268</v>
      </c>
      <c r="C846" s="397" t="s">
        <v>24</v>
      </c>
      <c r="D846" s="398"/>
      <c r="E846" s="398"/>
      <c r="F846" s="500"/>
      <c r="G846" s="398">
        <f t="shared" si="234"/>
        <v>0</v>
      </c>
      <c r="H846" s="398">
        <f t="shared" si="235"/>
        <v>0</v>
      </c>
      <c r="I846" s="399"/>
      <c r="J846" s="362" t="s">
        <v>38</v>
      </c>
      <c r="K846" s="362" t="s">
        <v>257</v>
      </c>
      <c r="L846" s="362" t="s">
        <v>112</v>
      </c>
      <c r="M846" s="362" t="s">
        <v>144</v>
      </c>
      <c r="N846" s="362"/>
      <c r="P846" s="371"/>
    </row>
    <row r="847" spans="1:16" s="372" customFormat="1" ht="14" outlineLevel="4">
      <c r="A847" s="405" t="s">
        <v>8</v>
      </c>
      <c r="B847" s="396" t="s">
        <v>269</v>
      </c>
      <c r="C847" s="397" t="s">
        <v>24</v>
      </c>
      <c r="D847" s="398"/>
      <c r="E847" s="398"/>
      <c r="F847" s="398"/>
      <c r="G847" s="398">
        <f t="shared" si="234"/>
        <v>0</v>
      </c>
      <c r="H847" s="398">
        <f t="shared" si="235"/>
        <v>0</v>
      </c>
      <c r="I847" s="399"/>
      <c r="J847" s="362" t="s">
        <v>38</v>
      </c>
      <c r="K847" s="362" t="s">
        <v>257</v>
      </c>
      <c r="L847" s="362" t="s">
        <v>112</v>
      </c>
      <c r="M847" s="362" t="s">
        <v>144</v>
      </c>
      <c r="N847" s="362"/>
      <c r="P847" s="371"/>
    </row>
    <row r="848" spans="1:16" s="372" customFormat="1" ht="14" outlineLevel="4">
      <c r="A848" s="405" t="s">
        <v>8</v>
      </c>
      <c r="B848" s="396" t="s">
        <v>270</v>
      </c>
      <c r="C848" s="397" t="s">
        <v>9</v>
      </c>
      <c r="D848" s="398"/>
      <c r="E848" s="398"/>
      <c r="F848" s="398"/>
      <c r="G848" s="398">
        <f t="shared" si="234"/>
        <v>0</v>
      </c>
      <c r="H848" s="398">
        <f t="shared" si="235"/>
        <v>0</v>
      </c>
      <c r="I848" s="399"/>
      <c r="J848" s="362" t="s">
        <v>38</v>
      </c>
      <c r="K848" s="362" t="s">
        <v>257</v>
      </c>
      <c r="L848" s="362" t="s">
        <v>112</v>
      </c>
      <c r="M848" s="362" t="s">
        <v>144</v>
      </c>
      <c r="N848" s="362"/>
      <c r="P848" s="371"/>
    </row>
    <row r="849" spans="1:16" s="372" customFormat="1" ht="14" outlineLevel="4">
      <c r="A849" s="405" t="s">
        <v>8</v>
      </c>
      <c r="B849" s="396" t="s">
        <v>199</v>
      </c>
      <c r="C849" s="397" t="s">
        <v>24</v>
      </c>
      <c r="D849" s="398"/>
      <c r="E849" s="398"/>
      <c r="F849" s="398"/>
      <c r="G849" s="398">
        <f t="shared" si="234"/>
        <v>0</v>
      </c>
      <c r="H849" s="398">
        <f t="shared" si="235"/>
        <v>0</v>
      </c>
      <c r="I849" s="399"/>
      <c r="J849" s="362" t="s">
        <v>38</v>
      </c>
      <c r="K849" s="362" t="s">
        <v>257</v>
      </c>
      <c r="L849" s="362" t="s">
        <v>112</v>
      </c>
      <c r="M849" s="362" t="s">
        <v>144</v>
      </c>
      <c r="N849" s="362"/>
      <c r="P849" s="371"/>
    </row>
    <row r="850" spans="1:16" s="372" customFormat="1" ht="14" outlineLevel="4">
      <c r="A850" s="405" t="s">
        <v>8</v>
      </c>
      <c r="B850" s="396" t="s">
        <v>200</v>
      </c>
      <c r="C850" s="397" t="s">
        <v>24</v>
      </c>
      <c r="D850" s="398"/>
      <c r="E850" s="398"/>
      <c r="F850" s="398"/>
      <c r="G850" s="398">
        <f t="shared" si="234"/>
        <v>0</v>
      </c>
      <c r="H850" s="398">
        <f t="shared" si="235"/>
        <v>0</v>
      </c>
      <c r="I850" s="399"/>
      <c r="J850" s="362" t="s">
        <v>38</v>
      </c>
      <c r="K850" s="362" t="s">
        <v>257</v>
      </c>
      <c r="L850" s="362" t="s">
        <v>112</v>
      </c>
      <c r="M850" s="362" t="s">
        <v>144</v>
      </c>
      <c r="N850" s="362"/>
      <c r="P850" s="371"/>
    </row>
    <row r="851" spans="1:16" s="372" customFormat="1" ht="14" outlineLevel="4">
      <c r="A851" s="405" t="s">
        <v>8</v>
      </c>
      <c r="B851" s="490" t="s">
        <v>271</v>
      </c>
      <c r="C851" s="397" t="s">
        <v>24</v>
      </c>
      <c r="D851" s="398"/>
      <c r="E851" s="398"/>
      <c r="F851" s="398"/>
      <c r="G851" s="398">
        <f t="shared" si="234"/>
        <v>0</v>
      </c>
      <c r="H851" s="398">
        <f t="shared" si="235"/>
        <v>0</v>
      </c>
      <c r="I851" s="399"/>
      <c r="J851" s="362" t="s">
        <v>38</v>
      </c>
      <c r="K851" s="362" t="s">
        <v>257</v>
      </c>
      <c r="L851" s="362" t="s">
        <v>112</v>
      </c>
      <c r="M851" s="362" t="s">
        <v>144</v>
      </c>
      <c r="N851" s="362"/>
      <c r="P851" s="371"/>
    </row>
    <row r="852" spans="1:16" s="372" customFormat="1" ht="14" outlineLevel="4">
      <c r="A852" s="405" t="s">
        <v>8</v>
      </c>
      <c r="B852" s="396" t="s">
        <v>272</v>
      </c>
      <c r="C852" s="397" t="s">
        <v>24</v>
      </c>
      <c r="D852" s="398"/>
      <c r="E852" s="398"/>
      <c r="F852" s="398"/>
      <c r="G852" s="398">
        <f t="shared" si="234"/>
        <v>0</v>
      </c>
      <c r="H852" s="398">
        <f t="shared" si="235"/>
        <v>0</v>
      </c>
      <c r="I852" s="399"/>
      <c r="J852" s="362" t="s">
        <v>38</v>
      </c>
      <c r="K852" s="362" t="s">
        <v>257</v>
      </c>
      <c r="L852" s="362" t="s">
        <v>112</v>
      </c>
      <c r="M852" s="362" t="s">
        <v>144</v>
      </c>
      <c r="N852" s="362"/>
      <c r="P852" s="371"/>
    </row>
    <row r="853" spans="1:16" s="372" customFormat="1" ht="14" outlineLevel="4">
      <c r="A853" s="405" t="s">
        <v>8</v>
      </c>
      <c r="B853" s="509" t="s">
        <v>273</v>
      </c>
      <c r="C853" s="397" t="s">
        <v>9</v>
      </c>
      <c r="D853" s="398"/>
      <c r="E853" s="398"/>
      <c r="F853" s="398"/>
      <c r="G853" s="398">
        <f t="shared" si="234"/>
        <v>0</v>
      </c>
      <c r="H853" s="398">
        <f t="shared" si="235"/>
        <v>0</v>
      </c>
      <c r="I853" s="399"/>
      <c r="J853" s="362" t="s">
        <v>38</v>
      </c>
      <c r="K853" s="362" t="s">
        <v>257</v>
      </c>
      <c r="L853" s="362" t="s">
        <v>112</v>
      </c>
      <c r="M853" s="362" t="s">
        <v>144</v>
      </c>
      <c r="N853" s="362"/>
      <c r="P853" s="371"/>
    </row>
    <row r="854" spans="1:16" s="372" customFormat="1" ht="14" outlineLevel="4">
      <c r="A854" s="405" t="s">
        <v>8</v>
      </c>
      <c r="B854" s="490" t="s">
        <v>201</v>
      </c>
      <c r="C854" s="397" t="s">
        <v>24</v>
      </c>
      <c r="D854" s="398"/>
      <c r="E854" s="398"/>
      <c r="F854" s="398"/>
      <c r="G854" s="398">
        <f t="shared" si="234"/>
        <v>0</v>
      </c>
      <c r="H854" s="398">
        <f t="shared" si="235"/>
        <v>0</v>
      </c>
      <c r="I854" s="399"/>
      <c r="J854" s="362" t="s">
        <v>38</v>
      </c>
      <c r="K854" s="362" t="s">
        <v>257</v>
      </c>
      <c r="L854" s="362" t="s">
        <v>112</v>
      </c>
      <c r="M854" s="362" t="s">
        <v>144</v>
      </c>
      <c r="N854" s="362"/>
      <c r="P854" s="371"/>
    </row>
    <row r="855" spans="1:16" s="372" customFormat="1" ht="14" outlineLevel="4">
      <c r="A855" s="405" t="s">
        <v>8</v>
      </c>
      <c r="B855" s="396" t="s">
        <v>207</v>
      </c>
      <c r="C855" s="397" t="s">
        <v>24</v>
      </c>
      <c r="D855" s="398"/>
      <c r="E855" s="398"/>
      <c r="F855" s="398"/>
      <c r="G855" s="398">
        <f t="shared" si="234"/>
        <v>0</v>
      </c>
      <c r="H855" s="398">
        <f t="shared" si="235"/>
        <v>0</v>
      </c>
      <c r="I855" s="399"/>
      <c r="J855" s="362" t="s">
        <v>38</v>
      </c>
      <c r="K855" s="362" t="s">
        <v>257</v>
      </c>
      <c r="L855" s="362" t="s">
        <v>112</v>
      </c>
      <c r="M855" s="362" t="s">
        <v>144</v>
      </c>
      <c r="N855" s="362"/>
      <c r="P855" s="371"/>
    </row>
    <row r="856" spans="1:16" s="372" customFormat="1" ht="14" outlineLevel="4">
      <c r="A856" s="405" t="s">
        <v>8</v>
      </c>
      <c r="B856" s="509" t="s">
        <v>202</v>
      </c>
      <c r="C856" s="397" t="s">
        <v>24</v>
      </c>
      <c r="D856" s="398"/>
      <c r="E856" s="398"/>
      <c r="F856" s="504"/>
      <c r="G856" s="398">
        <f t="shared" si="234"/>
        <v>0</v>
      </c>
      <c r="H856" s="398">
        <f t="shared" si="235"/>
        <v>0</v>
      </c>
      <c r="I856" s="399"/>
      <c r="J856" s="362" t="s">
        <v>38</v>
      </c>
      <c r="K856" s="362" t="s">
        <v>257</v>
      </c>
      <c r="L856" s="362" t="s">
        <v>112</v>
      </c>
      <c r="M856" s="362" t="s">
        <v>144</v>
      </c>
      <c r="N856" s="362"/>
      <c r="P856" s="371"/>
    </row>
    <row r="857" spans="1:16" s="372" customFormat="1" ht="14" outlineLevel="4">
      <c r="A857" s="405" t="s">
        <v>8</v>
      </c>
      <c r="B857" s="509" t="s">
        <v>203</v>
      </c>
      <c r="C857" s="397" t="s">
        <v>24</v>
      </c>
      <c r="D857" s="398"/>
      <c r="E857" s="398"/>
      <c r="F857" s="528"/>
      <c r="G857" s="398">
        <f t="shared" si="234"/>
        <v>0</v>
      </c>
      <c r="H857" s="398">
        <f t="shared" si="235"/>
        <v>0</v>
      </c>
      <c r="I857" s="399"/>
      <c r="J857" s="362" t="s">
        <v>38</v>
      </c>
      <c r="K857" s="362" t="s">
        <v>257</v>
      </c>
      <c r="L857" s="362" t="s">
        <v>112</v>
      </c>
      <c r="M857" s="362" t="s">
        <v>144</v>
      </c>
      <c r="N857" s="362"/>
      <c r="P857" s="371"/>
    </row>
    <row r="858" spans="1:16" s="372" customFormat="1" ht="14" outlineLevel="4">
      <c r="A858" s="405" t="s">
        <v>8</v>
      </c>
      <c r="B858" s="509" t="s">
        <v>278</v>
      </c>
      <c r="C858" s="397" t="s">
        <v>24</v>
      </c>
      <c r="D858" s="398"/>
      <c r="E858" s="398"/>
      <c r="F858" s="398"/>
      <c r="G858" s="398">
        <f t="shared" si="234"/>
        <v>0</v>
      </c>
      <c r="H858" s="398">
        <f t="shared" si="235"/>
        <v>0</v>
      </c>
      <c r="I858" s="399"/>
      <c r="J858" s="362" t="s">
        <v>38</v>
      </c>
      <c r="K858" s="362" t="s">
        <v>257</v>
      </c>
      <c r="L858" s="362" t="s">
        <v>112</v>
      </c>
      <c r="M858" s="362" t="s">
        <v>144</v>
      </c>
      <c r="N858" s="362"/>
      <c r="P858" s="371"/>
    </row>
    <row r="859" spans="1:16" s="372" customFormat="1" ht="14" outlineLevel="4">
      <c r="A859" s="405" t="s">
        <v>8</v>
      </c>
      <c r="B859" s="509" t="s">
        <v>142</v>
      </c>
      <c r="C859" s="397" t="s">
        <v>24</v>
      </c>
      <c r="D859" s="398"/>
      <c r="E859" s="398"/>
      <c r="F859" s="504"/>
      <c r="G859" s="398">
        <f t="shared" si="234"/>
        <v>0</v>
      </c>
      <c r="H859" s="398">
        <f t="shared" si="235"/>
        <v>0</v>
      </c>
      <c r="I859" s="399"/>
      <c r="J859" s="362" t="s">
        <v>38</v>
      </c>
      <c r="K859" s="362" t="s">
        <v>257</v>
      </c>
      <c r="L859" s="362" t="s">
        <v>112</v>
      </c>
      <c r="M859" s="362" t="s">
        <v>144</v>
      </c>
      <c r="N859" s="362"/>
      <c r="P859" s="371"/>
    </row>
    <row r="860" spans="1:16" s="372" customFormat="1" ht="14" outlineLevel="4">
      <c r="A860" s="405" t="s">
        <v>8</v>
      </c>
      <c r="B860" s="509" t="s">
        <v>143</v>
      </c>
      <c r="C860" s="397" t="s">
        <v>24</v>
      </c>
      <c r="D860" s="398"/>
      <c r="E860" s="398"/>
      <c r="F860" s="398"/>
      <c r="G860" s="398">
        <f t="shared" si="234"/>
        <v>0</v>
      </c>
      <c r="H860" s="398">
        <f t="shared" si="235"/>
        <v>0</v>
      </c>
      <c r="I860" s="399"/>
      <c r="J860" s="362" t="s">
        <v>38</v>
      </c>
      <c r="K860" s="362" t="s">
        <v>257</v>
      </c>
      <c r="L860" s="362" t="s">
        <v>112</v>
      </c>
      <c r="M860" s="362" t="s">
        <v>144</v>
      </c>
      <c r="N860" s="362"/>
      <c r="P860" s="371"/>
    </row>
    <row r="861" spans="1:16" s="372" customFormat="1" ht="14" outlineLevel="4">
      <c r="A861" s="405" t="s">
        <v>8</v>
      </c>
      <c r="B861" s="509" t="s">
        <v>204</v>
      </c>
      <c r="C861" s="397" t="s">
        <v>9</v>
      </c>
      <c r="D861" s="398"/>
      <c r="E861" s="398"/>
      <c r="F861" s="398"/>
      <c r="G861" s="398">
        <f t="shared" si="234"/>
        <v>0</v>
      </c>
      <c r="H861" s="398">
        <f t="shared" si="235"/>
        <v>0</v>
      </c>
      <c r="I861" s="399"/>
      <c r="J861" s="362" t="s">
        <v>38</v>
      </c>
      <c r="K861" s="362" t="s">
        <v>257</v>
      </c>
      <c r="L861" s="362" t="s">
        <v>112</v>
      </c>
      <c r="M861" s="362" t="s">
        <v>144</v>
      </c>
      <c r="N861" s="362"/>
      <c r="P861" s="371"/>
    </row>
    <row r="862" spans="1:16" s="416" customFormat="1" ht="14" outlineLevel="2">
      <c r="A862" s="388" t="s">
        <v>625</v>
      </c>
      <c r="B862" s="523" t="s">
        <v>600</v>
      </c>
      <c r="C862" s="397" t="s">
        <v>9</v>
      </c>
      <c r="D862" s="502"/>
      <c r="E862" s="398"/>
      <c r="F862" s="398"/>
      <c r="G862" s="398">
        <f t="shared" si="234"/>
        <v>0</v>
      </c>
      <c r="H862" s="398">
        <f t="shared" si="235"/>
        <v>0</v>
      </c>
      <c r="I862" s="399"/>
      <c r="J862" s="362" t="s">
        <v>38</v>
      </c>
      <c r="K862" s="362" t="s">
        <v>257</v>
      </c>
      <c r="L862" s="411" t="s">
        <v>112</v>
      </c>
      <c r="M862" s="411"/>
      <c r="N862" s="411"/>
      <c r="P862" s="417"/>
    </row>
    <row r="863" spans="1:16" s="372" customFormat="1" ht="14" outlineLevel="3">
      <c r="A863" s="388">
        <v>3.3</v>
      </c>
      <c r="B863" s="489" t="s">
        <v>154</v>
      </c>
      <c r="C863" s="397"/>
      <c r="D863" s="398"/>
      <c r="E863" s="398"/>
      <c r="F863" s="493"/>
      <c r="G863" s="398">
        <f>SUBTOTAL(9,G864:G897)</f>
        <v>0</v>
      </c>
      <c r="H863" s="398">
        <f>SUBTOTAL(9,H864:H897)</f>
        <v>0</v>
      </c>
      <c r="I863" s="399"/>
      <c r="J863" s="362"/>
      <c r="K863" s="362"/>
      <c r="L863" s="362"/>
      <c r="M863" s="362"/>
      <c r="N863" s="362"/>
      <c r="P863" s="371"/>
    </row>
    <row r="864" spans="1:16" s="372" customFormat="1" ht="14" outlineLevel="3">
      <c r="A864" s="388" t="s">
        <v>626</v>
      </c>
      <c r="B864" s="489" t="s">
        <v>541</v>
      </c>
      <c r="C864" s="397"/>
      <c r="D864" s="398"/>
      <c r="E864" s="398"/>
      <c r="F864" s="491"/>
      <c r="G864" s="398"/>
      <c r="H864" s="398"/>
      <c r="I864" s="399"/>
      <c r="J864" s="362"/>
      <c r="K864" s="362"/>
      <c r="L864" s="362"/>
      <c r="M864" s="362"/>
      <c r="N864" s="362"/>
      <c r="P864" s="371"/>
    </row>
    <row r="865" spans="1:16" s="372" customFormat="1" ht="14" outlineLevel="3">
      <c r="A865" s="388" t="s">
        <v>8</v>
      </c>
      <c r="B865" s="490" t="s">
        <v>193</v>
      </c>
      <c r="C865" s="397" t="s">
        <v>24</v>
      </c>
      <c r="D865" s="398"/>
      <c r="E865" s="398"/>
      <c r="F865" s="491"/>
      <c r="G865" s="398">
        <f t="shared" ref="G865:G870" si="236">F865*D865</f>
        <v>0</v>
      </c>
      <c r="H865" s="398">
        <f t="shared" ref="H865:H870" si="237">F865*E865</f>
        <v>0</v>
      </c>
      <c r="I865" s="399"/>
      <c r="J865" s="362" t="s">
        <v>38</v>
      </c>
      <c r="K865" s="362" t="s">
        <v>257</v>
      </c>
      <c r="L865" s="362" t="s">
        <v>112</v>
      </c>
      <c r="M865" s="362" t="s">
        <v>144</v>
      </c>
      <c r="N865" s="362"/>
      <c r="P865" s="371"/>
    </row>
    <row r="866" spans="1:16" s="372" customFormat="1" ht="14" outlineLevel="3">
      <c r="A866" s="405" t="s">
        <v>8</v>
      </c>
      <c r="B866" s="490" t="s">
        <v>455</v>
      </c>
      <c r="C866" s="397" t="s">
        <v>24</v>
      </c>
      <c r="D866" s="398"/>
      <c r="E866" s="398"/>
      <c r="F866" s="491"/>
      <c r="G866" s="398">
        <f t="shared" si="236"/>
        <v>0</v>
      </c>
      <c r="H866" s="398">
        <f t="shared" si="237"/>
        <v>0</v>
      </c>
      <c r="I866" s="399"/>
      <c r="J866" s="362" t="s">
        <v>38</v>
      </c>
      <c r="K866" s="362" t="s">
        <v>257</v>
      </c>
      <c r="L866" s="362" t="s">
        <v>112</v>
      </c>
      <c r="M866" s="362" t="s">
        <v>144</v>
      </c>
      <c r="N866" s="362"/>
      <c r="P866" s="371"/>
    </row>
    <row r="867" spans="1:16" s="372" customFormat="1" ht="14" outlineLevel="3">
      <c r="A867" s="405" t="s">
        <v>8</v>
      </c>
      <c r="B867" s="490" t="s">
        <v>456</v>
      </c>
      <c r="C867" s="397" t="s">
        <v>24</v>
      </c>
      <c r="D867" s="398"/>
      <c r="E867" s="398"/>
      <c r="F867" s="525"/>
      <c r="G867" s="398">
        <f t="shared" si="236"/>
        <v>0</v>
      </c>
      <c r="H867" s="398">
        <f t="shared" si="237"/>
        <v>0</v>
      </c>
      <c r="I867" s="399"/>
      <c r="J867" s="362" t="s">
        <v>38</v>
      </c>
      <c r="K867" s="362" t="s">
        <v>257</v>
      </c>
      <c r="L867" s="362" t="s">
        <v>112</v>
      </c>
      <c r="M867" s="362" t="s">
        <v>144</v>
      </c>
      <c r="N867" s="362"/>
      <c r="P867" s="371"/>
    </row>
    <row r="868" spans="1:16" s="372" customFormat="1" ht="14" outlineLevel="3">
      <c r="A868" s="405" t="s">
        <v>8</v>
      </c>
      <c r="B868" s="490" t="s">
        <v>457</v>
      </c>
      <c r="C868" s="397" t="s">
        <v>24</v>
      </c>
      <c r="D868" s="398"/>
      <c r="E868" s="398"/>
      <c r="F868" s="524"/>
      <c r="G868" s="398">
        <f t="shared" si="236"/>
        <v>0</v>
      </c>
      <c r="H868" s="398">
        <f t="shared" si="237"/>
        <v>0</v>
      </c>
      <c r="I868" s="399"/>
      <c r="J868" s="362" t="s">
        <v>38</v>
      </c>
      <c r="K868" s="362" t="s">
        <v>257</v>
      </c>
      <c r="L868" s="362" t="s">
        <v>112</v>
      </c>
      <c r="M868" s="362" t="s">
        <v>144</v>
      </c>
      <c r="N868" s="362"/>
      <c r="P868" s="371"/>
    </row>
    <row r="869" spans="1:16" s="372" customFormat="1" ht="14" outlineLevel="3">
      <c r="A869" s="405" t="s">
        <v>8</v>
      </c>
      <c r="B869" s="490" t="s">
        <v>195</v>
      </c>
      <c r="C869" s="397" t="s">
        <v>24</v>
      </c>
      <c r="D869" s="398"/>
      <c r="E869" s="398"/>
      <c r="F869" s="491"/>
      <c r="G869" s="398">
        <f t="shared" si="236"/>
        <v>0</v>
      </c>
      <c r="H869" s="398">
        <f t="shared" si="237"/>
        <v>0</v>
      </c>
      <c r="I869" s="399"/>
      <c r="J869" s="362" t="s">
        <v>38</v>
      </c>
      <c r="K869" s="362" t="s">
        <v>257</v>
      </c>
      <c r="L869" s="362" t="s">
        <v>112</v>
      </c>
      <c r="M869" s="362" t="s">
        <v>144</v>
      </c>
      <c r="N869" s="362"/>
      <c r="P869" s="371"/>
    </row>
    <row r="870" spans="1:16" s="372" customFormat="1" ht="14" outlineLevel="3">
      <c r="A870" s="405" t="s">
        <v>8</v>
      </c>
      <c r="B870" s="490" t="s">
        <v>265</v>
      </c>
      <c r="C870" s="397" t="s">
        <v>24</v>
      </c>
      <c r="D870" s="398"/>
      <c r="E870" s="398"/>
      <c r="F870" s="398"/>
      <c r="G870" s="398">
        <f t="shared" si="236"/>
        <v>0</v>
      </c>
      <c r="H870" s="398">
        <f t="shared" si="237"/>
        <v>0</v>
      </c>
      <c r="I870" s="399"/>
      <c r="J870" s="362" t="s">
        <v>38</v>
      </c>
      <c r="K870" s="362" t="s">
        <v>257</v>
      </c>
      <c r="L870" s="362" t="s">
        <v>112</v>
      </c>
      <c r="M870" s="362" t="s">
        <v>144</v>
      </c>
      <c r="N870" s="362"/>
      <c r="P870" s="371"/>
    </row>
    <row r="871" spans="1:16" s="385" customFormat="1" ht="14" outlineLevel="2">
      <c r="A871" s="388" t="s">
        <v>627</v>
      </c>
      <c r="B871" s="488" t="s">
        <v>59</v>
      </c>
      <c r="C871" s="390"/>
      <c r="D871" s="391"/>
      <c r="E871" s="391"/>
      <c r="F871" s="391"/>
      <c r="G871" s="391">
        <f>SUBTOTAL(9,G872:G876)</f>
        <v>0</v>
      </c>
      <c r="H871" s="391">
        <f>SUBTOTAL(9,H872:H876)</f>
        <v>0</v>
      </c>
      <c r="I871" s="526"/>
      <c r="J871" s="383"/>
      <c r="K871" s="383"/>
      <c r="L871" s="383"/>
      <c r="M871" s="383"/>
      <c r="N871" s="383"/>
      <c r="P871" s="386"/>
    </row>
    <row r="872" spans="1:16" s="372" customFormat="1" ht="14" outlineLevel="3">
      <c r="A872" s="405" t="s">
        <v>8</v>
      </c>
      <c r="B872" s="490" t="s">
        <v>162</v>
      </c>
      <c r="C872" s="397" t="s">
        <v>24</v>
      </c>
      <c r="D872" s="398"/>
      <c r="E872" s="398"/>
      <c r="F872" s="499"/>
      <c r="G872" s="398">
        <f t="shared" ref="G872:G876" si="238">F872*D872</f>
        <v>0</v>
      </c>
      <c r="H872" s="398">
        <f t="shared" ref="H872:H876" si="239">F872*E872</f>
        <v>0</v>
      </c>
      <c r="I872" s="399"/>
      <c r="J872" s="362" t="s">
        <v>38</v>
      </c>
      <c r="K872" s="362" t="s">
        <v>257</v>
      </c>
      <c r="L872" s="362" t="s">
        <v>112</v>
      </c>
      <c r="M872" s="362" t="s">
        <v>144</v>
      </c>
      <c r="N872" s="362"/>
      <c r="P872" s="371"/>
    </row>
    <row r="873" spans="1:16" s="372" customFormat="1" ht="14" outlineLevel="3">
      <c r="A873" s="405" t="s">
        <v>8</v>
      </c>
      <c r="B873" s="490" t="s">
        <v>235</v>
      </c>
      <c r="C873" s="397" t="s">
        <v>24</v>
      </c>
      <c r="D873" s="398"/>
      <c r="E873" s="398"/>
      <c r="F873" s="398"/>
      <c r="G873" s="398">
        <f t="shared" si="238"/>
        <v>0</v>
      </c>
      <c r="H873" s="398">
        <f t="shared" si="239"/>
        <v>0</v>
      </c>
      <c r="I873" s="399"/>
      <c r="J873" s="362" t="s">
        <v>38</v>
      </c>
      <c r="K873" s="362" t="s">
        <v>257</v>
      </c>
      <c r="L873" s="362" t="s">
        <v>112</v>
      </c>
      <c r="M873" s="362" t="s">
        <v>144</v>
      </c>
      <c r="N873" s="362"/>
      <c r="P873" s="371"/>
    </row>
    <row r="874" spans="1:16" s="372" customFormat="1" ht="14" outlineLevel="3">
      <c r="A874" s="405" t="s">
        <v>8</v>
      </c>
      <c r="B874" s="490" t="s">
        <v>196</v>
      </c>
      <c r="C874" s="397" t="s">
        <v>24</v>
      </c>
      <c r="D874" s="398"/>
      <c r="E874" s="398"/>
      <c r="F874" s="500"/>
      <c r="G874" s="398">
        <f t="shared" si="238"/>
        <v>0</v>
      </c>
      <c r="H874" s="398">
        <f t="shared" si="239"/>
        <v>0</v>
      </c>
      <c r="I874" s="399"/>
      <c r="J874" s="362" t="s">
        <v>38</v>
      </c>
      <c r="K874" s="362" t="s">
        <v>257</v>
      </c>
      <c r="L874" s="362" t="s">
        <v>112</v>
      </c>
      <c r="M874" s="362" t="s">
        <v>144</v>
      </c>
      <c r="N874" s="362"/>
      <c r="P874" s="371"/>
    </row>
    <row r="875" spans="1:16" s="372" customFormat="1" ht="14" outlineLevel="3">
      <c r="A875" s="405" t="s">
        <v>8</v>
      </c>
      <c r="B875" s="501" t="s">
        <v>266</v>
      </c>
      <c r="C875" s="397" t="s">
        <v>9</v>
      </c>
      <c r="D875" s="398"/>
      <c r="E875" s="398"/>
      <c r="F875" s="398"/>
      <c r="G875" s="398">
        <f t="shared" si="238"/>
        <v>0</v>
      </c>
      <c r="H875" s="398">
        <f t="shared" si="239"/>
        <v>0</v>
      </c>
      <c r="I875" s="399"/>
      <c r="J875" s="362" t="s">
        <v>38</v>
      </c>
      <c r="K875" s="362" t="s">
        <v>257</v>
      </c>
      <c r="L875" s="362" t="s">
        <v>112</v>
      </c>
      <c r="M875" s="362" t="s">
        <v>144</v>
      </c>
      <c r="N875" s="362"/>
      <c r="P875" s="371"/>
    </row>
    <row r="876" spans="1:16" s="372" customFormat="1" ht="14" outlineLevel="3">
      <c r="A876" s="405" t="s">
        <v>8</v>
      </c>
      <c r="B876" s="490" t="s">
        <v>267</v>
      </c>
      <c r="C876" s="397" t="s">
        <v>9</v>
      </c>
      <c r="D876" s="502"/>
      <c r="E876" s="502"/>
      <c r="F876" s="503"/>
      <c r="G876" s="398">
        <f t="shared" si="238"/>
        <v>0</v>
      </c>
      <c r="H876" s="398">
        <f t="shared" si="239"/>
        <v>0</v>
      </c>
      <c r="I876" s="399"/>
      <c r="J876" s="362" t="s">
        <v>38</v>
      </c>
      <c r="K876" s="362" t="s">
        <v>257</v>
      </c>
      <c r="L876" s="362" t="s">
        <v>112</v>
      </c>
      <c r="M876" s="362" t="s">
        <v>144</v>
      </c>
      <c r="N876" s="362"/>
      <c r="P876" s="371"/>
    </row>
    <row r="877" spans="1:16" s="385" customFormat="1" ht="14" outlineLevel="2">
      <c r="A877" s="388" t="s">
        <v>628</v>
      </c>
      <c r="B877" s="527" t="s">
        <v>35</v>
      </c>
      <c r="C877" s="390"/>
      <c r="D877" s="391"/>
      <c r="E877" s="391"/>
      <c r="F877" s="391"/>
      <c r="G877" s="391">
        <f>SUBTOTAL(9,G878:G897)</f>
        <v>0</v>
      </c>
      <c r="H877" s="391">
        <f>SUBTOTAL(9,H878:H897)</f>
        <v>0</v>
      </c>
      <c r="I877" s="392"/>
      <c r="J877" s="383"/>
      <c r="K877" s="383"/>
      <c r="L877" s="383"/>
      <c r="M877" s="383"/>
      <c r="N877" s="383"/>
      <c r="P877" s="386"/>
    </row>
    <row r="878" spans="1:16" s="372" customFormat="1" ht="14" outlineLevel="4">
      <c r="A878" s="405" t="s">
        <v>8</v>
      </c>
      <c r="B878" s="396" t="s">
        <v>197</v>
      </c>
      <c r="C878" s="397" t="s">
        <v>24</v>
      </c>
      <c r="D878" s="398"/>
      <c r="E878" s="398"/>
      <c r="F878" s="398"/>
      <c r="G878" s="398">
        <f t="shared" ref="G878:G897" si="240">F878*D878</f>
        <v>0</v>
      </c>
      <c r="H878" s="398">
        <f t="shared" ref="H878:H897" si="241">F878*E878</f>
        <v>0</v>
      </c>
      <c r="I878" s="399"/>
      <c r="J878" s="362" t="s">
        <v>38</v>
      </c>
      <c r="K878" s="362" t="s">
        <v>257</v>
      </c>
      <c r="L878" s="362" t="s">
        <v>112</v>
      </c>
      <c r="M878" s="362" t="s">
        <v>144</v>
      </c>
      <c r="N878" s="362"/>
      <c r="P878" s="371"/>
    </row>
    <row r="879" spans="1:16" s="372" customFormat="1" ht="14" outlineLevel="4">
      <c r="A879" s="405" t="s">
        <v>8</v>
      </c>
      <c r="B879" s="396" t="s">
        <v>198</v>
      </c>
      <c r="C879" s="397" t="s">
        <v>24</v>
      </c>
      <c r="D879" s="398"/>
      <c r="E879" s="398"/>
      <c r="F879" s="398"/>
      <c r="G879" s="398">
        <f t="shared" si="240"/>
        <v>0</v>
      </c>
      <c r="H879" s="398">
        <f t="shared" si="241"/>
        <v>0</v>
      </c>
      <c r="I879" s="399"/>
      <c r="J879" s="362" t="s">
        <v>38</v>
      </c>
      <c r="K879" s="362" t="s">
        <v>257</v>
      </c>
      <c r="L879" s="362" t="s">
        <v>112</v>
      </c>
      <c r="M879" s="362" t="s">
        <v>144</v>
      </c>
      <c r="N879" s="362"/>
      <c r="P879" s="371"/>
    </row>
    <row r="880" spans="1:16" s="372" customFormat="1" ht="14" outlineLevel="4">
      <c r="A880" s="405" t="s">
        <v>8</v>
      </c>
      <c r="B880" s="396" t="s">
        <v>197</v>
      </c>
      <c r="C880" s="397" t="s">
        <v>24</v>
      </c>
      <c r="D880" s="398"/>
      <c r="E880" s="398"/>
      <c r="F880" s="398"/>
      <c r="G880" s="398">
        <f t="shared" si="240"/>
        <v>0</v>
      </c>
      <c r="H880" s="398">
        <f t="shared" si="241"/>
        <v>0</v>
      </c>
      <c r="I880" s="399"/>
      <c r="J880" s="362" t="s">
        <v>38</v>
      </c>
      <c r="K880" s="362" t="s">
        <v>257</v>
      </c>
      <c r="L880" s="362" t="s">
        <v>112</v>
      </c>
      <c r="M880" s="362" t="s">
        <v>144</v>
      </c>
      <c r="N880" s="362"/>
      <c r="P880" s="371"/>
    </row>
    <row r="881" spans="1:16" s="372" customFormat="1" ht="14" outlineLevel="4">
      <c r="A881" s="405" t="s">
        <v>8</v>
      </c>
      <c r="B881" s="396" t="s">
        <v>198</v>
      </c>
      <c r="C881" s="397" t="s">
        <v>24</v>
      </c>
      <c r="D881" s="398"/>
      <c r="E881" s="398"/>
      <c r="F881" s="398"/>
      <c r="G881" s="398">
        <f t="shared" si="240"/>
        <v>0</v>
      </c>
      <c r="H881" s="398">
        <f t="shared" si="241"/>
        <v>0</v>
      </c>
      <c r="I881" s="399"/>
      <c r="J881" s="362" t="s">
        <v>38</v>
      </c>
      <c r="K881" s="362" t="s">
        <v>257</v>
      </c>
      <c r="L881" s="362" t="s">
        <v>112</v>
      </c>
      <c r="M881" s="362" t="s">
        <v>144</v>
      </c>
      <c r="N881" s="362"/>
      <c r="P881" s="371"/>
    </row>
    <row r="882" spans="1:16" s="372" customFormat="1" ht="14" outlineLevel="4">
      <c r="A882" s="405" t="s">
        <v>8</v>
      </c>
      <c r="B882" s="396" t="s">
        <v>268</v>
      </c>
      <c r="C882" s="397" t="s">
        <v>24</v>
      </c>
      <c r="D882" s="398"/>
      <c r="E882" s="398"/>
      <c r="F882" s="500"/>
      <c r="G882" s="398">
        <f t="shared" si="240"/>
        <v>0</v>
      </c>
      <c r="H882" s="398">
        <f t="shared" si="241"/>
        <v>0</v>
      </c>
      <c r="I882" s="399"/>
      <c r="J882" s="362" t="s">
        <v>38</v>
      </c>
      <c r="K882" s="362" t="s">
        <v>257</v>
      </c>
      <c r="L882" s="362" t="s">
        <v>112</v>
      </c>
      <c r="M882" s="362" t="s">
        <v>144</v>
      </c>
      <c r="N882" s="362"/>
      <c r="P882" s="371"/>
    </row>
    <row r="883" spans="1:16" s="372" customFormat="1" ht="14" outlineLevel="4">
      <c r="A883" s="405" t="s">
        <v>8</v>
      </c>
      <c r="B883" s="396" t="s">
        <v>269</v>
      </c>
      <c r="C883" s="397" t="s">
        <v>24</v>
      </c>
      <c r="D883" s="398"/>
      <c r="E883" s="398"/>
      <c r="F883" s="398"/>
      <c r="G883" s="398">
        <f t="shared" si="240"/>
        <v>0</v>
      </c>
      <c r="H883" s="398">
        <f t="shared" si="241"/>
        <v>0</v>
      </c>
      <c r="I883" s="399"/>
      <c r="J883" s="362" t="s">
        <v>38</v>
      </c>
      <c r="K883" s="362" t="s">
        <v>257</v>
      </c>
      <c r="L883" s="362" t="s">
        <v>112</v>
      </c>
      <c r="M883" s="362" t="s">
        <v>144</v>
      </c>
      <c r="N883" s="362"/>
      <c r="P883" s="371"/>
    </row>
    <row r="884" spans="1:16" s="372" customFormat="1" ht="14" outlineLevel="4">
      <c r="A884" s="405" t="s">
        <v>8</v>
      </c>
      <c r="B884" s="396" t="s">
        <v>270</v>
      </c>
      <c r="C884" s="397" t="s">
        <v>9</v>
      </c>
      <c r="D884" s="398"/>
      <c r="E884" s="398"/>
      <c r="F884" s="398"/>
      <c r="G884" s="398">
        <f t="shared" si="240"/>
        <v>0</v>
      </c>
      <c r="H884" s="398">
        <f t="shared" si="241"/>
        <v>0</v>
      </c>
      <c r="I884" s="399"/>
      <c r="J884" s="362" t="s">
        <v>38</v>
      </c>
      <c r="K884" s="362" t="s">
        <v>257</v>
      </c>
      <c r="L884" s="362" t="s">
        <v>112</v>
      </c>
      <c r="M884" s="362" t="s">
        <v>144</v>
      </c>
      <c r="N884" s="362"/>
      <c r="P884" s="371"/>
    </row>
    <row r="885" spans="1:16" s="372" customFormat="1" ht="14" outlineLevel="4">
      <c r="A885" s="405" t="s">
        <v>8</v>
      </c>
      <c r="B885" s="396" t="s">
        <v>199</v>
      </c>
      <c r="C885" s="397" t="s">
        <v>24</v>
      </c>
      <c r="D885" s="398"/>
      <c r="E885" s="398"/>
      <c r="F885" s="398"/>
      <c r="G885" s="398">
        <f t="shared" si="240"/>
        <v>0</v>
      </c>
      <c r="H885" s="398">
        <f t="shared" si="241"/>
        <v>0</v>
      </c>
      <c r="I885" s="399"/>
      <c r="J885" s="362" t="s">
        <v>38</v>
      </c>
      <c r="K885" s="362" t="s">
        <v>257</v>
      </c>
      <c r="L885" s="362" t="s">
        <v>112</v>
      </c>
      <c r="M885" s="362" t="s">
        <v>144</v>
      </c>
      <c r="N885" s="362"/>
      <c r="P885" s="371"/>
    </row>
    <row r="886" spans="1:16" s="372" customFormat="1" ht="14" outlineLevel="4">
      <c r="A886" s="405" t="s">
        <v>8</v>
      </c>
      <c r="B886" s="396" t="s">
        <v>200</v>
      </c>
      <c r="C886" s="397" t="s">
        <v>24</v>
      </c>
      <c r="D886" s="398"/>
      <c r="E886" s="398"/>
      <c r="F886" s="398"/>
      <c r="G886" s="398">
        <f t="shared" si="240"/>
        <v>0</v>
      </c>
      <c r="H886" s="398">
        <f t="shared" si="241"/>
        <v>0</v>
      </c>
      <c r="I886" s="399"/>
      <c r="J886" s="362" t="s">
        <v>38</v>
      </c>
      <c r="K886" s="362" t="s">
        <v>257</v>
      </c>
      <c r="L886" s="362" t="s">
        <v>112</v>
      </c>
      <c r="M886" s="362" t="s">
        <v>144</v>
      </c>
      <c r="N886" s="362"/>
      <c r="P886" s="371"/>
    </row>
    <row r="887" spans="1:16" s="372" customFormat="1" ht="14" outlineLevel="4">
      <c r="A887" s="405" t="s">
        <v>8</v>
      </c>
      <c r="B887" s="490" t="s">
        <v>271</v>
      </c>
      <c r="C887" s="397" t="s">
        <v>24</v>
      </c>
      <c r="D887" s="398"/>
      <c r="E887" s="398"/>
      <c r="F887" s="398"/>
      <c r="G887" s="398">
        <f t="shared" si="240"/>
        <v>0</v>
      </c>
      <c r="H887" s="398">
        <f t="shared" si="241"/>
        <v>0</v>
      </c>
      <c r="I887" s="399"/>
      <c r="J887" s="362" t="s">
        <v>38</v>
      </c>
      <c r="K887" s="362" t="s">
        <v>257</v>
      </c>
      <c r="L887" s="362" t="s">
        <v>112</v>
      </c>
      <c r="M887" s="362" t="s">
        <v>144</v>
      </c>
      <c r="N887" s="362"/>
      <c r="P887" s="371"/>
    </row>
    <row r="888" spans="1:16" s="372" customFormat="1" ht="14" outlineLevel="4">
      <c r="A888" s="405" t="s">
        <v>8</v>
      </c>
      <c r="B888" s="396" t="s">
        <v>272</v>
      </c>
      <c r="C888" s="397" t="s">
        <v>24</v>
      </c>
      <c r="D888" s="398"/>
      <c r="E888" s="398"/>
      <c r="F888" s="398"/>
      <c r="G888" s="398">
        <f t="shared" si="240"/>
        <v>0</v>
      </c>
      <c r="H888" s="398">
        <f t="shared" si="241"/>
        <v>0</v>
      </c>
      <c r="I888" s="399"/>
      <c r="J888" s="362" t="s">
        <v>38</v>
      </c>
      <c r="K888" s="362" t="s">
        <v>257</v>
      </c>
      <c r="L888" s="362" t="s">
        <v>112</v>
      </c>
      <c r="M888" s="362" t="s">
        <v>144</v>
      </c>
      <c r="N888" s="362"/>
      <c r="P888" s="371"/>
    </row>
    <row r="889" spans="1:16" s="372" customFormat="1" ht="14" outlineLevel="4">
      <c r="A889" s="405" t="s">
        <v>8</v>
      </c>
      <c r="B889" s="509" t="s">
        <v>273</v>
      </c>
      <c r="C889" s="397" t="s">
        <v>9</v>
      </c>
      <c r="D889" s="398"/>
      <c r="E889" s="398"/>
      <c r="F889" s="398"/>
      <c r="G889" s="398">
        <f t="shared" si="240"/>
        <v>0</v>
      </c>
      <c r="H889" s="398">
        <f t="shared" si="241"/>
        <v>0</v>
      </c>
      <c r="I889" s="399"/>
      <c r="J889" s="362" t="s">
        <v>38</v>
      </c>
      <c r="K889" s="362" t="s">
        <v>257</v>
      </c>
      <c r="L889" s="362" t="s">
        <v>112</v>
      </c>
      <c r="M889" s="362" t="s">
        <v>144</v>
      </c>
      <c r="N889" s="362"/>
      <c r="P889" s="371"/>
    </row>
    <row r="890" spans="1:16" s="372" customFormat="1" ht="14" outlineLevel="4">
      <c r="A890" s="405" t="s">
        <v>8</v>
      </c>
      <c r="B890" s="490" t="s">
        <v>201</v>
      </c>
      <c r="C890" s="397" t="s">
        <v>24</v>
      </c>
      <c r="D890" s="398"/>
      <c r="E890" s="398"/>
      <c r="F890" s="398"/>
      <c r="G890" s="398">
        <f t="shared" si="240"/>
        <v>0</v>
      </c>
      <c r="H890" s="398">
        <f t="shared" si="241"/>
        <v>0</v>
      </c>
      <c r="I890" s="399"/>
      <c r="J890" s="362" t="s">
        <v>38</v>
      </c>
      <c r="K890" s="362" t="s">
        <v>257</v>
      </c>
      <c r="L890" s="362" t="s">
        <v>112</v>
      </c>
      <c r="M890" s="362" t="s">
        <v>144</v>
      </c>
      <c r="N890" s="362"/>
      <c r="P890" s="371"/>
    </row>
    <row r="891" spans="1:16" s="372" customFormat="1" ht="14" outlineLevel="4">
      <c r="A891" s="405" t="s">
        <v>8</v>
      </c>
      <c r="B891" s="396" t="s">
        <v>207</v>
      </c>
      <c r="C891" s="397" t="s">
        <v>24</v>
      </c>
      <c r="D891" s="398"/>
      <c r="E891" s="398"/>
      <c r="F891" s="398"/>
      <c r="G891" s="398">
        <f t="shared" si="240"/>
        <v>0</v>
      </c>
      <c r="H891" s="398">
        <f t="shared" si="241"/>
        <v>0</v>
      </c>
      <c r="I891" s="399"/>
      <c r="J891" s="362" t="s">
        <v>38</v>
      </c>
      <c r="K891" s="362" t="s">
        <v>257</v>
      </c>
      <c r="L891" s="362" t="s">
        <v>112</v>
      </c>
      <c r="M891" s="362" t="s">
        <v>144</v>
      </c>
      <c r="N891" s="362"/>
      <c r="P891" s="371"/>
    </row>
    <row r="892" spans="1:16" s="372" customFormat="1" ht="14" outlineLevel="4">
      <c r="A892" s="405" t="s">
        <v>8</v>
      </c>
      <c r="B892" s="509" t="s">
        <v>202</v>
      </c>
      <c r="C892" s="397" t="s">
        <v>24</v>
      </c>
      <c r="D892" s="398"/>
      <c r="E892" s="398"/>
      <c r="F892" s="504"/>
      <c r="G892" s="398">
        <f t="shared" si="240"/>
        <v>0</v>
      </c>
      <c r="H892" s="398">
        <f t="shared" si="241"/>
        <v>0</v>
      </c>
      <c r="I892" s="399"/>
      <c r="J892" s="362" t="s">
        <v>38</v>
      </c>
      <c r="K892" s="362" t="s">
        <v>257</v>
      </c>
      <c r="L892" s="362" t="s">
        <v>112</v>
      </c>
      <c r="M892" s="362" t="s">
        <v>144</v>
      </c>
      <c r="N892" s="362"/>
      <c r="P892" s="371"/>
    </row>
    <row r="893" spans="1:16" s="372" customFormat="1" ht="14" outlineLevel="4">
      <c r="A893" s="405" t="s">
        <v>8</v>
      </c>
      <c r="B893" s="509" t="s">
        <v>203</v>
      </c>
      <c r="C893" s="397" t="s">
        <v>24</v>
      </c>
      <c r="D893" s="398"/>
      <c r="E893" s="398"/>
      <c r="F893" s="528"/>
      <c r="G893" s="398">
        <f t="shared" si="240"/>
        <v>0</v>
      </c>
      <c r="H893" s="398">
        <f t="shared" si="241"/>
        <v>0</v>
      </c>
      <c r="I893" s="399"/>
      <c r="J893" s="362" t="s">
        <v>38</v>
      </c>
      <c r="K893" s="362" t="s">
        <v>257</v>
      </c>
      <c r="L893" s="362" t="s">
        <v>112</v>
      </c>
      <c r="M893" s="362" t="s">
        <v>144</v>
      </c>
      <c r="N893" s="362"/>
      <c r="P893" s="371"/>
    </row>
    <row r="894" spans="1:16" s="372" customFormat="1" ht="14" outlineLevel="4">
      <c r="A894" s="405" t="s">
        <v>8</v>
      </c>
      <c r="B894" s="509" t="s">
        <v>278</v>
      </c>
      <c r="C894" s="397" t="s">
        <v>24</v>
      </c>
      <c r="D894" s="398"/>
      <c r="E894" s="398"/>
      <c r="F894" s="398"/>
      <c r="G894" s="398">
        <f t="shared" si="240"/>
        <v>0</v>
      </c>
      <c r="H894" s="398">
        <f t="shared" si="241"/>
        <v>0</v>
      </c>
      <c r="I894" s="399"/>
      <c r="J894" s="362" t="s">
        <v>38</v>
      </c>
      <c r="K894" s="362" t="s">
        <v>257</v>
      </c>
      <c r="L894" s="362" t="s">
        <v>112</v>
      </c>
      <c r="M894" s="362" t="s">
        <v>144</v>
      </c>
      <c r="N894" s="362"/>
      <c r="P894" s="371"/>
    </row>
    <row r="895" spans="1:16" s="372" customFormat="1" ht="14" outlineLevel="4">
      <c r="A895" s="405" t="s">
        <v>8</v>
      </c>
      <c r="B895" s="509" t="s">
        <v>142</v>
      </c>
      <c r="C895" s="397" t="s">
        <v>24</v>
      </c>
      <c r="D895" s="398"/>
      <c r="E895" s="398"/>
      <c r="F895" s="504"/>
      <c r="G895" s="398">
        <f t="shared" si="240"/>
        <v>0</v>
      </c>
      <c r="H895" s="398">
        <f t="shared" si="241"/>
        <v>0</v>
      </c>
      <c r="I895" s="399"/>
      <c r="J895" s="362" t="s">
        <v>38</v>
      </c>
      <c r="K895" s="362" t="s">
        <v>257</v>
      </c>
      <c r="L895" s="362" t="s">
        <v>112</v>
      </c>
      <c r="M895" s="362" t="s">
        <v>144</v>
      </c>
      <c r="N895" s="362"/>
      <c r="P895" s="371"/>
    </row>
    <row r="896" spans="1:16" s="372" customFormat="1" ht="14" outlineLevel="4">
      <c r="A896" s="405" t="s">
        <v>8</v>
      </c>
      <c r="B896" s="509" t="s">
        <v>143</v>
      </c>
      <c r="C896" s="397" t="s">
        <v>24</v>
      </c>
      <c r="D896" s="398"/>
      <c r="E896" s="398"/>
      <c r="F896" s="398"/>
      <c r="G896" s="398">
        <f t="shared" si="240"/>
        <v>0</v>
      </c>
      <c r="H896" s="398">
        <f t="shared" si="241"/>
        <v>0</v>
      </c>
      <c r="I896" s="399"/>
      <c r="J896" s="362" t="s">
        <v>38</v>
      </c>
      <c r="K896" s="362" t="s">
        <v>257</v>
      </c>
      <c r="L896" s="362" t="s">
        <v>112</v>
      </c>
      <c r="M896" s="362" t="s">
        <v>144</v>
      </c>
      <c r="N896" s="362"/>
      <c r="P896" s="371"/>
    </row>
    <row r="897" spans="1:16" s="372" customFormat="1" ht="14" outlineLevel="4">
      <c r="A897" s="405" t="s">
        <v>8</v>
      </c>
      <c r="B897" s="509" t="s">
        <v>204</v>
      </c>
      <c r="C897" s="397" t="s">
        <v>9</v>
      </c>
      <c r="D897" s="398"/>
      <c r="E897" s="398"/>
      <c r="F897" s="398"/>
      <c r="G897" s="398">
        <f t="shared" si="240"/>
        <v>0</v>
      </c>
      <c r="H897" s="398">
        <f t="shared" si="241"/>
        <v>0</v>
      </c>
      <c r="I897" s="399"/>
      <c r="J897" s="362" t="s">
        <v>38</v>
      </c>
      <c r="K897" s="362" t="s">
        <v>257</v>
      </c>
      <c r="L897" s="362" t="s">
        <v>112</v>
      </c>
      <c r="M897" s="362" t="s">
        <v>144</v>
      </c>
      <c r="N897" s="362"/>
      <c r="P897" s="371"/>
    </row>
    <row r="898" spans="1:16" s="372" customFormat="1" ht="14" outlineLevel="4">
      <c r="A898" s="405">
        <v>3.4</v>
      </c>
      <c r="B898" s="521" t="s">
        <v>467</v>
      </c>
      <c r="C898" s="397"/>
      <c r="D898" s="398"/>
      <c r="E898" s="398"/>
      <c r="F898" s="398"/>
      <c r="G898" s="398">
        <f>SUBTOTAL(9,G899:G909)</f>
        <v>0</v>
      </c>
      <c r="H898" s="398">
        <f>SUBTOTAL(9,H899:H909)</f>
        <v>0</v>
      </c>
      <c r="I898" s="399"/>
      <c r="J898" s="362"/>
      <c r="K898" s="362"/>
      <c r="L898" s="362"/>
      <c r="M898" s="362"/>
      <c r="N898" s="362"/>
      <c r="P898" s="371"/>
    </row>
    <row r="899" spans="1:16" s="372" customFormat="1" ht="14" outlineLevel="4">
      <c r="A899" s="405" t="s">
        <v>8</v>
      </c>
      <c r="B899" s="396" t="s">
        <v>468</v>
      </c>
      <c r="C899" s="397" t="s">
        <v>24</v>
      </c>
      <c r="D899" s="398"/>
      <c r="E899" s="398"/>
      <c r="F899" s="543"/>
      <c r="G899" s="398">
        <f t="shared" ref="G899:G909" si="242">F899*D899</f>
        <v>0</v>
      </c>
      <c r="H899" s="398">
        <f t="shared" ref="H899:H909" si="243">F899*E899</f>
        <v>0</v>
      </c>
      <c r="I899" s="399"/>
      <c r="J899" s="362" t="s">
        <v>38</v>
      </c>
      <c r="K899" s="362" t="s">
        <v>257</v>
      </c>
      <c r="L899" s="362" t="s">
        <v>112</v>
      </c>
      <c r="M899" s="362" t="s">
        <v>144</v>
      </c>
      <c r="N899" s="362"/>
      <c r="P899" s="371"/>
    </row>
    <row r="900" spans="1:16" s="372" customFormat="1" ht="14" outlineLevel="4">
      <c r="A900" s="405" t="s">
        <v>8</v>
      </c>
      <c r="B900" s="396" t="s">
        <v>469</v>
      </c>
      <c r="C900" s="397" t="s">
        <v>470</v>
      </c>
      <c r="D900" s="398"/>
      <c r="E900" s="398"/>
      <c r="F900" s="544"/>
      <c r="G900" s="398">
        <f t="shared" si="242"/>
        <v>0</v>
      </c>
      <c r="H900" s="398">
        <f t="shared" si="243"/>
        <v>0</v>
      </c>
      <c r="I900" s="399"/>
      <c r="J900" s="362" t="s">
        <v>38</v>
      </c>
      <c r="K900" s="362" t="s">
        <v>257</v>
      </c>
      <c r="L900" s="362" t="s">
        <v>112</v>
      </c>
      <c r="M900" s="362" t="s">
        <v>144</v>
      </c>
      <c r="N900" s="362"/>
      <c r="P900" s="371"/>
    </row>
    <row r="901" spans="1:16" s="372" customFormat="1" ht="14" outlineLevel="4">
      <c r="A901" s="405" t="s">
        <v>8</v>
      </c>
      <c r="B901" s="396" t="s">
        <v>471</v>
      </c>
      <c r="C901" s="397" t="s">
        <v>470</v>
      </c>
      <c r="D901" s="398"/>
      <c r="E901" s="398"/>
      <c r="F901" s="544"/>
      <c r="G901" s="398">
        <f t="shared" si="242"/>
        <v>0</v>
      </c>
      <c r="H901" s="398">
        <f t="shared" si="243"/>
        <v>0</v>
      </c>
      <c r="I901" s="399"/>
      <c r="J901" s="362" t="s">
        <v>38</v>
      </c>
      <c r="K901" s="362" t="s">
        <v>257</v>
      </c>
      <c r="L901" s="362" t="s">
        <v>112</v>
      </c>
      <c r="M901" s="362" t="s">
        <v>144</v>
      </c>
      <c r="N901" s="362"/>
      <c r="P901" s="371"/>
    </row>
    <row r="902" spans="1:16" s="372" customFormat="1" ht="14" outlineLevel="4">
      <c r="A902" s="405" t="s">
        <v>8</v>
      </c>
      <c r="B902" s="490" t="s">
        <v>472</v>
      </c>
      <c r="C902" s="397" t="s">
        <v>473</v>
      </c>
      <c r="D902" s="398"/>
      <c r="E902" s="398"/>
      <c r="F902" s="545"/>
      <c r="G902" s="398">
        <f t="shared" si="242"/>
        <v>0</v>
      </c>
      <c r="H902" s="398">
        <f t="shared" si="243"/>
        <v>0</v>
      </c>
      <c r="I902" s="399"/>
      <c r="J902" s="362" t="s">
        <v>38</v>
      </c>
      <c r="K902" s="362" t="s">
        <v>257</v>
      </c>
      <c r="L902" s="362" t="s">
        <v>112</v>
      </c>
      <c r="M902" s="362" t="s">
        <v>144</v>
      </c>
      <c r="N902" s="362"/>
      <c r="P902" s="371"/>
    </row>
    <row r="903" spans="1:16" s="372" customFormat="1" ht="14" outlineLevel="4">
      <c r="A903" s="405" t="s">
        <v>8</v>
      </c>
      <c r="B903" s="396" t="s">
        <v>474</v>
      </c>
      <c r="C903" s="397" t="s">
        <v>475</v>
      </c>
      <c r="D903" s="398"/>
      <c r="E903" s="398"/>
      <c r="F903" s="545"/>
      <c r="G903" s="398">
        <f t="shared" si="242"/>
        <v>0</v>
      </c>
      <c r="H903" s="398">
        <f t="shared" si="243"/>
        <v>0</v>
      </c>
      <c r="I903" s="399"/>
      <c r="J903" s="362" t="s">
        <v>38</v>
      </c>
      <c r="K903" s="362" t="s">
        <v>257</v>
      </c>
      <c r="L903" s="362" t="s">
        <v>112</v>
      </c>
      <c r="M903" s="362" t="s">
        <v>144</v>
      </c>
      <c r="N903" s="362"/>
      <c r="P903" s="371"/>
    </row>
    <row r="904" spans="1:16" s="372" customFormat="1" ht="14" outlineLevel="4">
      <c r="A904" s="405" t="s">
        <v>8</v>
      </c>
      <c r="B904" s="509" t="s">
        <v>476</v>
      </c>
      <c r="C904" s="397" t="s">
        <v>477</v>
      </c>
      <c r="D904" s="398"/>
      <c r="E904" s="398"/>
      <c r="F904" s="546"/>
      <c r="G904" s="398">
        <f t="shared" si="242"/>
        <v>0</v>
      </c>
      <c r="H904" s="398">
        <f t="shared" si="243"/>
        <v>0</v>
      </c>
      <c r="I904" s="399"/>
      <c r="J904" s="362" t="s">
        <v>38</v>
      </c>
      <c r="K904" s="362" t="s">
        <v>257</v>
      </c>
      <c r="L904" s="362" t="s">
        <v>112</v>
      </c>
      <c r="M904" s="362" t="s">
        <v>144</v>
      </c>
      <c r="N904" s="362"/>
      <c r="P904" s="371"/>
    </row>
    <row r="905" spans="1:16" s="372" customFormat="1" ht="14" outlineLevel="4">
      <c r="A905" s="405" t="s">
        <v>8</v>
      </c>
      <c r="B905" s="509" t="s">
        <v>478</v>
      </c>
      <c r="C905" s="397" t="s">
        <v>464</v>
      </c>
      <c r="D905" s="398"/>
      <c r="E905" s="398"/>
      <c r="F905" s="546"/>
      <c r="G905" s="398">
        <f t="shared" si="242"/>
        <v>0</v>
      </c>
      <c r="H905" s="398">
        <f t="shared" si="243"/>
        <v>0</v>
      </c>
      <c r="I905" s="399"/>
      <c r="J905" s="362" t="s">
        <v>38</v>
      </c>
      <c r="K905" s="362" t="s">
        <v>257</v>
      </c>
      <c r="L905" s="362" t="s">
        <v>112</v>
      </c>
      <c r="M905" s="362" t="s">
        <v>144</v>
      </c>
      <c r="N905" s="362"/>
      <c r="P905" s="371"/>
    </row>
    <row r="906" spans="1:16" s="372" customFormat="1" ht="14" outlineLevel="4">
      <c r="A906" s="405" t="s">
        <v>8</v>
      </c>
      <c r="B906" s="509" t="s">
        <v>479</v>
      </c>
      <c r="C906" s="397" t="s">
        <v>464</v>
      </c>
      <c r="D906" s="398"/>
      <c r="E906" s="398"/>
      <c r="F906" s="546"/>
      <c r="G906" s="398">
        <f t="shared" si="242"/>
        <v>0</v>
      </c>
      <c r="H906" s="398">
        <f t="shared" si="243"/>
        <v>0</v>
      </c>
      <c r="I906" s="399"/>
      <c r="J906" s="362" t="s">
        <v>38</v>
      </c>
      <c r="K906" s="362" t="s">
        <v>257</v>
      </c>
      <c r="L906" s="362" t="s">
        <v>112</v>
      </c>
      <c r="M906" s="362" t="s">
        <v>144</v>
      </c>
      <c r="N906" s="362"/>
      <c r="P906" s="371"/>
    </row>
    <row r="907" spans="1:16" s="372" customFormat="1" ht="14" outlineLevel="4">
      <c r="A907" s="405" t="s">
        <v>8</v>
      </c>
      <c r="B907" s="509" t="s">
        <v>480</v>
      </c>
      <c r="C907" s="397" t="s">
        <v>477</v>
      </c>
      <c r="D907" s="398"/>
      <c r="E907" s="398"/>
      <c r="F907" s="546"/>
      <c r="G907" s="398">
        <f t="shared" si="242"/>
        <v>0</v>
      </c>
      <c r="H907" s="398">
        <f t="shared" si="243"/>
        <v>0</v>
      </c>
      <c r="I907" s="399"/>
      <c r="J907" s="362" t="s">
        <v>38</v>
      </c>
      <c r="K907" s="362" t="s">
        <v>257</v>
      </c>
      <c r="L907" s="362" t="s">
        <v>112</v>
      </c>
      <c r="M907" s="362" t="s">
        <v>144</v>
      </c>
      <c r="N907" s="362"/>
      <c r="P907" s="371"/>
    </row>
    <row r="908" spans="1:16" s="372" customFormat="1" ht="14" outlineLevel="4">
      <c r="A908" s="405" t="s">
        <v>8</v>
      </c>
      <c r="B908" s="509" t="s">
        <v>481</v>
      </c>
      <c r="C908" s="397" t="s">
        <v>477</v>
      </c>
      <c r="D908" s="398"/>
      <c r="E908" s="398"/>
      <c r="F908" s="546"/>
      <c r="G908" s="398">
        <f t="shared" si="242"/>
        <v>0</v>
      </c>
      <c r="H908" s="398">
        <f t="shared" si="243"/>
        <v>0</v>
      </c>
      <c r="I908" s="399"/>
      <c r="J908" s="362" t="s">
        <v>38</v>
      </c>
      <c r="K908" s="362" t="s">
        <v>257</v>
      </c>
      <c r="L908" s="362" t="s">
        <v>112</v>
      </c>
      <c r="M908" s="362" t="s">
        <v>144</v>
      </c>
      <c r="N908" s="362"/>
      <c r="P908" s="371"/>
    </row>
    <row r="909" spans="1:16" s="372" customFormat="1" ht="14" outlineLevel="4">
      <c r="A909" s="405" t="s">
        <v>8</v>
      </c>
      <c r="B909" s="509" t="s">
        <v>482</v>
      </c>
      <c r="C909" s="397" t="s">
        <v>9</v>
      </c>
      <c r="D909" s="398"/>
      <c r="E909" s="398"/>
      <c r="F909" s="543"/>
      <c r="G909" s="398">
        <f t="shared" si="242"/>
        <v>0</v>
      </c>
      <c r="H909" s="398">
        <f t="shared" si="243"/>
        <v>0</v>
      </c>
      <c r="I909" s="399"/>
      <c r="J909" s="362" t="s">
        <v>38</v>
      </c>
      <c r="K909" s="362" t="s">
        <v>257</v>
      </c>
      <c r="L909" s="362" t="s">
        <v>112</v>
      </c>
      <c r="M909" s="362" t="s">
        <v>144</v>
      </c>
      <c r="N909" s="362"/>
      <c r="P909" s="371"/>
    </row>
    <row r="910" spans="1:16" s="372" customFormat="1" ht="14" outlineLevel="4">
      <c r="A910" s="405">
        <v>4</v>
      </c>
      <c r="B910" s="521" t="s">
        <v>33</v>
      </c>
      <c r="C910" s="397"/>
      <c r="D910" s="398"/>
      <c r="E910" s="398"/>
      <c r="F910" s="398"/>
      <c r="G910" s="398">
        <f>SUBTOTAL(9,G911:G914)</f>
        <v>0</v>
      </c>
      <c r="H910" s="398">
        <f>SUBTOTAL(9,H911:H914)</f>
        <v>0</v>
      </c>
      <c r="I910" s="399"/>
      <c r="J910" s="362"/>
      <c r="K910" s="362"/>
      <c r="L910" s="362"/>
      <c r="M910" s="362"/>
      <c r="N910" s="362"/>
      <c r="P910" s="371"/>
    </row>
    <row r="911" spans="1:16" s="372" customFormat="1" ht="14" outlineLevel="4">
      <c r="A911" s="405" t="s">
        <v>8</v>
      </c>
      <c r="B911" s="509" t="s">
        <v>631</v>
      </c>
      <c r="C911" s="397" t="s">
        <v>9</v>
      </c>
      <c r="D911" s="398"/>
      <c r="E911" s="398"/>
      <c r="F911" s="533"/>
      <c r="G911" s="398">
        <f t="shared" ref="G911:G914" si="244">F911*D911</f>
        <v>0</v>
      </c>
      <c r="H911" s="398">
        <f t="shared" ref="H911:H914" si="245">F911*E911</f>
        <v>0</v>
      </c>
      <c r="I911" s="399"/>
      <c r="J911" s="362" t="s">
        <v>38</v>
      </c>
      <c r="K911" s="362" t="s">
        <v>257</v>
      </c>
      <c r="L911" s="362" t="s">
        <v>112</v>
      </c>
      <c r="M911" s="362" t="s">
        <v>144</v>
      </c>
      <c r="N911" s="362"/>
      <c r="P911" s="341"/>
    </row>
    <row r="912" spans="1:16" s="372" customFormat="1" ht="14" outlineLevel="4">
      <c r="A912" s="405" t="s">
        <v>8</v>
      </c>
      <c r="B912" s="509" t="s">
        <v>632</v>
      </c>
      <c r="C912" s="397" t="s">
        <v>9</v>
      </c>
      <c r="D912" s="398"/>
      <c r="E912" s="398"/>
      <c r="F912" s="533"/>
      <c r="G912" s="398">
        <f t="shared" si="244"/>
        <v>0</v>
      </c>
      <c r="H912" s="398">
        <f t="shared" si="245"/>
        <v>0</v>
      </c>
      <c r="I912" s="399"/>
      <c r="J912" s="362" t="s">
        <v>38</v>
      </c>
      <c r="K912" s="362" t="s">
        <v>257</v>
      </c>
      <c r="L912" s="362" t="s">
        <v>112</v>
      </c>
      <c r="M912" s="362" t="s">
        <v>144</v>
      </c>
      <c r="N912" s="362"/>
      <c r="P912" s="371"/>
    </row>
    <row r="913" spans="1:17" s="372" customFormat="1" ht="14" outlineLevel="4">
      <c r="A913" s="405" t="s">
        <v>8</v>
      </c>
      <c r="B913" s="509" t="s">
        <v>629</v>
      </c>
      <c r="C913" s="397" t="s">
        <v>9</v>
      </c>
      <c r="D913" s="398"/>
      <c r="E913" s="398"/>
      <c r="F913" s="533"/>
      <c r="G913" s="398">
        <f t="shared" si="244"/>
        <v>0</v>
      </c>
      <c r="H913" s="398">
        <f t="shared" si="245"/>
        <v>0</v>
      </c>
      <c r="I913" s="399"/>
      <c r="J913" s="362" t="s">
        <v>38</v>
      </c>
      <c r="K913" s="362" t="s">
        <v>257</v>
      </c>
      <c r="L913" s="362" t="s">
        <v>112</v>
      </c>
      <c r="M913" s="362" t="s">
        <v>144</v>
      </c>
      <c r="N913" s="362"/>
      <c r="P913" s="371"/>
    </row>
    <row r="914" spans="1:17" s="372" customFormat="1" ht="14" outlineLevel="4">
      <c r="A914" s="405" t="s">
        <v>8</v>
      </c>
      <c r="B914" s="509" t="s">
        <v>630</v>
      </c>
      <c r="C914" s="397" t="s">
        <v>9</v>
      </c>
      <c r="D914" s="398"/>
      <c r="E914" s="398"/>
      <c r="F914" s="533"/>
      <c r="G914" s="398">
        <f t="shared" si="244"/>
        <v>0</v>
      </c>
      <c r="H914" s="398">
        <f t="shared" si="245"/>
        <v>0</v>
      </c>
      <c r="I914" s="399"/>
      <c r="J914" s="362" t="s">
        <v>38</v>
      </c>
      <c r="K914" s="362" t="s">
        <v>257</v>
      </c>
      <c r="L914" s="362" t="s">
        <v>112</v>
      </c>
      <c r="M914" s="362" t="s">
        <v>144</v>
      </c>
      <c r="N914" s="362"/>
      <c r="P914" s="371"/>
    </row>
    <row r="915" spans="1:17" s="372" customFormat="1" ht="14" outlineLevel="2">
      <c r="A915" s="388" t="s">
        <v>614</v>
      </c>
      <c r="B915" s="488" t="s">
        <v>99</v>
      </c>
      <c r="C915" s="549"/>
      <c r="D915" s="479"/>
      <c r="E915" s="479"/>
      <c r="F915" s="409"/>
      <c r="G915" s="479">
        <f>SUBTOTAL(9,G916)</f>
        <v>0</v>
      </c>
      <c r="H915" s="479">
        <f>SUBTOTAL(9,H916)</f>
        <v>0</v>
      </c>
      <c r="I915" s="479"/>
      <c r="J915" s="362"/>
      <c r="K915" s="362"/>
      <c r="L915" s="362"/>
      <c r="M915" s="362"/>
      <c r="N915" s="362"/>
      <c r="P915" s="371"/>
    </row>
    <row r="916" spans="1:17" s="372" customFormat="1" ht="14" outlineLevel="4">
      <c r="A916" s="388" t="s">
        <v>8</v>
      </c>
      <c r="B916" s="509" t="s">
        <v>279</v>
      </c>
      <c r="C916" s="397" t="s">
        <v>9</v>
      </c>
      <c r="D916" s="398"/>
      <c r="E916" s="398"/>
      <c r="F916" s="398"/>
      <c r="G916" s="398">
        <f>F916*D916</f>
        <v>0</v>
      </c>
      <c r="H916" s="398">
        <f>F916*E916</f>
        <v>0</v>
      </c>
      <c r="I916" s="399"/>
      <c r="J916" s="362" t="s">
        <v>38</v>
      </c>
      <c r="K916" s="362" t="s">
        <v>99</v>
      </c>
      <c r="L916" s="362" t="s">
        <v>112</v>
      </c>
      <c r="M916" s="362" t="s">
        <v>144</v>
      </c>
      <c r="N916" s="362"/>
      <c r="P916" s="371"/>
    </row>
    <row r="917" spans="1:17" s="425" customFormat="1" ht="14">
      <c r="A917" s="550" t="s">
        <v>60</v>
      </c>
      <c r="B917" s="551" t="s">
        <v>20</v>
      </c>
      <c r="C917" s="552"/>
      <c r="D917" s="553"/>
      <c r="E917" s="553"/>
      <c r="F917" s="554"/>
      <c r="G917" s="553">
        <f>SUBTOTAL(9,G918:G1828)</f>
        <v>4266863.9285714282</v>
      </c>
      <c r="H917" s="553">
        <f>SUBTOTAL(9,H918:H1828)</f>
        <v>1930784.3076923075</v>
      </c>
      <c r="I917" s="555"/>
      <c r="J917" s="410"/>
      <c r="K917" s="424"/>
      <c r="L917" s="424"/>
      <c r="M917" s="424"/>
      <c r="N917" s="424"/>
      <c r="O917" s="413"/>
      <c r="P917" s="414"/>
      <c r="Q917" s="413"/>
    </row>
    <row r="918" spans="1:17" s="413" customFormat="1" ht="14" outlineLevel="1">
      <c r="A918" s="388" t="s">
        <v>453</v>
      </c>
      <c r="B918" s="350" t="s">
        <v>904</v>
      </c>
      <c r="C918" s="390"/>
      <c r="D918" s="391"/>
      <c r="E918" s="391"/>
      <c r="F918" s="391"/>
      <c r="G918" s="391">
        <f>SUBTOTAL(9,G919:G985)</f>
        <v>834259</v>
      </c>
      <c r="H918" s="391">
        <f>SUBTOTAL(9,H919:H985)</f>
        <v>1140472.3076923075</v>
      </c>
      <c r="I918" s="392"/>
      <c r="J918" s="410"/>
      <c r="K918" s="411"/>
      <c r="L918" s="411"/>
      <c r="M918" s="412"/>
      <c r="N918" s="412"/>
      <c r="P918" s="414"/>
    </row>
    <row r="919" spans="1:17" s="413" customFormat="1" ht="26" outlineLevel="2">
      <c r="A919" s="388">
        <v>1</v>
      </c>
      <c r="B919" s="350" t="s">
        <v>906</v>
      </c>
      <c r="C919" s="397"/>
      <c r="D919" s="398"/>
      <c r="E919" s="398"/>
      <c r="F919" s="398"/>
      <c r="G919" s="391">
        <f>SUBTOTAL(9,G920:G930)</f>
        <v>156000</v>
      </c>
      <c r="H919" s="391">
        <f>SUBTOTAL(9,H920:H930)</f>
        <v>216000</v>
      </c>
      <c r="I919" s="392"/>
      <c r="J919" s="410"/>
      <c r="K919" s="411"/>
      <c r="L919" s="411"/>
      <c r="M919" s="411" t="s">
        <v>165</v>
      </c>
      <c r="N919" s="412"/>
      <c r="P919" s="710" t="s">
        <v>1456</v>
      </c>
      <c r="Q919" s="556" t="s">
        <v>165</v>
      </c>
    </row>
    <row r="920" spans="1:17" s="416" customFormat="1" ht="14" outlineLevel="3">
      <c r="A920" s="400" t="s">
        <v>8</v>
      </c>
      <c r="B920" s="415" t="s">
        <v>53</v>
      </c>
      <c r="C920" s="397"/>
      <c r="D920" s="398"/>
      <c r="E920" s="398"/>
      <c r="F920" s="398"/>
      <c r="G920" s="398">
        <f t="shared" ref="G920:G930" si="246">F920*D920</f>
        <v>0</v>
      </c>
      <c r="H920" s="398">
        <f t="shared" ref="H920:H930" si="247">F920*E920</f>
        <v>0</v>
      </c>
      <c r="I920" s="399"/>
      <c r="J920" s="410" t="s">
        <v>21</v>
      </c>
      <c r="K920" s="411" t="s">
        <v>127</v>
      </c>
      <c r="L920" s="411" t="s">
        <v>112</v>
      </c>
      <c r="M920" s="411" t="s">
        <v>165</v>
      </c>
      <c r="N920" s="411"/>
      <c r="P920" s="417"/>
      <c r="Q920" s="556" t="s">
        <v>165</v>
      </c>
    </row>
    <row r="921" spans="1:17" s="416" customFormat="1" ht="14" outlineLevel="3">
      <c r="A921" s="400" t="s">
        <v>8</v>
      </c>
      <c r="B921" s="557" t="s">
        <v>283</v>
      </c>
      <c r="C921" s="397" t="s">
        <v>25</v>
      </c>
      <c r="D921" s="398"/>
      <c r="E921" s="398"/>
      <c r="F921" s="398"/>
      <c r="G921" s="398">
        <f t="shared" si="246"/>
        <v>0</v>
      </c>
      <c r="H921" s="398">
        <f t="shared" si="247"/>
        <v>0</v>
      </c>
      <c r="I921" s="399"/>
      <c r="J921" s="410" t="s">
        <v>21</v>
      </c>
      <c r="K921" s="411" t="s">
        <v>127</v>
      </c>
      <c r="L921" s="411" t="s">
        <v>112</v>
      </c>
      <c r="M921" s="411" t="s">
        <v>165</v>
      </c>
      <c r="N921" s="460"/>
      <c r="P921" s="417"/>
      <c r="Q921" s="556" t="s">
        <v>165</v>
      </c>
    </row>
    <row r="922" spans="1:17" s="416" customFormat="1" ht="14" outlineLevel="3">
      <c r="A922" s="400" t="s">
        <v>8</v>
      </c>
      <c r="B922" s="557" t="s">
        <v>284</v>
      </c>
      <c r="C922" s="397" t="s">
        <v>25</v>
      </c>
      <c r="D922" s="398"/>
      <c r="E922" s="398"/>
      <c r="F922" s="398"/>
      <c r="G922" s="398">
        <f t="shared" si="246"/>
        <v>0</v>
      </c>
      <c r="H922" s="398">
        <f t="shared" si="247"/>
        <v>0</v>
      </c>
      <c r="I922" s="399"/>
      <c r="J922" s="410" t="s">
        <v>21</v>
      </c>
      <c r="K922" s="411" t="s">
        <v>127</v>
      </c>
      <c r="L922" s="411" t="s">
        <v>112</v>
      </c>
      <c r="M922" s="411" t="s">
        <v>165</v>
      </c>
      <c r="N922" s="460"/>
      <c r="P922" s="417"/>
      <c r="Q922" s="556" t="s">
        <v>165</v>
      </c>
    </row>
    <row r="923" spans="1:17" s="416" customFormat="1" ht="14" outlineLevel="3">
      <c r="A923" s="400" t="s">
        <v>8</v>
      </c>
      <c r="B923" s="557" t="s">
        <v>48</v>
      </c>
      <c r="C923" s="397"/>
      <c r="D923" s="398"/>
      <c r="E923" s="398"/>
      <c r="F923" s="398"/>
      <c r="G923" s="398">
        <f t="shared" si="246"/>
        <v>0</v>
      </c>
      <c r="H923" s="398">
        <f t="shared" si="247"/>
        <v>0</v>
      </c>
      <c r="I923" s="399"/>
      <c r="J923" s="410" t="s">
        <v>21</v>
      </c>
      <c r="K923" s="411" t="s">
        <v>127</v>
      </c>
      <c r="L923" s="411" t="s">
        <v>112</v>
      </c>
      <c r="M923" s="411" t="s">
        <v>165</v>
      </c>
      <c r="N923" s="460"/>
      <c r="P923" s="417"/>
      <c r="Q923" s="556" t="s">
        <v>165</v>
      </c>
    </row>
    <row r="924" spans="1:17" s="416" customFormat="1" ht="14" outlineLevel="3">
      <c r="A924" s="400" t="s">
        <v>8</v>
      </c>
      <c r="B924" s="557" t="s">
        <v>140</v>
      </c>
      <c r="C924" s="397" t="s">
        <v>25</v>
      </c>
      <c r="D924" s="398"/>
      <c r="E924" s="398"/>
      <c r="F924" s="398"/>
      <c r="G924" s="398">
        <f t="shared" si="246"/>
        <v>0</v>
      </c>
      <c r="H924" s="398">
        <f t="shared" si="247"/>
        <v>0</v>
      </c>
      <c r="I924" s="399"/>
      <c r="J924" s="410" t="s">
        <v>21</v>
      </c>
      <c r="K924" s="411" t="s">
        <v>127</v>
      </c>
      <c r="L924" s="411" t="s">
        <v>112</v>
      </c>
      <c r="M924" s="411" t="s">
        <v>165</v>
      </c>
      <c r="N924" s="460"/>
      <c r="P924" s="417"/>
      <c r="Q924" s="556" t="s">
        <v>165</v>
      </c>
    </row>
    <row r="925" spans="1:17" s="416" customFormat="1" ht="14" outlineLevel="3">
      <c r="A925" s="400" t="s">
        <v>8</v>
      </c>
      <c r="B925" s="557" t="s">
        <v>285</v>
      </c>
      <c r="C925" s="397" t="s">
        <v>25</v>
      </c>
      <c r="D925" s="398"/>
      <c r="E925" s="398"/>
      <c r="F925" s="398"/>
      <c r="G925" s="398">
        <f t="shared" si="246"/>
        <v>0</v>
      </c>
      <c r="H925" s="398">
        <f t="shared" si="247"/>
        <v>0</v>
      </c>
      <c r="I925" s="399"/>
      <c r="J925" s="410" t="s">
        <v>21</v>
      </c>
      <c r="K925" s="411" t="s">
        <v>127</v>
      </c>
      <c r="L925" s="411" t="s">
        <v>112</v>
      </c>
      <c r="M925" s="411" t="s">
        <v>165</v>
      </c>
      <c r="N925" s="460"/>
      <c r="P925" s="417"/>
      <c r="Q925" s="556" t="s">
        <v>165</v>
      </c>
    </row>
    <row r="926" spans="1:17" s="416" customFormat="1" ht="14" outlineLevel="3">
      <c r="A926" s="400" t="s">
        <v>8</v>
      </c>
      <c r="B926" s="558" t="s">
        <v>905</v>
      </c>
      <c r="C926" s="397" t="s">
        <v>25</v>
      </c>
      <c r="D926" s="398">
        <v>260</v>
      </c>
      <c r="E926" s="398">
        <v>360</v>
      </c>
      <c r="F926" s="330">
        <v>600</v>
      </c>
      <c r="G926" s="398">
        <f t="shared" si="246"/>
        <v>156000</v>
      </c>
      <c r="H926" s="398">
        <f t="shared" si="247"/>
        <v>216000</v>
      </c>
      <c r="I926" s="399"/>
      <c r="J926" s="410" t="s">
        <v>21</v>
      </c>
      <c r="K926" s="411" t="s">
        <v>127</v>
      </c>
      <c r="L926" s="411" t="s">
        <v>112</v>
      </c>
      <c r="M926" s="411" t="s">
        <v>165</v>
      </c>
      <c r="N926" s="460"/>
      <c r="P926" s="417"/>
      <c r="Q926" s="556" t="s">
        <v>165</v>
      </c>
    </row>
    <row r="927" spans="1:17" s="416" customFormat="1" ht="14" outlineLevel="3">
      <c r="A927" s="400" t="s">
        <v>8</v>
      </c>
      <c r="B927" s="557" t="s">
        <v>286</v>
      </c>
      <c r="C927" s="397" t="s">
        <v>25</v>
      </c>
      <c r="D927" s="398"/>
      <c r="E927" s="398"/>
      <c r="F927" s="398"/>
      <c r="G927" s="398">
        <f t="shared" si="246"/>
        <v>0</v>
      </c>
      <c r="H927" s="398">
        <f t="shared" si="247"/>
        <v>0</v>
      </c>
      <c r="I927" s="399"/>
      <c r="J927" s="410" t="s">
        <v>21</v>
      </c>
      <c r="K927" s="411" t="s">
        <v>127</v>
      </c>
      <c r="L927" s="411" t="s">
        <v>112</v>
      </c>
      <c r="M927" s="411" t="s">
        <v>165</v>
      </c>
      <c r="N927" s="460"/>
      <c r="P927" s="417"/>
      <c r="Q927" s="556" t="s">
        <v>165</v>
      </c>
    </row>
    <row r="928" spans="1:17" s="416" customFormat="1" ht="14" outlineLevel="3">
      <c r="A928" s="400" t="s">
        <v>8</v>
      </c>
      <c r="B928" s="557" t="s">
        <v>287</v>
      </c>
      <c r="C928" s="397" t="s">
        <v>25</v>
      </c>
      <c r="D928" s="398"/>
      <c r="E928" s="398"/>
      <c r="F928" s="398"/>
      <c r="G928" s="398">
        <f t="shared" si="246"/>
        <v>0</v>
      </c>
      <c r="H928" s="398">
        <f t="shared" si="247"/>
        <v>0</v>
      </c>
      <c r="I928" s="399"/>
      <c r="J928" s="410" t="s">
        <v>21</v>
      </c>
      <c r="K928" s="411" t="s">
        <v>127</v>
      </c>
      <c r="L928" s="411" t="s">
        <v>112</v>
      </c>
      <c r="M928" s="411" t="s">
        <v>165</v>
      </c>
      <c r="N928" s="460"/>
      <c r="P928" s="417"/>
      <c r="Q928" s="556" t="s">
        <v>165</v>
      </c>
    </row>
    <row r="929" spans="1:17" s="416" customFormat="1" ht="14" outlineLevel="3">
      <c r="A929" s="400" t="s">
        <v>8</v>
      </c>
      <c r="B929" s="557" t="s">
        <v>288</v>
      </c>
      <c r="C929" s="397" t="s">
        <v>25</v>
      </c>
      <c r="D929" s="398"/>
      <c r="E929" s="398"/>
      <c r="F929" s="398"/>
      <c r="G929" s="402">
        <f t="shared" si="246"/>
        <v>0</v>
      </c>
      <c r="H929" s="398">
        <f t="shared" si="247"/>
        <v>0</v>
      </c>
      <c r="I929" s="399"/>
      <c r="J929" s="410" t="s">
        <v>21</v>
      </c>
      <c r="K929" s="411" t="s">
        <v>127</v>
      </c>
      <c r="L929" s="411" t="s">
        <v>112</v>
      </c>
      <c r="M929" s="411" t="s">
        <v>165</v>
      </c>
      <c r="N929" s="460"/>
      <c r="P929" s="417"/>
      <c r="Q929" s="556" t="s">
        <v>165</v>
      </c>
    </row>
    <row r="930" spans="1:17" s="416" customFormat="1" ht="14" outlineLevel="3">
      <c r="A930" s="400" t="s">
        <v>8</v>
      </c>
      <c r="B930" s="557" t="s">
        <v>289</v>
      </c>
      <c r="C930" s="397" t="s">
        <v>25</v>
      </c>
      <c r="D930" s="398"/>
      <c r="E930" s="398"/>
      <c r="F930" s="398"/>
      <c r="G930" s="402">
        <f t="shared" si="246"/>
        <v>0</v>
      </c>
      <c r="H930" s="398">
        <f t="shared" si="247"/>
        <v>0</v>
      </c>
      <c r="I930" s="399"/>
      <c r="J930" s="410" t="s">
        <v>21</v>
      </c>
      <c r="K930" s="411" t="s">
        <v>127</v>
      </c>
      <c r="L930" s="411" t="s">
        <v>112</v>
      </c>
      <c r="M930" s="411" t="s">
        <v>165</v>
      </c>
      <c r="N930" s="460"/>
      <c r="P930" s="417"/>
      <c r="Q930" s="556" t="s">
        <v>165</v>
      </c>
    </row>
    <row r="931" spans="1:17" s="413" customFormat="1" ht="14" outlineLevel="2">
      <c r="A931" s="388">
        <v>2</v>
      </c>
      <c r="B931" s="350" t="s">
        <v>907</v>
      </c>
      <c r="C931" s="397"/>
      <c r="D931" s="398"/>
      <c r="E931" s="398"/>
      <c r="F931" s="398"/>
      <c r="G931" s="605">
        <f>SUBTOTAL(9,G932:G933)</f>
        <v>68000</v>
      </c>
      <c r="H931" s="605">
        <f>SUBTOTAL(9,H932:H933)</f>
        <v>79500</v>
      </c>
      <c r="I931" s="392"/>
      <c r="J931" s="410"/>
      <c r="K931" s="411"/>
      <c r="L931" s="411"/>
      <c r="M931" s="411" t="s">
        <v>165</v>
      </c>
      <c r="N931" s="412"/>
      <c r="P931" s="414"/>
      <c r="Q931" s="556" t="s">
        <v>165</v>
      </c>
    </row>
    <row r="932" spans="1:17" s="416" customFormat="1" ht="14" outlineLevel="3">
      <c r="A932" s="400" t="s">
        <v>8</v>
      </c>
      <c r="B932" s="559" t="s">
        <v>907</v>
      </c>
      <c r="C932" s="397" t="s">
        <v>908</v>
      </c>
      <c r="D932" s="10">
        <v>12</v>
      </c>
      <c r="E932" s="10">
        <v>15</v>
      </c>
      <c r="F932" s="10">
        <v>4500</v>
      </c>
      <c r="G932" s="402">
        <f>F932*D932</f>
        <v>54000</v>
      </c>
      <c r="H932" s="398">
        <f>F932*E932</f>
        <v>67500</v>
      </c>
      <c r="I932" s="399"/>
      <c r="J932" s="410" t="s">
        <v>21</v>
      </c>
      <c r="K932" s="411" t="s">
        <v>127</v>
      </c>
      <c r="L932" s="411" t="s">
        <v>112</v>
      </c>
      <c r="M932" s="411" t="s">
        <v>165</v>
      </c>
      <c r="N932" s="460"/>
      <c r="P932" s="417"/>
      <c r="Q932" s="556" t="s">
        <v>165</v>
      </c>
    </row>
    <row r="933" spans="1:17" s="416" customFormat="1" ht="14" outlineLevel="3">
      <c r="A933" s="400" t="s">
        <v>8</v>
      </c>
      <c r="B933" s="559" t="s">
        <v>1457</v>
      </c>
      <c r="C933" s="397" t="s">
        <v>908</v>
      </c>
      <c r="D933" s="10">
        <v>70</v>
      </c>
      <c r="E933" s="10">
        <v>60</v>
      </c>
      <c r="F933" s="10">
        <v>200</v>
      </c>
      <c r="G933" s="402">
        <f>F933*D933</f>
        <v>14000</v>
      </c>
      <c r="H933" s="398">
        <f>F933*E933</f>
        <v>12000</v>
      </c>
      <c r="I933" s="399"/>
      <c r="J933" s="410" t="s">
        <v>21</v>
      </c>
      <c r="K933" s="411" t="s">
        <v>127</v>
      </c>
      <c r="L933" s="411" t="s">
        <v>112</v>
      </c>
      <c r="M933" s="411" t="s">
        <v>165</v>
      </c>
      <c r="N933" s="460"/>
      <c r="P933" s="417"/>
      <c r="Q933" s="556" t="s">
        <v>165</v>
      </c>
    </row>
    <row r="934" spans="1:17" s="413" customFormat="1" ht="14" outlineLevel="2">
      <c r="A934" s="388">
        <v>3</v>
      </c>
      <c r="B934" s="350" t="s">
        <v>49</v>
      </c>
      <c r="C934" s="390"/>
      <c r="D934" s="391"/>
      <c r="E934" s="391"/>
      <c r="F934" s="391"/>
      <c r="G934" s="605">
        <f>SUBTOTAL(9,G935:G956)</f>
        <v>521599</v>
      </c>
      <c r="H934" s="391">
        <f>SUBTOTAL(9,H935:H956)</f>
        <v>722212.30769230763</v>
      </c>
      <c r="I934" s="560"/>
      <c r="J934" s="410"/>
      <c r="K934" s="411"/>
      <c r="L934" s="411"/>
      <c r="M934" s="411" t="s">
        <v>165</v>
      </c>
      <c r="N934" s="412"/>
      <c r="P934" s="414"/>
      <c r="Q934" s="556" t="s">
        <v>165</v>
      </c>
    </row>
    <row r="935" spans="1:17" s="413" customFormat="1" ht="14" outlineLevel="3">
      <c r="A935" s="388">
        <v>3.1</v>
      </c>
      <c r="B935" s="350" t="s">
        <v>100</v>
      </c>
      <c r="C935" s="390"/>
      <c r="D935" s="391"/>
      <c r="E935" s="391"/>
      <c r="F935" s="391"/>
      <c r="G935" s="605"/>
      <c r="H935" s="391"/>
      <c r="I935" s="392"/>
      <c r="J935" s="410"/>
      <c r="K935" s="411"/>
      <c r="L935" s="411"/>
      <c r="M935" s="411" t="s">
        <v>165</v>
      </c>
      <c r="N935" s="412"/>
      <c r="P935" s="414"/>
      <c r="Q935" s="556" t="s">
        <v>165</v>
      </c>
    </row>
    <row r="936" spans="1:17" s="416" customFormat="1" ht="14" outlineLevel="3">
      <c r="A936" s="400" t="s">
        <v>8</v>
      </c>
      <c r="B936" s="557" t="s">
        <v>290</v>
      </c>
      <c r="C936" s="397" t="s">
        <v>24</v>
      </c>
      <c r="D936" s="10">
        <v>3001</v>
      </c>
      <c r="E936" s="10">
        <v>4155</v>
      </c>
      <c r="F936" s="10">
        <v>7</v>
      </c>
      <c r="G936" s="402">
        <f t="shared" ref="G936:G953" si="248">F936*D936</f>
        <v>21007</v>
      </c>
      <c r="H936" s="398">
        <f t="shared" ref="H936:H953" si="249">F936*E936</f>
        <v>29085</v>
      </c>
      <c r="I936" s="399"/>
      <c r="J936" s="410" t="s">
        <v>21</v>
      </c>
      <c r="K936" s="411" t="s">
        <v>127</v>
      </c>
      <c r="L936" s="411" t="s">
        <v>112</v>
      </c>
      <c r="M936" s="411" t="s">
        <v>165</v>
      </c>
      <c r="N936" s="460"/>
      <c r="P936" s="417"/>
      <c r="Q936" s="556" t="s">
        <v>165</v>
      </c>
    </row>
    <row r="937" spans="1:17" s="416" customFormat="1" ht="14" outlineLevel="3">
      <c r="A937" s="400" t="s">
        <v>8</v>
      </c>
      <c r="B937" s="557" t="s">
        <v>291</v>
      </c>
      <c r="C937" s="397" t="s">
        <v>24</v>
      </c>
      <c r="D937" s="398"/>
      <c r="E937" s="398"/>
      <c r="F937" s="398"/>
      <c r="G937" s="402">
        <f t="shared" si="248"/>
        <v>0</v>
      </c>
      <c r="H937" s="398">
        <f t="shared" si="249"/>
        <v>0</v>
      </c>
      <c r="I937" s="399"/>
      <c r="J937" s="410" t="s">
        <v>21</v>
      </c>
      <c r="K937" s="411" t="s">
        <v>127</v>
      </c>
      <c r="L937" s="411" t="s">
        <v>112</v>
      </c>
      <c r="M937" s="411" t="s">
        <v>165</v>
      </c>
      <c r="N937" s="460"/>
      <c r="P937" s="417"/>
      <c r="Q937" s="556" t="s">
        <v>165</v>
      </c>
    </row>
    <row r="938" spans="1:17" s="416" customFormat="1" ht="14" outlineLevel="3">
      <c r="A938" s="400" t="s">
        <v>8</v>
      </c>
      <c r="B938" s="557" t="s">
        <v>292</v>
      </c>
      <c r="C938" s="397" t="s">
        <v>24</v>
      </c>
      <c r="D938" s="10">
        <v>1000</v>
      </c>
      <c r="E938" s="10">
        <v>1385</v>
      </c>
      <c r="F938" s="10">
        <v>7</v>
      </c>
      <c r="G938" s="402">
        <f t="shared" si="248"/>
        <v>7000</v>
      </c>
      <c r="H938" s="398">
        <f t="shared" si="249"/>
        <v>9695</v>
      </c>
      <c r="I938" s="399"/>
      <c r="J938" s="410" t="s">
        <v>21</v>
      </c>
      <c r="K938" s="411" t="s">
        <v>127</v>
      </c>
      <c r="L938" s="411" t="s">
        <v>112</v>
      </c>
      <c r="M938" s="411" t="s">
        <v>165</v>
      </c>
      <c r="N938" s="460"/>
      <c r="P938" s="417"/>
      <c r="Q938" s="556" t="s">
        <v>165</v>
      </c>
    </row>
    <row r="939" spans="1:17" s="416" customFormat="1" ht="14" outlineLevel="3">
      <c r="A939" s="400" t="s">
        <v>8</v>
      </c>
      <c r="B939" s="557" t="s">
        <v>293</v>
      </c>
      <c r="C939" s="397" t="s">
        <v>24</v>
      </c>
      <c r="D939" s="398"/>
      <c r="E939" s="398"/>
      <c r="F939" s="398"/>
      <c r="G939" s="402">
        <f t="shared" si="248"/>
        <v>0</v>
      </c>
      <c r="H939" s="398">
        <f t="shared" si="249"/>
        <v>0</v>
      </c>
      <c r="I939" s="399"/>
      <c r="J939" s="410" t="s">
        <v>21</v>
      </c>
      <c r="K939" s="411" t="s">
        <v>127</v>
      </c>
      <c r="L939" s="411" t="s">
        <v>112</v>
      </c>
      <c r="M939" s="411" t="s">
        <v>165</v>
      </c>
      <c r="N939" s="460"/>
      <c r="P939" s="417"/>
      <c r="Q939" s="556" t="s">
        <v>165</v>
      </c>
    </row>
    <row r="940" spans="1:17" s="416" customFormat="1" ht="14" outlineLevel="3">
      <c r="A940" s="400" t="s">
        <v>8</v>
      </c>
      <c r="B940" s="557" t="s">
        <v>294</v>
      </c>
      <c r="C940" s="397" t="s">
        <v>24</v>
      </c>
      <c r="D940" s="398"/>
      <c r="E940" s="398"/>
      <c r="F940" s="398"/>
      <c r="G940" s="402">
        <f t="shared" si="248"/>
        <v>0</v>
      </c>
      <c r="H940" s="398">
        <f t="shared" si="249"/>
        <v>0</v>
      </c>
      <c r="I940" s="399"/>
      <c r="J940" s="410" t="s">
        <v>21</v>
      </c>
      <c r="K940" s="411" t="s">
        <v>127</v>
      </c>
      <c r="L940" s="411" t="s">
        <v>112</v>
      </c>
      <c r="M940" s="411" t="s">
        <v>165</v>
      </c>
      <c r="N940" s="460"/>
      <c r="P940" s="417"/>
      <c r="Q940" s="556" t="s">
        <v>165</v>
      </c>
    </row>
    <row r="941" spans="1:17" s="416" customFormat="1" ht="14" outlineLevel="3">
      <c r="A941" s="400" t="s">
        <v>8</v>
      </c>
      <c r="B941" s="557" t="s">
        <v>295</v>
      </c>
      <c r="C941" s="397" t="s">
        <v>24</v>
      </c>
      <c r="D941" s="398"/>
      <c r="E941" s="398"/>
      <c r="F941" s="398"/>
      <c r="G941" s="402">
        <f t="shared" si="248"/>
        <v>0</v>
      </c>
      <c r="H941" s="398">
        <f t="shared" si="249"/>
        <v>0</v>
      </c>
      <c r="I941" s="399"/>
      <c r="J941" s="410" t="s">
        <v>21</v>
      </c>
      <c r="K941" s="411" t="s">
        <v>127</v>
      </c>
      <c r="L941" s="411" t="s">
        <v>112</v>
      </c>
      <c r="M941" s="411" t="s">
        <v>165</v>
      </c>
      <c r="N941" s="460"/>
      <c r="P941" s="417"/>
      <c r="Q941" s="556" t="s">
        <v>165</v>
      </c>
    </row>
    <row r="942" spans="1:17" s="416" customFormat="1" ht="14" outlineLevel="3">
      <c r="A942" s="400" t="s">
        <v>8</v>
      </c>
      <c r="B942" s="557" t="s">
        <v>1291</v>
      </c>
      <c r="C942" s="397" t="s">
        <v>24</v>
      </c>
      <c r="D942" s="10">
        <v>94</v>
      </c>
      <c r="E942" s="10">
        <v>130</v>
      </c>
      <c r="F942" s="10">
        <v>13</v>
      </c>
      <c r="G942" s="402">
        <f t="shared" si="248"/>
        <v>1222</v>
      </c>
      <c r="H942" s="398">
        <f t="shared" si="249"/>
        <v>1690</v>
      </c>
      <c r="I942" s="399"/>
      <c r="J942" s="410" t="s">
        <v>21</v>
      </c>
      <c r="K942" s="411" t="s">
        <v>127</v>
      </c>
      <c r="L942" s="411" t="s">
        <v>112</v>
      </c>
      <c r="M942" s="411" t="s">
        <v>165</v>
      </c>
      <c r="N942" s="460"/>
      <c r="P942" s="417"/>
      <c r="Q942" s="556" t="s">
        <v>165</v>
      </c>
    </row>
    <row r="943" spans="1:17" s="416" customFormat="1" ht="14" outlineLevel="3">
      <c r="A943" s="400" t="s">
        <v>8</v>
      </c>
      <c r="B943" s="557" t="s">
        <v>1309</v>
      </c>
      <c r="C943" s="397" t="s">
        <v>24</v>
      </c>
      <c r="D943" s="10">
        <v>94</v>
      </c>
      <c r="E943" s="10">
        <v>130</v>
      </c>
      <c r="F943" s="10">
        <v>5</v>
      </c>
      <c r="G943" s="402">
        <f t="shared" ref="G943" si="250">F943*D943</f>
        <v>470</v>
      </c>
      <c r="H943" s="398">
        <f t="shared" ref="H943" si="251">F943*E943</f>
        <v>650</v>
      </c>
      <c r="I943" s="399"/>
      <c r="J943" s="410" t="s">
        <v>21</v>
      </c>
      <c r="K943" s="411" t="s">
        <v>127</v>
      </c>
      <c r="L943" s="411" t="s">
        <v>112</v>
      </c>
      <c r="M943" s="411" t="s">
        <v>165</v>
      </c>
      <c r="N943" s="460"/>
      <c r="P943" s="417"/>
      <c r="Q943" s="556" t="s">
        <v>165</v>
      </c>
    </row>
    <row r="944" spans="1:17" s="416" customFormat="1" ht="14" outlineLevel="3">
      <c r="A944" s="400" t="s">
        <v>8</v>
      </c>
      <c r="B944" s="557" t="s">
        <v>296</v>
      </c>
      <c r="C944" s="397" t="s">
        <v>24</v>
      </c>
      <c r="D944" s="398"/>
      <c r="E944" s="398"/>
      <c r="F944" s="398"/>
      <c r="G944" s="402">
        <f t="shared" si="248"/>
        <v>0</v>
      </c>
      <c r="H944" s="398">
        <f t="shared" si="249"/>
        <v>0</v>
      </c>
      <c r="I944" s="399"/>
      <c r="J944" s="410" t="s">
        <v>21</v>
      </c>
      <c r="K944" s="411" t="s">
        <v>127</v>
      </c>
      <c r="L944" s="411" t="s">
        <v>112</v>
      </c>
      <c r="M944" s="411" t="s">
        <v>165</v>
      </c>
      <c r="N944" s="460"/>
      <c r="P944" s="417"/>
      <c r="Q944" s="556" t="s">
        <v>165</v>
      </c>
    </row>
    <row r="945" spans="1:17" s="416" customFormat="1" ht="14" outlineLevel="3">
      <c r="A945" s="400" t="s">
        <v>8</v>
      </c>
      <c r="B945" s="349" t="s">
        <v>297</v>
      </c>
      <c r="C945" s="397" t="s">
        <v>24</v>
      </c>
      <c r="D945" s="10">
        <v>130</v>
      </c>
      <c r="E945" s="10">
        <v>180</v>
      </c>
      <c r="F945" s="10">
        <v>30</v>
      </c>
      <c r="G945" s="402">
        <f t="shared" si="248"/>
        <v>3900</v>
      </c>
      <c r="H945" s="398">
        <f t="shared" si="249"/>
        <v>5400</v>
      </c>
      <c r="I945" s="399"/>
      <c r="J945" s="410" t="s">
        <v>21</v>
      </c>
      <c r="K945" s="411" t="s">
        <v>127</v>
      </c>
      <c r="L945" s="411" t="s">
        <v>112</v>
      </c>
      <c r="M945" s="411" t="s">
        <v>165</v>
      </c>
      <c r="N945" s="460"/>
      <c r="P945" s="417"/>
      <c r="Q945" s="556" t="s">
        <v>165</v>
      </c>
    </row>
    <row r="946" spans="1:17" s="416" customFormat="1" ht="14" outlineLevel="3">
      <c r="A946" s="400" t="s">
        <v>8</v>
      </c>
      <c r="B946" s="557" t="s">
        <v>1310</v>
      </c>
      <c r="C946" s="397" t="s">
        <v>24</v>
      </c>
      <c r="D946" s="10">
        <v>4000</v>
      </c>
      <c r="E946" s="10">
        <v>5538.4615384615381</v>
      </c>
      <c r="F946" s="10">
        <v>4</v>
      </c>
      <c r="G946" s="402">
        <f t="shared" si="248"/>
        <v>16000</v>
      </c>
      <c r="H946" s="398">
        <f t="shared" si="249"/>
        <v>22153.846153846152</v>
      </c>
      <c r="I946" s="399"/>
      <c r="J946" s="410" t="s">
        <v>21</v>
      </c>
      <c r="K946" s="411" t="s">
        <v>127</v>
      </c>
      <c r="L946" s="411" t="s">
        <v>112</v>
      </c>
      <c r="M946" s="411" t="s">
        <v>165</v>
      </c>
      <c r="N946" s="460"/>
      <c r="P946" s="417"/>
      <c r="Q946" s="556" t="s">
        <v>165</v>
      </c>
    </row>
    <row r="947" spans="1:17" s="416" customFormat="1" ht="14" outlineLevel="3">
      <c r="A947" s="400" t="s">
        <v>8</v>
      </c>
      <c r="B947" s="557" t="s">
        <v>299</v>
      </c>
      <c r="C947" s="397" t="s">
        <v>24</v>
      </c>
      <c r="D947" s="398"/>
      <c r="E947" s="398"/>
      <c r="F947" s="398"/>
      <c r="G947" s="402">
        <f t="shared" si="248"/>
        <v>0</v>
      </c>
      <c r="H947" s="398">
        <f t="shared" si="249"/>
        <v>0</v>
      </c>
      <c r="I947" s="399"/>
      <c r="J947" s="410" t="s">
        <v>21</v>
      </c>
      <c r="K947" s="411" t="s">
        <v>127</v>
      </c>
      <c r="L947" s="411" t="s">
        <v>112</v>
      </c>
      <c r="M947" s="411" t="s">
        <v>165</v>
      </c>
      <c r="N947" s="460"/>
      <c r="P947" s="417"/>
      <c r="Q947" s="556" t="s">
        <v>165</v>
      </c>
    </row>
    <row r="948" spans="1:17" s="416" customFormat="1" ht="14" outlineLevel="3">
      <c r="A948" s="400" t="s">
        <v>8</v>
      </c>
      <c r="B948" s="557" t="s">
        <v>300</v>
      </c>
      <c r="C948" s="397" t="s">
        <v>24</v>
      </c>
      <c r="D948" s="398"/>
      <c r="E948" s="398"/>
      <c r="F948" s="398"/>
      <c r="G948" s="402">
        <f t="shared" si="248"/>
        <v>0</v>
      </c>
      <c r="H948" s="398">
        <f t="shared" si="249"/>
        <v>0</v>
      </c>
      <c r="I948" s="399"/>
      <c r="J948" s="410" t="s">
        <v>21</v>
      </c>
      <c r="K948" s="411" t="s">
        <v>127</v>
      </c>
      <c r="L948" s="411" t="s">
        <v>112</v>
      </c>
      <c r="M948" s="411" t="s">
        <v>165</v>
      </c>
      <c r="N948" s="460"/>
      <c r="P948" s="417"/>
      <c r="Q948" s="556" t="s">
        <v>165</v>
      </c>
    </row>
    <row r="949" spans="1:17" s="416" customFormat="1" ht="14" outlineLevel="3">
      <c r="A949" s="400" t="s">
        <v>8</v>
      </c>
      <c r="B949" s="557" t="s">
        <v>301</v>
      </c>
      <c r="C949" s="397" t="s">
        <v>24</v>
      </c>
      <c r="D949" s="398"/>
      <c r="E949" s="398"/>
      <c r="F949" s="398"/>
      <c r="G949" s="402">
        <f t="shared" si="248"/>
        <v>0</v>
      </c>
      <c r="H949" s="398">
        <f t="shared" si="249"/>
        <v>0</v>
      </c>
      <c r="I949" s="399"/>
      <c r="J949" s="410" t="s">
        <v>21</v>
      </c>
      <c r="K949" s="411" t="s">
        <v>127</v>
      </c>
      <c r="L949" s="411" t="s">
        <v>112</v>
      </c>
      <c r="M949" s="411" t="s">
        <v>165</v>
      </c>
      <c r="N949" s="460"/>
      <c r="P949" s="417"/>
      <c r="Q949" s="556" t="s">
        <v>165</v>
      </c>
    </row>
    <row r="950" spans="1:17" s="416" customFormat="1" ht="14" outlineLevel="3">
      <c r="A950" s="400" t="s">
        <v>8</v>
      </c>
      <c r="B950" s="557" t="s">
        <v>302</v>
      </c>
      <c r="C950" s="397" t="s">
        <v>11</v>
      </c>
      <c r="D950" s="398"/>
      <c r="E950" s="398"/>
      <c r="F950" s="331"/>
      <c r="G950" s="402">
        <f t="shared" si="248"/>
        <v>0</v>
      </c>
      <c r="H950" s="398">
        <f t="shared" si="249"/>
        <v>0</v>
      </c>
      <c r="I950" s="399"/>
      <c r="J950" s="410" t="s">
        <v>21</v>
      </c>
      <c r="K950" s="411" t="s">
        <v>127</v>
      </c>
      <c r="L950" s="411" t="s">
        <v>112</v>
      </c>
      <c r="M950" s="411" t="s">
        <v>165</v>
      </c>
      <c r="N950" s="460"/>
      <c r="P950" s="417"/>
      <c r="Q950" s="556" t="s">
        <v>165</v>
      </c>
    </row>
    <row r="951" spans="1:17" s="416" customFormat="1" ht="14" outlineLevel="3">
      <c r="A951" s="400" t="s">
        <v>8</v>
      </c>
      <c r="B951" s="557" t="s">
        <v>303</v>
      </c>
      <c r="C951" s="397" t="s">
        <v>24</v>
      </c>
      <c r="D951" s="398"/>
      <c r="E951" s="398"/>
      <c r="F951" s="331"/>
      <c r="G951" s="402">
        <f t="shared" si="248"/>
        <v>0</v>
      </c>
      <c r="H951" s="398">
        <f t="shared" si="249"/>
        <v>0</v>
      </c>
      <c r="I951" s="399"/>
      <c r="J951" s="410" t="s">
        <v>21</v>
      </c>
      <c r="K951" s="411" t="s">
        <v>127</v>
      </c>
      <c r="L951" s="411" t="s">
        <v>112</v>
      </c>
      <c r="M951" s="411" t="s">
        <v>165</v>
      </c>
      <c r="N951" s="460"/>
      <c r="P951" s="417"/>
      <c r="Q951" s="556" t="s">
        <v>165</v>
      </c>
    </row>
    <row r="952" spans="1:17" s="416" customFormat="1" ht="14" outlineLevel="3">
      <c r="A952" s="400" t="s">
        <v>8</v>
      </c>
      <c r="B952" s="557" t="s">
        <v>304</v>
      </c>
      <c r="C952" s="397" t="s">
        <v>24</v>
      </c>
      <c r="D952" s="398"/>
      <c r="E952" s="398"/>
      <c r="F952" s="398"/>
      <c r="G952" s="402">
        <f t="shared" si="248"/>
        <v>0</v>
      </c>
      <c r="H952" s="398">
        <f t="shared" si="249"/>
        <v>0</v>
      </c>
      <c r="I952" s="399"/>
      <c r="J952" s="410" t="s">
        <v>21</v>
      </c>
      <c r="K952" s="411" t="s">
        <v>127</v>
      </c>
      <c r="L952" s="411" t="s">
        <v>112</v>
      </c>
      <c r="M952" s="411" t="s">
        <v>165</v>
      </c>
      <c r="N952" s="460"/>
      <c r="P952" s="417"/>
      <c r="Q952" s="556" t="s">
        <v>165</v>
      </c>
    </row>
    <row r="953" spans="1:17" s="416" customFormat="1" ht="14" outlineLevel="3">
      <c r="A953" s="400" t="s">
        <v>8</v>
      </c>
      <c r="B953" s="557" t="s">
        <v>305</v>
      </c>
      <c r="C953" s="397" t="s">
        <v>24</v>
      </c>
      <c r="D953" s="398"/>
      <c r="E953" s="398"/>
      <c r="F953" s="398"/>
      <c r="G953" s="402">
        <f t="shared" si="248"/>
        <v>0</v>
      </c>
      <c r="H953" s="398">
        <f t="shared" si="249"/>
        <v>0</v>
      </c>
      <c r="I953" s="399"/>
      <c r="J953" s="410" t="s">
        <v>21</v>
      </c>
      <c r="K953" s="411" t="s">
        <v>127</v>
      </c>
      <c r="L953" s="411" t="s">
        <v>112</v>
      </c>
      <c r="M953" s="411" t="s">
        <v>165</v>
      </c>
      <c r="N953" s="460"/>
      <c r="P953" s="417"/>
      <c r="Q953" s="556" t="s">
        <v>165</v>
      </c>
    </row>
    <row r="954" spans="1:17" s="413" customFormat="1" ht="14" outlineLevel="3">
      <c r="A954" s="388">
        <v>3.2</v>
      </c>
      <c r="B954" s="350" t="s">
        <v>909</v>
      </c>
      <c r="C954" s="390"/>
      <c r="D954" s="391"/>
      <c r="E954" s="391"/>
      <c r="F954" s="391"/>
      <c r="G954" s="605"/>
      <c r="H954" s="391"/>
      <c r="I954" s="392"/>
      <c r="J954" s="410"/>
      <c r="K954" s="411"/>
      <c r="L954" s="411"/>
      <c r="M954" s="411" t="s">
        <v>165</v>
      </c>
      <c r="N954" s="412"/>
      <c r="P954" s="414"/>
      <c r="Q954" s="556" t="s">
        <v>165</v>
      </c>
    </row>
    <row r="955" spans="1:17" s="416" customFormat="1" ht="14" outlineLevel="3">
      <c r="A955" s="400" t="s">
        <v>8</v>
      </c>
      <c r="B955" s="415" t="s">
        <v>894</v>
      </c>
      <c r="C955" s="397" t="s">
        <v>50</v>
      </c>
      <c r="D955" s="10">
        <v>4000</v>
      </c>
      <c r="E955" s="10">
        <v>5538.4615384615381</v>
      </c>
      <c r="F955" s="10">
        <v>118</v>
      </c>
      <c r="G955" s="402">
        <f t="shared" ref="G955:G956" si="252">F955*D955</f>
        <v>472000</v>
      </c>
      <c r="H955" s="398">
        <f t="shared" ref="H955:H956" si="253">F955*E955</f>
        <v>653538.4615384615</v>
      </c>
      <c r="I955" s="399"/>
      <c r="J955" s="410" t="s">
        <v>21</v>
      </c>
      <c r="K955" s="411" t="s">
        <v>127</v>
      </c>
      <c r="L955" s="411" t="s">
        <v>112</v>
      </c>
      <c r="M955" s="411" t="s">
        <v>165</v>
      </c>
      <c r="N955" s="460"/>
      <c r="P955" s="417"/>
      <c r="Q955" s="556" t="s">
        <v>165</v>
      </c>
    </row>
    <row r="956" spans="1:17" s="416" customFormat="1" ht="14" outlineLevel="3">
      <c r="A956" s="400" t="s">
        <v>8</v>
      </c>
      <c r="B956" s="415" t="s">
        <v>52</v>
      </c>
      <c r="C956" s="397" t="s">
        <v>50</v>
      </c>
      <c r="D956" s="398"/>
      <c r="E956" s="398"/>
      <c r="F956" s="398"/>
      <c r="G956" s="402">
        <f t="shared" si="252"/>
        <v>0</v>
      </c>
      <c r="H956" s="398">
        <f t="shared" si="253"/>
        <v>0</v>
      </c>
      <c r="I956" s="399"/>
      <c r="J956" s="410" t="s">
        <v>21</v>
      </c>
      <c r="K956" s="411" t="s">
        <v>127</v>
      </c>
      <c r="L956" s="411" t="s">
        <v>112</v>
      </c>
      <c r="M956" s="411" t="s">
        <v>165</v>
      </c>
      <c r="N956" s="460"/>
      <c r="P956" s="417"/>
      <c r="Q956" s="556" t="s">
        <v>165</v>
      </c>
    </row>
    <row r="957" spans="1:17" s="413" customFormat="1" ht="14" outlineLevel="4">
      <c r="A957" s="388">
        <v>4</v>
      </c>
      <c r="B957" s="408" t="s">
        <v>1019</v>
      </c>
      <c r="C957" s="390"/>
      <c r="D957" s="391"/>
      <c r="E957" s="391"/>
      <c r="F957" s="391"/>
      <c r="G957" s="605">
        <f>SUBTOTAL(9,G958:G985)</f>
        <v>88660</v>
      </c>
      <c r="H957" s="391">
        <f>SUBTOTAL(9,H958:H982)</f>
        <v>122760</v>
      </c>
      <c r="I957" s="391"/>
      <c r="J957" s="411"/>
      <c r="K957" s="411"/>
      <c r="L957" s="411"/>
      <c r="M957" s="412"/>
      <c r="N957" s="412"/>
      <c r="P957" s="414"/>
    </row>
    <row r="958" spans="1:17" s="413" customFormat="1" ht="14" outlineLevel="3">
      <c r="A958" s="388">
        <v>4.0999999999999996</v>
      </c>
      <c r="B958" s="532" t="s">
        <v>307</v>
      </c>
      <c r="C958" s="549"/>
      <c r="D958" s="479"/>
      <c r="E958" s="479"/>
      <c r="F958" s="479"/>
      <c r="G958" s="705">
        <f>SUBTOTAL(9,G959:G971)</f>
        <v>88660</v>
      </c>
      <c r="H958" s="705">
        <f>SUBTOTAL(9,H959:H971)</f>
        <v>122760</v>
      </c>
      <c r="I958" s="561"/>
      <c r="J958" s="411"/>
      <c r="K958" s="411"/>
      <c r="L958" s="411"/>
      <c r="M958" s="412"/>
      <c r="N958" s="412"/>
      <c r="P958" s="414"/>
    </row>
    <row r="959" spans="1:17" s="416" customFormat="1" ht="14" outlineLevel="4">
      <c r="A959" s="400" t="s">
        <v>8</v>
      </c>
      <c r="B959" s="415" t="s">
        <v>1103</v>
      </c>
      <c r="C959" s="397" t="s">
        <v>1063</v>
      </c>
      <c r="D959" s="10">
        <v>65</v>
      </c>
      <c r="E959" s="10">
        <v>90</v>
      </c>
      <c r="F959" s="10">
        <v>1300</v>
      </c>
      <c r="G959" s="402">
        <f t="shared" ref="G959:G971" si="254">F959*D959</f>
        <v>84500</v>
      </c>
      <c r="H959" s="398">
        <f t="shared" ref="H959:H971" si="255">F959*E959</f>
        <v>117000</v>
      </c>
      <c r="I959" s="399"/>
      <c r="J959" s="411" t="s">
        <v>21</v>
      </c>
      <c r="K959" s="411" t="s">
        <v>127</v>
      </c>
      <c r="L959" s="411" t="s">
        <v>112</v>
      </c>
      <c r="M959" s="411" t="s">
        <v>32</v>
      </c>
      <c r="N959" s="460"/>
      <c r="P959" s="417"/>
    </row>
    <row r="960" spans="1:17" s="416" customFormat="1" ht="14" outlineLevel="4">
      <c r="A960" s="400" t="s">
        <v>8</v>
      </c>
      <c r="B960" s="415" t="s">
        <v>1419</v>
      </c>
      <c r="C960" s="397" t="s">
        <v>166</v>
      </c>
      <c r="D960" s="10">
        <v>260</v>
      </c>
      <c r="E960" s="10">
        <v>360</v>
      </c>
      <c r="F960" s="10">
        <v>16</v>
      </c>
      <c r="G960" s="402">
        <f t="shared" si="254"/>
        <v>4160</v>
      </c>
      <c r="H960" s="398">
        <f t="shared" si="255"/>
        <v>5760</v>
      </c>
      <c r="I960" s="399"/>
      <c r="J960" s="411" t="s">
        <v>21</v>
      </c>
      <c r="K960" s="411" t="s">
        <v>127</v>
      </c>
      <c r="L960" s="411" t="s">
        <v>112</v>
      </c>
      <c r="M960" s="411" t="s">
        <v>32</v>
      </c>
      <c r="N960" s="460"/>
      <c r="P960" s="417"/>
    </row>
    <row r="961" spans="1:16" s="416" customFormat="1" ht="14" outlineLevel="4">
      <c r="A961" s="400" t="s">
        <v>8</v>
      </c>
      <c r="B961" s="415" t="s">
        <v>1092</v>
      </c>
      <c r="C961" s="397" t="s">
        <v>166</v>
      </c>
      <c r="D961" s="398"/>
      <c r="E961" s="398"/>
      <c r="F961" s="398"/>
      <c r="G961" s="402">
        <f t="shared" si="254"/>
        <v>0</v>
      </c>
      <c r="H961" s="398">
        <f t="shared" si="255"/>
        <v>0</v>
      </c>
      <c r="I961" s="399"/>
      <c r="J961" s="411" t="s">
        <v>21</v>
      </c>
      <c r="K961" s="411" t="s">
        <v>127</v>
      </c>
      <c r="L961" s="411" t="s">
        <v>112</v>
      </c>
      <c r="M961" s="411" t="s">
        <v>32</v>
      </c>
      <c r="N961" s="460"/>
      <c r="P961" s="417"/>
    </row>
    <row r="962" spans="1:16" s="416" customFormat="1" ht="14" outlineLevel="4">
      <c r="A962" s="400" t="s">
        <v>8</v>
      </c>
      <c r="B962" s="415" t="s">
        <v>1093</v>
      </c>
      <c r="C962" s="397" t="s">
        <v>166</v>
      </c>
      <c r="D962" s="398"/>
      <c r="E962" s="398"/>
      <c r="F962" s="398"/>
      <c r="G962" s="398">
        <f t="shared" si="254"/>
        <v>0</v>
      </c>
      <c r="H962" s="398">
        <f t="shared" si="255"/>
        <v>0</v>
      </c>
      <c r="I962" s="399"/>
      <c r="J962" s="411" t="s">
        <v>21</v>
      </c>
      <c r="K962" s="411" t="s">
        <v>127</v>
      </c>
      <c r="L962" s="411" t="s">
        <v>112</v>
      </c>
      <c r="M962" s="411" t="s">
        <v>32</v>
      </c>
      <c r="N962" s="460"/>
      <c r="P962" s="417"/>
    </row>
    <row r="963" spans="1:16" s="416" customFormat="1" ht="14" outlineLevel="4">
      <c r="A963" s="400" t="s">
        <v>8</v>
      </c>
      <c r="B963" s="415" t="s">
        <v>1094</v>
      </c>
      <c r="C963" s="397" t="s">
        <v>166</v>
      </c>
      <c r="D963" s="398"/>
      <c r="E963" s="398"/>
      <c r="F963" s="398"/>
      <c r="G963" s="398">
        <f t="shared" si="254"/>
        <v>0</v>
      </c>
      <c r="H963" s="398">
        <f t="shared" si="255"/>
        <v>0</v>
      </c>
      <c r="I963" s="399"/>
      <c r="J963" s="411" t="s">
        <v>21</v>
      </c>
      <c r="K963" s="411" t="s">
        <v>127</v>
      </c>
      <c r="L963" s="411" t="s">
        <v>112</v>
      </c>
      <c r="M963" s="411" t="s">
        <v>32</v>
      </c>
      <c r="N963" s="460"/>
      <c r="P963" s="417"/>
    </row>
    <row r="964" spans="1:16" s="416" customFormat="1" ht="14" outlineLevel="4">
      <c r="A964" s="400" t="s">
        <v>8</v>
      </c>
      <c r="B964" s="415" t="s">
        <v>1020</v>
      </c>
      <c r="C964" s="397" t="s">
        <v>166</v>
      </c>
      <c r="D964" s="398"/>
      <c r="E964" s="398"/>
      <c r="F964" s="398"/>
      <c r="G964" s="398">
        <f t="shared" si="254"/>
        <v>0</v>
      </c>
      <c r="H964" s="398">
        <f t="shared" si="255"/>
        <v>0</v>
      </c>
      <c r="I964" s="399"/>
      <c r="J964" s="411" t="s">
        <v>21</v>
      </c>
      <c r="K964" s="411" t="s">
        <v>127</v>
      </c>
      <c r="L964" s="411" t="s">
        <v>112</v>
      </c>
      <c r="M964" s="411" t="s">
        <v>32</v>
      </c>
      <c r="N964" s="460"/>
      <c r="P964" s="417"/>
    </row>
    <row r="965" spans="1:16" s="416" customFormat="1" ht="14" outlineLevel="4">
      <c r="A965" s="400" t="s">
        <v>8</v>
      </c>
      <c r="B965" s="415" t="s">
        <v>1021</v>
      </c>
      <c r="C965" s="397" t="s">
        <v>166</v>
      </c>
      <c r="D965" s="398"/>
      <c r="E965" s="398"/>
      <c r="F965" s="398"/>
      <c r="G965" s="398">
        <f t="shared" si="254"/>
        <v>0</v>
      </c>
      <c r="H965" s="398">
        <f t="shared" si="255"/>
        <v>0</v>
      </c>
      <c r="I965" s="399"/>
      <c r="J965" s="411" t="s">
        <v>21</v>
      </c>
      <c r="K965" s="411" t="s">
        <v>127</v>
      </c>
      <c r="L965" s="411" t="s">
        <v>112</v>
      </c>
      <c r="M965" s="411" t="s">
        <v>32</v>
      </c>
      <c r="N965" s="460"/>
      <c r="P965" s="417"/>
    </row>
    <row r="966" spans="1:16" s="416" customFormat="1" ht="14" outlineLevel="4">
      <c r="A966" s="400" t="s">
        <v>8</v>
      </c>
      <c r="B966" s="415" t="s">
        <v>1022</v>
      </c>
      <c r="C966" s="397" t="s">
        <v>166</v>
      </c>
      <c r="D966" s="398"/>
      <c r="E966" s="398"/>
      <c r="F966" s="398"/>
      <c r="G966" s="398">
        <f t="shared" si="254"/>
        <v>0</v>
      </c>
      <c r="H966" s="398">
        <f t="shared" si="255"/>
        <v>0</v>
      </c>
      <c r="I966" s="399"/>
      <c r="J966" s="411" t="s">
        <v>21</v>
      </c>
      <c r="K966" s="411" t="s">
        <v>127</v>
      </c>
      <c r="L966" s="411" t="s">
        <v>112</v>
      </c>
      <c r="M966" s="411" t="s">
        <v>32</v>
      </c>
      <c r="N966" s="460"/>
      <c r="P966" s="417"/>
    </row>
    <row r="967" spans="1:16" s="416" customFormat="1" ht="14" outlineLevel="4">
      <c r="A967" s="400" t="s">
        <v>8</v>
      </c>
      <c r="B967" s="415" t="s">
        <v>1099</v>
      </c>
      <c r="C967" s="397" t="s">
        <v>166</v>
      </c>
      <c r="D967" s="398"/>
      <c r="E967" s="398"/>
      <c r="F967" s="398"/>
      <c r="G967" s="398">
        <f t="shared" si="254"/>
        <v>0</v>
      </c>
      <c r="H967" s="398">
        <f t="shared" si="255"/>
        <v>0</v>
      </c>
      <c r="I967" s="399"/>
      <c r="J967" s="411" t="s">
        <v>21</v>
      </c>
      <c r="K967" s="411" t="s">
        <v>127</v>
      </c>
      <c r="L967" s="411" t="s">
        <v>112</v>
      </c>
      <c r="M967" s="411" t="s">
        <v>32</v>
      </c>
      <c r="N967" s="460"/>
      <c r="P967" s="417"/>
    </row>
    <row r="968" spans="1:16" s="416" customFormat="1" ht="14" outlineLevel="4">
      <c r="A968" s="400" t="s">
        <v>8</v>
      </c>
      <c r="B968" s="415" t="s">
        <v>1100</v>
      </c>
      <c r="C968" s="397" t="s">
        <v>166</v>
      </c>
      <c r="D968" s="398"/>
      <c r="E968" s="398"/>
      <c r="F968" s="398"/>
      <c r="G968" s="398">
        <f t="shared" si="254"/>
        <v>0</v>
      </c>
      <c r="H968" s="398">
        <f t="shared" si="255"/>
        <v>0</v>
      </c>
      <c r="I968" s="399"/>
      <c r="J968" s="411" t="s">
        <v>21</v>
      </c>
      <c r="K968" s="411" t="s">
        <v>127</v>
      </c>
      <c r="L968" s="411" t="s">
        <v>112</v>
      </c>
      <c r="M968" s="411" t="s">
        <v>32</v>
      </c>
      <c r="N968" s="460"/>
      <c r="P968" s="417"/>
    </row>
    <row r="969" spans="1:16" s="416" customFormat="1" ht="14" outlineLevel="4">
      <c r="A969" s="400" t="s">
        <v>8</v>
      </c>
      <c r="B969" s="415" t="s">
        <v>1101</v>
      </c>
      <c r="C969" s="397" t="s">
        <v>166</v>
      </c>
      <c r="D969" s="398"/>
      <c r="E969" s="398"/>
      <c r="F969" s="398"/>
      <c r="G969" s="398">
        <f t="shared" si="254"/>
        <v>0</v>
      </c>
      <c r="H969" s="398">
        <f t="shared" si="255"/>
        <v>0</v>
      </c>
      <c r="I969" s="399"/>
      <c r="J969" s="411" t="s">
        <v>21</v>
      </c>
      <c r="K969" s="411" t="s">
        <v>127</v>
      </c>
      <c r="L969" s="411" t="s">
        <v>112</v>
      </c>
      <c r="M969" s="411" t="s">
        <v>32</v>
      </c>
      <c r="N969" s="460"/>
      <c r="P969" s="417"/>
    </row>
    <row r="970" spans="1:16" s="416" customFormat="1" ht="14" outlineLevel="4">
      <c r="A970" s="400" t="s">
        <v>8</v>
      </c>
      <c r="B970" s="415" t="s">
        <v>1102</v>
      </c>
      <c r="C970" s="397" t="s">
        <v>166</v>
      </c>
      <c r="D970" s="398"/>
      <c r="E970" s="398"/>
      <c r="F970" s="398"/>
      <c r="G970" s="398">
        <f t="shared" si="254"/>
        <v>0</v>
      </c>
      <c r="H970" s="398">
        <f t="shared" si="255"/>
        <v>0</v>
      </c>
      <c r="I970" s="399"/>
      <c r="J970" s="411" t="s">
        <v>21</v>
      </c>
      <c r="K970" s="411" t="s">
        <v>127</v>
      </c>
      <c r="L970" s="411" t="s">
        <v>112</v>
      </c>
      <c r="M970" s="411" t="s">
        <v>32</v>
      </c>
      <c r="N970" s="460"/>
      <c r="P970" s="417"/>
    </row>
    <row r="971" spans="1:16" s="416" customFormat="1" ht="14" outlineLevel="4">
      <c r="A971" s="400" t="s">
        <v>8</v>
      </c>
      <c r="B971" s="415" t="s">
        <v>1032</v>
      </c>
      <c r="C971" s="397" t="s">
        <v>1064</v>
      </c>
      <c r="D971" s="398"/>
      <c r="E971" s="398"/>
      <c r="F971" s="398"/>
      <c r="G971" s="398">
        <f t="shared" si="254"/>
        <v>0</v>
      </c>
      <c r="H971" s="398">
        <f t="shared" si="255"/>
        <v>0</v>
      </c>
      <c r="I971" s="399"/>
      <c r="J971" s="411" t="s">
        <v>21</v>
      </c>
      <c r="K971" s="411" t="s">
        <v>127</v>
      </c>
      <c r="L971" s="411" t="s">
        <v>112</v>
      </c>
      <c r="M971" s="411" t="s">
        <v>32</v>
      </c>
      <c r="N971" s="460"/>
      <c r="P971" s="417"/>
    </row>
    <row r="972" spans="1:16" s="413" customFormat="1" ht="14" outlineLevel="3">
      <c r="A972" s="388">
        <v>4.2</v>
      </c>
      <c r="B972" s="532" t="s">
        <v>1033</v>
      </c>
      <c r="C972" s="549"/>
      <c r="D972" s="479"/>
      <c r="E972" s="479"/>
      <c r="F972" s="479"/>
      <c r="G972" s="479">
        <f>SUBTOTAL(9,G973:G982)</f>
        <v>0</v>
      </c>
      <c r="H972" s="479">
        <f>F972*E972</f>
        <v>0</v>
      </c>
      <c r="I972" s="561"/>
      <c r="J972" s="411"/>
      <c r="K972" s="411"/>
      <c r="L972" s="411"/>
      <c r="M972" s="412"/>
      <c r="N972" s="412"/>
      <c r="P972" s="414"/>
    </row>
    <row r="973" spans="1:16" s="416" customFormat="1" ht="14" outlineLevel="4">
      <c r="A973" s="400" t="s">
        <v>8</v>
      </c>
      <c r="B973" s="415" t="s">
        <v>1104</v>
      </c>
      <c r="C973" s="397" t="s">
        <v>1063</v>
      </c>
      <c r="D973" s="398"/>
      <c r="E973" s="398"/>
      <c r="F973" s="398"/>
      <c r="G973" s="398">
        <f t="shared" ref="G973:G985" si="256">F973*D973</f>
        <v>0</v>
      </c>
      <c r="H973" s="398">
        <f t="shared" ref="H973:H982" si="257">F973*E973</f>
        <v>0</v>
      </c>
      <c r="I973" s="399"/>
      <c r="J973" s="411" t="s">
        <v>21</v>
      </c>
      <c r="K973" s="411" t="s">
        <v>127</v>
      </c>
      <c r="L973" s="411" t="s">
        <v>112</v>
      </c>
      <c r="M973" s="411" t="s">
        <v>32</v>
      </c>
      <c r="N973" s="460"/>
      <c r="P973" s="417"/>
    </row>
    <row r="974" spans="1:16" s="416" customFormat="1" ht="14" outlineLevel="4">
      <c r="A974" s="400" t="s">
        <v>8</v>
      </c>
      <c r="B974" s="415" t="s">
        <v>1105</v>
      </c>
      <c r="C974" s="397" t="s">
        <v>166</v>
      </c>
      <c r="D974" s="398"/>
      <c r="E974" s="398"/>
      <c r="F974" s="398"/>
      <c r="G974" s="398">
        <f t="shared" si="256"/>
        <v>0</v>
      </c>
      <c r="H974" s="398">
        <f t="shared" si="257"/>
        <v>0</v>
      </c>
      <c r="I974" s="399"/>
      <c r="J974" s="411" t="s">
        <v>21</v>
      </c>
      <c r="K974" s="411" t="s">
        <v>127</v>
      </c>
      <c r="L974" s="411" t="s">
        <v>112</v>
      </c>
      <c r="M974" s="411" t="s">
        <v>32</v>
      </c>
      <c r="N974" s="460"/>
      <c r="P974" s="417"/>
    </row>
    <row r="975" spans="1:16" s="416" customFormat="1" ht="14" outlineLevel="4">
      <c r="A975" s="400" t="s">
        <v>8</v>
      </c>
      <c r="B975" s="415" t="s">
        <v>1106</v>
      </c>
      <c r="C975" s="397" t="s">
        <v>166</v>
      </c>
      <c r="D975" s="398"/>
      <c r="E975" s="398"/>
      <c r="F975" s="398"/>
      <c r="G975" s="398">
        <f t="shared" si="256"/>
        <v>0</v>
      </c>
      <c r="H975" s="398">
        <f t="shared" si="257"/>
        <v>0</v>
      </c>
      <c r="I975" s="399"/>
      <c r="J975" s="411" t="s">
        <v>21</v>
      </c>
      <c r="K975" s="411" t="s">
        <v>127</v>
      </c>
      <c r="L975" s="411" t="s">
        <v>112</v>
      </c>
      <c r="M975" s="411" t="s">
        <v>32</v>
      </c>
      <c r="N975" s="460"/>
      <c r="P975" s="417"/>
    </row>
    <row r="976" spans="1:16" s="416" customFormat="1" ht="14" outlineLevel="4">
      <c r="A976" s="400" t="s">
        <v>8</v>
      </c>
      <c r="B976" s="415" t="s">
        <v>1107</v>
      </c>
      <c r="C976" s="397" t="s">
        <v>166</v>
      </c>
      <c r="D976" s="398"/>
      <c r="E976" s="398"/>
      <c r="F976" s="398"/>
      <c r="G976" s="398">
        <f t="shared" si="256"/>
        <v>0</v>
      </c>
      <c r="H976" s="398">
        <f t="shared" si="257"/>
        <v>0</v>
      </c>
      <c r="I976" s="399"/>
      <c r="J976" s="411" t="s">
        <v>21</v>
      </c>
      <c r="K976" s="411" t="s">
        <v>127</v>
      </c>
      <c r="L976" s="411" t="s">
        <v>112</v>
      </c>
      <c r="M976" s="411" t="s">
        <v>32</v>
      </c>
      <c r="N976" s="460"/>
      <c r="P976" s="417"/>
    </row>
    <row r="977" spans="1:17" s="416" customFormat="1" ht="14" outlineLevel="4">
      <c r="A977" s="400" t="s">
        <v>8</v>
      </c>
      <c r="B977" s="415" t="s">
        <v>1108</v>
      </c>
      <c r="C977" s="397" t="s">
        <v>166</v>
      </c>
      <c r="D977" s="398"/>
      <c r="E977" s="398"/>
      <c r="F977" s="398"/>
      <c r="G977" s="398">
        <f t="shared" si="256"/>
        <v>0</v>
      </c>
      <c r="H977" s="398">
        <f t="shared" si="257"/>
        <v>0</v>
      </c>
      <c r="I977" s="399"/>
      <c r="J977" s="411" t="s">
        <v>21</v>
      </c>
      <c r="K977" s="411" t="s">
        <v>127</v>
      </c>
      <c r="L977" s="411" t="s">
        <v>112</v>
      </c>
      <c r="M977" s="411" t="s">
        <v>32</v>
      </c>
      <c r="N977" s="460"/>
      <c r="P977" s="417"/>
    </row>
    <row r="978" spans="1:17" s="416" customFormat="1" ht="14" outlineLevel="4">
      <c r="A978" s="400" t="s">
        <v>8</v>
      </c>
      <c r="B978" s="415" t="s">
        <v>1035</v>
      </c>
      <c r="C978" s="397" t="s">
        <v>166</v>
      </c>
      <c r="D978" s="398"/>
      <c r="E978" s="398"/>
      <c r="F978" s="398"/>
      <c r="G978" s="398">
        <f t="shared" si="256"/>
        <v>0</v>
      </c>
      <c r="H978" s="398">
        <f t="shared" si="257"/>
        <v>0</v>
      </c>
      <c r="I978" s="399"/>
      <c r="J978" s="411" t="s">
        <v>21</v>
      </c>
      <c r="K978" s="411" t="s">
        <v>127</v>
      </c>
      <c r="L978" s="411" t="s">
        <v>112</v>
      </c>
      <c r="M978" s="411" t="s">
        <v>32</v>
      </c>
      <c r="N978" s="460"/>
      <c r="P978" s="417"/>
    </row>
    <row r="979" spans="1:17" s="416" customFormat="1" ht="14" outlineLevel="4">
      <c r="A979" s="400" t="s">
        <v>8</v>
      </c>
      <c r="B979" s="415" t="s">
        <v>1111</v>
      </c>
      <c r="C979" s="397" t="s">
        <v>166</v>
      </c>
      <c r="D979" s="398"/>
      <c r="E979" s="398"/>
      <c r="F979" s="398"/>
      <c r="G979" s="398">
        <f>F979*D979</f>
        <v>0</v>
      </c>
      <c r="H979" s="398">
        <f t="shared" si="257"/>
        <v>0</v>
      </c>
      <c r="I979" s="399"/>
      <c r="J979" s="411" t="s">
        <v>21</v>
      </c>
      <c r="K979" s="411" t="s">
        <v>127</v>
      </c>
      <c r="L979" s="411" t="s">
        <v>112</v>
      </c>
      <c r="M979" s="411" t="s">
        <v>32</v>
      </c>
      <c r="N979" s="460"/>
      <c r="P979" s="417"/>
    </row>
    <row r="980" spans="1:17" s="416" customFormat="1" ht="14" outlineLevel="4">
      <c r="A980" s="400" t="s">
        <v>8</v>
      </c>
      <c r="B980" s="415" t="s">
        <v>1038</v>
      </c>
      <c r="C980" s="397" t="s">
        <v>166</v>
      </c>
      <c r="D980" s="398"/>
      <c r="E980" s="398"/>
      <c r="F980" s="398"/>
      <c r="G980" s="398">
        <f t="shared" si="256"/>
        <v>0</v>
      </c>
      <c r="H980" s="398">
        <f t="shared" si="257"/>
        <v>0</v>
      </c>
      <c r="I980" s="399"/>
      <c r="J980" s="411" t="s">
        <v>21</v>
      </c>
      <c r="K980" s="411" t="s">
        <v>127</v>
      </c>
      <c r="L980" s="411" t="s">
        <v>112</v>
      </c>
      <c r="M980" s="411" t="s">
        <v>32</v>
      </c>
      <c r="N980" s="460"/>
      <c r="P980" s="417"/>
    </row>
    <row r="981" spans="1:17" s="416" customFormat="1" ht="14" outlineLevel="4">
      <c r="A981" s="400" t="s">
        <v>8</v>
      </c>
      <c r="B981" s="415" t="s">
        <v>1039</v>
      </c>
      <c r="C981" s="397" t="s">
        <v>166</v>
      </c>
      <c r="D981" s="398"/>
      <c r="E981" s="398"/>
      <c r="F981" s="398"/>
      <c r="G981" s="398">
        <f t="shared" si="256"/>
        <v>0</v>
      </c>
      <c r="H981" s="398">
        <f t="shared" si="257"/>
        <v>0</v>
      </c>
      <c r="I981" s="399"/>
      <c r="J981" s="411" t="s">
        <v>21</v>
      </c>
      <c r="K981" s="411" t="s">
        <v>127</v>
      </c>
      <c r="L981" s="411" t="s">
        <v>112</v>
      </c>
      <c r="M981" s="411" t="s">
        <v>32</v>
      </c>
      <c r="N981" s="460"/>
      <c r="P981" s="417"/>
    </row>
    <row r="982" spans="1:17" s="416" customFormat="1" ht="14" outlineLevel="4">
      <c r="A982" s="400" t="s">
        <v>8</v>
      </c>
      <c r="B982" s="415" t="s">
        <v>1032</v>
      </c>
      <c r="C982" s="397" t="s">
        <v>1064</v>
      </c>
      <c r="D982" s="398"/>
      <c r="E982" s="398"/>
      <c r="F982" s="398"/>
      <c r="G982" s="398">
        <f t="shared" si="256"/>
        <v>0</v>
      </c>
      <c r="H982" s="398">
        <f t="shared" si="257"/>
        <v>0</v>
      </c>
      <c r="I982" s="399"/>
      <c r="J982" s="411" t="s">
        <v>21</v>
      </c>
      <c r="K982" s="411" t="s">
        <v>127</v>
      </c>
      <c r="L982" s="411" t="s">
        <v>112</v>
      </c>
      <c r="M982" s="411" t="s">
        <v>32</v>
      </c>
      <c r="N982" s="460"/>
      <c r="P982" s="417"/>
    </row>
    <row r="983" spans="1:17" s="413" customFormat="1" ht="14" outlineLevel="3">
      <c r="A983" s="388">
        <v>5</v>
      </c>
      <c r="B983" s="532" t="s">
        <v>1116</v>
      </c>
      <c r="C983" s="549"/>
      <c r="D983" s="479"/>
      <c r="E983" s="479"/>
      <c r="F983" s="479"/>
      <c r="G983" s="479">
        <f>SUBTOTAL(9,G984:G985)</f>
        <v>0</v>
      </c>
      <c r="H983" s="479">
        <f>SUBTOTAL(9,H984:H985)</f>
        <v>0</v>
      </c>
      <c r="I983" s="561"/>
      <c r="J983" s="411"/>
      <c r="K983" s="411"/>
      <c r="L983" s="411"/>
      <c r="M983" s="412"/>
      <c r="N983" s="412"/>
      <c r="P983" s="414"/>
    </row>
    <row r="984" spans="1:17" s="416" customFormat="1" ht="14" outlineLevel="4">
      <c r="A984" s="400" t="s">
        <v>8</v>
      </c>
      <c r="B984" s="415" t="s">
        <v>1117</v>
      </c>
      <c r="C984" s="397" t="s">
        <v>33</v>
      </c>
      <c r="D984" s="398"/>
      <c r="E984" s="398"/>
      <c r="F984" s="398"/>
      <c r="G984" s="398">
        <f t="shared" si="256"/>
        <v>0</v>
      </c>
      <c r="H984" s="398">
        <f t="shared" ref="H984:H985" si="258">F984*E984</f>
        <v>0</v>
      </c>
      <c r="I984" s="399"/>
      <c r="J984" s="411" t="s">
        <v>21</v>
      </c>
      <c r="K984" s="411" t="s">
        <v>127</v>
      </c>
      <c r="L984" s="411" t="s">
        <v>112</v>
      </c>
      <c r="M984" s="411" t="s">
        <v>32</v>
      </c>
      <c r="N984" s="460"/>
      <c r="P984" s="417"/>
    </row>
    <row r="985" spans="1:17" s="416" customFormat="1" ht="14" outlineLevel="4">
      <c r="A985" s="400" t="s">
        <v>8</v>
      </c>
      <c r="B985" s="415" t="s">
        <v>1118</v>
      </c>
      <c r="C985" s="397" t="s">
        <v>33</v>
      </c>
      <c r="D985" s="398"/>
      <c r="E985" s="398"/>
      <c r="F985" s="398"/>
      <c r="G985" s="398">
        <f t="shared" si="256"/>
        <v>0</v>
      </c>
      <c r="H985" s="398">
        <f t="shared" si="258"/>
        <v>0</v>
      </c>
      <c r="I985" s="399"/>
      <c r="J985" s="411" t="s">
        <v>21</v>
      </c>
      <c r="K985" s="411" t="s">
        <v>127</v>
      </c>
      <c r="L985" s="411" t="s">
        <v>112</v>
      </c>
      <c r="M985" s="411" t="s">
        <v>32</v>
      </c>
      <c r="N985" s="460"/>
      <c r="P985" s="417"/>
    </row>
    <row r="986" spans="1:17" s="413" customFormat="1" ht="13.75" customHeight="1" outlineLevel="1">
      <c r="A986" s="388" t="s">
        <v>1115</v>
      </c>
      <c r="B986" s="350" t="s">
        <v>912</v>
      </c>
      <c r="C986" s="390"/>
      <c r="D986" s="391"/>
      <c r="E986" s="391"/>
      <c r="F986" s="391"/>
      <c r="G986" s="391">
        <f>SUBTOTAL(9,G987:G1030)</f>
        <v>35300</v>
      </c>
      <c r="H986" s="391">
        <f>SUBTOTAL(9,H987:H1030)</f>
        <v>31064</v>
      </c>
      <c r="I986" s="392"/>
      <c r="J986" s="410"/>
      <c r="K986" s="411"/>
      <c r="L986" s="411"/>
      <c r="M986" s="411" t="s">
        <v>165</v>
      </c>
      <c r="N986" s="412"/>
      <c r="P986" s="414"/>
    </row>
    <row r="987" spans="1:17" s="413" customFormat="1" ht="14" outlineLevel="2">
      <c r="A987" s="388">
        <v>1</v>
      </c>
      <c r="B987" s="350" t="s">
        <v>913</v>
      </c>
      <c r="C987" s="397"/>
      <c r="D987" s="398"/>
      <c r="E987" s="398"/>
      <c r="F987" s="398"/>
      <c r="G987" s="391">
        <f>SUBTOTAL(9,G988:G998)</f>
        <v>0</v>
      </c>
      <c r="H987" s="391">
        <f>SUBTOTAL(9,H988:H998)</f>
        <v>0</v>
      </c>
      <c r="I987" s="392"/>
      <c r="J987" s="410"/>
      <c r="K987" s="411"/>
      <c r="L987" s="411"/>
      <c r="M987" s="411" t="s">
        <v>165</v>
      </c>
      <c r="N987" s="412"/>
      <c r="P987" s="414"/>
      <c r="Q987" s="556" t="s">
        <v>165</v>
      </c>
    </row>
    <row r="988" spans="1:17" s="416" customFormat="1" ht="14" outlineLevel="3">
      <c r="A988" s="400" t="s">
        <v>8</v>
      </c>
      <c r="B988" s="415" t="s">
        <v>53</v>
      </c>
      <c r="C988" s="397"/>
      <c r="D988" s="398"/>
      <c r="E988" s="398"/>
      <c r="F988" s="398"/>
      <c r="G988" s="398">
        <f t="shared" ref="G988:G998" si="259">F988*D988</f>
        <v>0</v>
      </c>
      <c r="H988" s="398">
        <f t="shared" ref="H988:H998" si="260">F988*E988</f>
        <v>0</v>
      </c>
      <c r="I988" s="399"/>
      <c r="J988" s="410" t="s">
        <v>21</v>
      </c>
      <c r="K988" s="411" t="s">
        <v>93</v>
      </c>
      <c r="L988" s="411" t="s">
        <v>112</v>
      </c>
      <c r="M988" s="411" t="s">
        <v>165</v>
      </c>
      <c r="N988" s="411"/>
      <c r="P988" s="417"/>
      <c r="Q988" s="556" t="s">
        <v>165</v>
      </c>
    </row>
    <row r="989" spans="1:17" s="416" customFormat="1" ht="14" outlineLevel="3">
      <c r="A989" s="400" t="s">
        <v>8</v>
      </c>
      <c r="B989" s="557" t="s">
        <v>283</v>
      </c>
      <c r="C989" s="397" t="s">
        <v>25</v>
      </c>
      <c r="D989" s="398"/>
      <c r="E989" s="398"/>
      <c r="F989" s="398"/>
      <c r="G989" s="398">
        <f t="shared" si="259"/>
        <v>0</v>
      </c>
      <c r="H989" s="398">
        <f t="shared" si="260"/>
        <v>0</v>
      </c>
      <c r="I989" s="399"/>
      <c r="J989" s="410" t="s">
        <v>21</v>
      </c>
      <c r="K989" s="411" t="s">
        <v>93</v>
      </c>
      <c r="L989" s="411" t="s">
        <v>112</v>
      </c>
      <c r="M989" s="411" t="s">
        <v>165</v>
      </c>
      <c r="N989" s="460"/>
      <c r="P989" s="417"/>
      <c r="Q989" s="556" t="s">
        <v>165</v>
      </c>
    </row>
    <row r="990" spans="1:17" s="416" customFormat="1" ht="14" outlineLevel="3">
      <c r="A990" s="400" t="s">
        <v>8</v>
      </c>
      <c r="B990" s="557" t="s">
        <v>284</v>
      </c>
      <c r="C990" s="397" t="s">
        <v>25</v>
      </c>
      <c r="D990" s="398"/>
      <c r="E990" s="398"/>
      <c r="F990" s="398"/>
      <c r="G990" s="398">
        <f t="shared" si="259"/>
        <v>0</v>
      </c>
      <c r="H990" s="398">
        <f t="shared" si="260"/>
        <v>0</v>
      </c>
      <c r="I990" s="399"/>
      <c r="J990" s="410" t="s">
        <v>21</v>
      </c>
      <c r="K990" s="411" t="s">
        <v>93</v>
      </c>
      <c r="L990" s="411" t="s">
        <v>112</v>
      </c>
      <c r="M990" s="411" t="s">
        <v>165</v>
      </c>
      <c r="N990" s="460"/>
      <c r="P990" s="417"/>
      <c r="Q990" s="556" t="s">
        <v>165</v>
      </c>
    </row>
    <row r="991" spans="1:17" s="416" customFormat="1" ht="14" outlineLevel="3">
      <c r="A991" s="400" t="s">
        <v>8</v>
      </c>
      <c r="B991" s="557" t="s">
        <v>48</v>
      </c>
      <c r="C991" s="397"/>
      <c r="D991" s="398"/>
      <c r="E991" s="398"/>
      <c r="F991" s="398"/>
      <c r="G991" s="398">
        <f t="shared" si="259"/>
        <v>0</v>
      </c>
      <c r="H991" s="398">
        <f t="shared" si="260"/>
        <v>0</v>
      </c>
      <c r="I991" s="399"/>
      <c r="J991" s="410" t="s">
        <v>21</v>
      </c>
      <c r="K991" s="411" t="s">
        <v>93</v>
      </c>
      <c r="L991" s="411" t="s">
        <v>112</v>
      </c>
      <c r="M991" s="411" t="s">
        <v>165</v>
      </c>
      <c r="N991" s="460"/>
      <c r="P991" s="417"/>
      <c r="Q991" s="556" t="s">
        <v>165</v>
      </c>
    </row>
    <row r="992" spans="1:17" s="416" customFormat="1" ht="14" outlineLevel="3">
      <c r="A992" s="400" t="s">
        <v>8</v>
      </c>
      <c r="B992" s="557" t="s">
        <v>140</v>
      </c>
      <c r="C992" s="397" t="s">
        <v>25</v>
      </c>
      <c r="D992" s="398"/>
      <c r="E992" s="398"/>
      <c r="F992" s="398"/>
      <c r="G992" s="398">
        <f t="shared" si="259"/>
        <v>0</v>
      </c>
      <c r="H992" s="398">
        <f t="shared" si="260"/>
        <v>0</v>
      </c>
      <c r="I992" s="399"/>
      <c r="J992" s="410" t="s">
        <v>21</v>
      </c>
      <c r="K992" s="411" t="s">
        <v>93</v>
      </c>
      <c r="L992" s="411" t="s">
        <v>112</v>
      </c>
      <c r="M992" s="411" t="s">
        <v>165</v>
      </c>
      <c r="N992" s="460"/>
      <c r="P992" s="417"/>
      <c r="Q992" s="556" t="s">
        <v>165</v>
      </c>
    </row>
    <row r="993" spans="1:17" s="416" customFormat="1" ht="14" outlineLevel="3">
      <c r="A993" s="400" t="s">
        <v>8</v>
      </c>
      <c r="B993" s="557" t="s">
        <v>285</v>
      </c>
      <c r="C993" s="397" t="s">
        <v>25</v>
      </c>
      <c r="D993" s="398"/>
      <c r="E993" s="398"/>
      <c r="F993" s="398"/>
      <c r="G993" s="398">
        <f t="shared" si="259"/>
        <v>0</v>
      </c>
      <c r="H993" s="398">
        <f t="shared" si="260"/>
        <v>0</v>
      </c>
      <c r="I993" s="399"/>
      <c r="J993" s="410" t="s">
        <v>21</v>
      </c>
      <c r="K993" s="411" t="s">
        <v>93</v>
      </c>
      <c r="L993" s="411" t="s">
        <v>112</v>
      </c>
      <c r="M993" s="411" t="s">
        <v>165</v>
      </c>
      <c r="N993" s="460"/>
      <c r="P993" s="417"/>
      <c r="Q993" s="556" t="s">
        <v>165</v>
      </c>
    </row>
    <row r="994" spans="1:17" s="416" customFormat="1" ht="14" outlineLevel="3">
      <c r="A994" s="400" t="s">
        <v>8</v>
      </c>
      <c r="B994" s="558" t="s">
        <v>905</v>
      </c>
      <c r="C994" s="397" t="s">
        <v>25</v>
      </c>
      <c r="D994" s="398"/>
      <c r="E994" s="398"/>
      <c r="F994" s="330"/>
      <c r="G994" s="398">
        <f t="shared" si="259"/>
        <v>0</v>
      </c>
      <c r="H994" s="398">
        <f t="shared" si="260"/>
        <v>0</v>
      </c>
      <c r="I994" s="399"/>
      <c r="J994" s="410" t="s">
        <v>21</v>
      </c>
      <c r="K994" s="411" t="s">
        <v>93</v>
      </c>
      <c r="L994" s="411" t="s">
        <v>112</v>
      </c>
      <c r="M994" s="411" t="s">
        <v>165</v>
      </c>
      <c r="N994" s="460"/>
      <c r="P994" s="417"/>
      <c r="Q994" s="556" t="s">
        <v>165</v>
      </c>
    </row>
    <row r="995" spans="1:17" s="416" customFormat="1" ht="14" outlineLevel="3">
      <c r="A995" s="400" t="s">
        <v>8</v>
      </c>
      <c r="B995" s="557" t="s">
        <v>286</v>
      </c>
      <c r="C995" s="397" t="s">
        <v>25</v>
      </c>
      <c r="D995" s="398"/>
      <c r="E995" s="398"/>
      <c r="F995" s="398"/>
      <c r="G995" s="398">
        <f t="shared" si="259"/>
        <v>0</v>
      </c>
      <c r="H995" s="398">
        <f t="shared" si="260"/>
        <v>0</v>
      </c>
      <c r="I995" s="399"/>
      <c r="J995" s="410" t="s">
        <v>21</v>
      </c>
      <c r="K995" s="411" t="s">
        <v>93</v>
      </c>
      <c r="L995" s="411" t="s">
        <v>112</v>
      </c>
      <c r="M995" s="411" t="s">
        <v>165</v>
      </c>
      <c r="N995" s="460"/>
      <c r="P995" s="417"/>
      <c r="Q995" s="556" t="s">
        <v>165</v>
      </c>
    </row>
    <row r="996" spans="1:17" s="416" customFormat="1" ht="14" outlineLevel="3">
      <c r="A996" s="400" t="s">
        <v>8</v>
      </c>
      <c r="B996" s="557" t="s">
        <v>287</v>
      </c>
      <c r="C996" s="397" t="s">
        <v>25</v>
      </c>
      <c r="D996" s="398"/>
      <c r="E996" s="398"/>
      <c r="F996" s="398"/>
      <c r="G996" s="398">
        <f t="shared" si="259"/>
        <v>0</v>
      </c>
      <c r="H996" s="398">
        <f t="shared" si="260"/>
        <v>0</v>
      </c>
      <c r="I996" s="399"/>
      <c r="J996" s="410" t="s">
        <v>21</v>
      </c>
      <c r="K996" s="411" t="s">
        <v>93</v>
      </c>
      <c r="L996" s="411" t="s">
        <v>112</v>
      </c>
      <c r="M996" s="411" t="s">
        <v>165</v>
      </c>
      <c r="N996" s="460"/>
      <c r="P996" s="417"/>
      <c r="Q996" s="556" t="s">
        <v>165</v>
      </c>
    </row>
    <row r="997" spans="1:17" s="416" customFormat="1" ht="14" outlineLevel="3">
      <c r="A997" s="400" t="s">
        <v>8</v>
      </c>
      <c r="B997" s="557" t="s">
        <v>288</v>
      </c>
      <c r="C997" s="397" t="s">
        <v>25</v>
      </c>
      <c r="D997" s="398"/>
      <c r="E997" s="398"/>
      <c r="F997" s="398"/>
      <c r="G997" s="398">
        <f t="shared" si="259"/>
        <v>0</v>
      </c>
      <c r="H997" s="398">
        <f t="shared" si="260"/>
        <v>0</v>
      </c>
      <c r="I997" s="399"/>
      <c r="J997" s="410" t="s">
        <v>21</v>
      </c>
      <c r="K997" s="411" t="s">
        <v>93</v>
      </c>
      <c r="L997" s="411" t="s">
        <v>112</v>
      </c>
      <c r="M997" s="411" t="s">
        <v>165</v>
      </c>
      <c r="N997" s="460"/>
      <c r="P997" s="417"/>
      <c r="Q997" s="556" t="s">
        <v>165</v>
      </c>
    </row>
    <row r="998" spans="1:17" s="416" customFormat="1" ht="14" outlineLevel="3">
      <c r="A998" s="400" t="s">
        <v>8</v>
      </c>
      <c r="B998" s="557" t="s">
        <v>289</v>
      </c>
      <c r="C998" s="397" t="s">
        <v>25</v>
      </c>
      <c r="D998" s="398"/>
      <c r="E998" s="398"/>
      <c r="F998" s="398"/>
      <c r="G998" s="398">
        <f t="shared" si="259"/>
        <v>0</v>
      </c>
      <c r="H998" s="398">
        <f t="shared" si="260"/>
        <v>0</v>
      </c>
      <c r="I998" s="399"/>
      <c r="J998" s="410" t="s">
        <v>21</v>
      </c>
      <c r="K998" s="411" t="s">
        <v>93</v>
      </c>
      <c r="L998" s="411" t="s">
        <v>112</v>
      </c>
      <c r="M998" s="411" t="s">
        <v>165</v>
      </c>
      <c r="N998" s="460"/>
      <c r="P998" s="417"/>
      <c r="Q998" s="556" t="s">
        <v>165</v>
      </c>
    </row>
    <row r="999" spans="1:17" s="413" customFormat="1" ht="14" outlineLevel="2">
      <c r="A999" s="388">
        <v>2</v>
      </c>
      <c r="B999" s="350" t="s">
        <v>907</v>
      </c>
      <c r="C999" s="397"/>
      <c r="D999" s="398"/>
      <c r="E999" s="398"/>
      <c r="F999" s="398"/>
      <c r="G999" s="391">
        <f>SUBTOTAL(9,G1000)</f>
        <v>0</v>
      </c>
      <c r="H999" s="391">
        <f>SUBTOTAL(9,H1000)</f>
        <v>0</v>
      </c>
      <c r="I999" s="392"/>
      <c r="J999" s="410"/>
      <c r="K999" s="411"/>
      <c r="L999" s="411"/>
      <c r="M999" s="411" t="s">
        <v>165</v>
      </c>
      <c r="N999" s="412"/>
      <c r="P999" s="414"/>
      <c r="Q999" s="556" t="s">
        <v>165</v>
      </c>
    </row>
    <row r="1000" spans="1:17" s="416" customFormat="1" ht="14" outlineLevel="3">
      <c r="A1000" s="400" t="s">
        <v>8</v>
      </c>
      <c r="B1000" s="559" t="s">
        <v>907</v>
      </c>
      <c r="C1000" s="397" t="s">
        <v>908</v>
      </c>
      <c r="D1000" s="398"/>
      <c r="E1000" s="398"/>
      <c r="F1000" s="398"/>
      <c r="G1000" s="398">
        <f>F1000*D1000</f>
        <v>0</v>
      </c>
      <c r="H1000" s="398">
        <f>F1000*E1000</f>
        <v>0</v>
      </c>
      <c r="I1000" s="399"/>
      <c r="J1000" s="410" t="s">
        <v>21</v>
      </c>
      <c r="K1000" s="411" t="s">
        <v>93</v>
      </c>
      <c r="L1000" s="411" t="s">
        <v>112</v>
      </c>
      <c r="M1000" s="411" t="s">
        <v>165</v>
      </c>
      <c r="N1000" s="460"/>
      <c r="P1000" s="417"/>
      <c r="Q1000" s="556" t="s">
        <v>165</v>
      </c>
    </row>
    <row r="1001" spans="1:17" s="413" customFormat="1" ht="14" outlineLevel="2">
      <c r="A1001" s="388">
        <v>3</v>
      </c>
      <c r="B1001" s="350" t="s">
        <v>49</v>
      </c>
      <c r="C1001" s="390"/>
      <c r="D1001" s="391"/>
      <c r="E1001" s="391"/>
      <c r="F1001" s="391"/>
      <c r="G1001" s="391">
        <f>SUBTOTAL(9,G1002:G1023)</f>
        <v>0</v>
      </c>
      <c r="H1001" s="391">
        <f>SUBTOTAL(9,H1002:H1023)</f>
        <v>0</v>
      </c>
      <c r="I1001" s="560"/>
      <c r="J1001" s="410"/>
      <c r="K1001" s="411"/>
      <c r="L1001" s="411"/>
      <c r="M1001" s="411" t="s">
        <v>165</v>
      </c>
      <c r="N1001" s="412"/>
      <c r="P1001" s="414"/>
      <c r="Q1001" s="556" t="s">
        <v>165</v>
      </c>
    </row>
    <row r="1002" spans="1:17" s="413" customFormat="1" ht="14" outlineLevel="3">
      <c r="A1002" s="388"/>
      <c r="B1002" s="350" t="s">
        <v>100</v>
      </c>
      <c r="C1002" s="390"/>
      <c r="D1002" s="391"/>
      <c r="E1002" s="391"/>
      <c r="F1002" s="391"/>
      <c r="G1002" s="391">
        <f t="shared" ref="G1002:H1002" si="261">SUBTOTAL(9,G1003:G1020)</f>
        <v>0</v>
      </c>
      <c r="H1002" s="391">
        <f t="shared" si="261"/>
        <v>0</v>
      </c>
      <c r="I1002" s="392"/>
      <c r="J1002" s="410"/>
      <c r="K1002" s="411"/>
      <c r="L1002" s="411"/>
      <c r="M1002" s="411" t="s">
        <v>165</v>
      </c>
      <c r="N1002" s="412"/>
      <c r="P1002" s="414"/>
      <c r="Q1002" s="556" t="s">
        <v>165</v>
      </c>
    </row>
    <row r="1003" spans="1:17" s="416" customFormat="1" ht="14" outlineLevel="3">
      <c r="A1003" s="400" t="s">
        <v>8</v>
      </c>
      <c r="B1003" s="557" t="s">
        <v>290</v>
      </c>
      <c r="C1003" s="397" t="s">
        <v>24</v>
      </c>
      <c r="D1003" s="398"/>
      <c r="E1003" s="398"/>
      <c r="F1003" s="330"/>
      <c r="G1003" s="398">
        <f t="shared" ref="G1003:G1020" si="262">F1003*D1003</f>
        <v>0</v>
      </c>
      <c r="H1003" s="398">
        <f t="shared" ref="H1003:H1020" si="263">F1003*E1003</f>
        <v>0</v>
      </c>
      <c r="I1003" s="399"/>
      <c r="J1003" s="410" t="s">
        <v>21</v>
      </c>
      <c r="K1003" s="411" t="s">
        <v>93</v>
      </c>
      <c r="L1003" s="411" t="s">
        <v>112</v>
      </c>
      <c r="M1003" s="411" t="s">
        <v>165</v>
      </c>
      <c r="N1003" s="460"/>
      <c r="P1003" s="417"/>
      <c r="Q1003" s="556" t="s">
        <v>165</v>
      </c>
    </row>
    <row r="1004" spans="1:17" s="416" customFormat="1" ht="14" outlineLevel="3">
      <c r="A1004" s="400" t="s">
        <v>8</v>
      </c>
      <c r="B1004" s="557" t="s">
        <v>291</v>
      </c>
      <c r="C1004" s="397" t="s">
        <v>24</v>
      </c>
      <c r="D1004" s="398"/>
      <c r="E1004" s="398"/>
      <c r="F1004" s="398"/>
      <c r="G1004" s="398">
        <f t="shared" si="262"/>
        <v>0</v>
      </c>
      <c r="H1004" s="398">
        <f t="shared" si="263"/>
        <v>0</v>
      </c>
      <c r="I1004" s="399"/>
      <c r="J1004" s="410" t="s">
        <v>21</v>
      </c>
      <c r="K1004" s="411" t="s">
        <v>93</v>
      </c>
      <c r="L1004" s="411" t="s">
        <v>112</v>
      </c>
      <c r="M1004" s="411" t="s">
        <v>165</v>
      </c>
      <c r="N1004" s="460"/>
      <c r="P1004" s="417"/>
      <c r="Q1004" s="556" t="s">
        <v>165</v>
      </c>
    </row>
    <row r="1005" spans="1:17" s="416" customFormat="1" ht="14" outlineLevel="3">
      <c r="A1005" s="400" t="s">
        <v>8</v>
      </c>
      <c r="B1005" s="557" t="s">
        <v>292</v>
      </c>
      <c r="C1005" s="397" t="s">
        <v>24</v>
      </c>
      <c r="D1005" s="398"/>
      <c r="E1005" s="398"/>
      <c r="F1005" s="330"/>
      <c r="G1005" s="398">
        <f t="shared" si="262"/>
        <v>0</v>
      </c>
      <c r="H1005" s="398">
        <f t="shared" si="263"/>
        <v>0</v>
      </c>
      <c r="I1005" s="399"/>
      <c r="J1005" s="410" t="s">
        <v>21</v>
      </c>
      <c r="K1005" s="411" t="s">
        <v>93</v>
      </c>
      <c r="L1005" s="411" t="s">
        <v>112</v>
      </c>
      <c r="M1005" s="411" t="s">
        <v>165</v>
      </c>
      <c r="N1005" s="460"/>
      <c r="P1005" s="417"/>
      <c r="Q1005" s="556" t="s">
        <v>165</v>
      </c>
    </row>
    <row r="1006" spans="1:17" s="416" customFormat="1" ht="14" outlineLevel="3">
      <c r="A1006" s="400" t="s">
        <v>8</v>
      </c>
      <c r="B1006" s="557" t="s">
        <v>293</v>
      </c>
      <c r="C1006" s="397" t="s">
        <v>24</v>
      </c>
      <c r="D1006" s="398"/>
      <c r="E1006" s="398"/>
      <c r="F1006" s="398"/>
      <c r="G1006" s="398">
        <f t="shared" si="262"/>
        <v>0</v>
      </c>
      <c r="H1006" s="398">
        <f t="shared" si="263"/>
        <v>0</v>
      </c>
      <c r="I1006" s="399"/>
      <c r="J1006" s="410" t="s">
        <v>21</v>
      </c>
      <c r="K1006" s="411" t="s">
        <v>93</v>
      </c>
      <c r="L1006" s="411" t="s">
        <v>112</v>
      </c>
      <c r="M1006" s="411" t="s">
        <v>165</v>
      </c>
      <c r="N1006" s="460"/>
      <c r="P1006" s="417"/>
      <c r="Q1006" s="556" t="s">
        <v>165</v>
      </c>
    </row>
    <row r="1007" spans="1:17" s="416" customFormat="1" ht="14" outlineLevel="3">
      <c r="A1007" s="400" t="s">
        <v>8</v>
      </c>
      <c r="B1007" s="557" t="s">
        <v>294</v>
      </c>
      <c r="C1007" s="397" t="s">
        <v>24</v>
      </c>
      <c r="D1007" s="398"/>
      <c r="E1007" s="398"/>
      <c r="F1007" s="398"/>
      <c r="G1007" s="398">
        <f t="shared" si="262"/>
        <v>0</v>
      </c>
      <c r="H1007" s="398">
        <f t="shared" si="263"/>
        <v>0</v>
      </c>
      <c r="I1007" s="399"/>
      <c r="J1007" s="410" t="s">
        <v>21</v>
      </c>
      <c r="K1007" s="411" t="s">
        <v>93</v>
      </c>
      <c r="L1007" s="411" t="s">
        <v>112</v>
      </c>
      <c r="M1007" s="411" t="s">
        <v>165</v>
      </c>
      <c r="N1007" s="460"/>
      <c r="P1007" s="417"/>
      <c r="Q1007" s="556" t="s">
        <v>165</v>
      </c>
    </row>
    <row r="1008" spans="1:17" s="416" customFormat="1" ht="14" outlineLevel="3">
      <c r="A1008" s="400" t="s">
        <v>8</v>
      </c>
      <c r="B1008" s="557" t="s">
        <v>295</v>
      </c>
      <c r="C1008" s="397" t="s">
        <v>24</v>
      </c>
      <c r="D1008" s="398"/>
      <c r="E1008" s="398"/>
      <c r="F1008" s="398"/>
      <c r="G1008" s="398">
        <f t="shared" si="262"/>
        <v>0</v>
      </c>
      <c r="H1008" s="398">
        <f t="shared" si="263"/>
        <v>0</v>
      </c>
      <c r="I1008" s="399"/>
      <c r="J1008" s="410" t="s">
        <v>21</v>
      </c>
      <c r="K1008" s="411" t="s">
        <v>93</v>
      </c>
      <c r="L1008" s="411" t="s">
        <v>112</v>
      </c>
      <c r="M1008" s="411" t="s">
        <v>165</v>
      </c>
      <c r="N1008" s="460"/>
      <c r="P1008" s="417"/>
      <c r="Q1008" s="556" t="s">
        <v>165</v>
      </c>
    </row>
    <row r="1009" spans="1:17" s="416" customFormat="1" ht="14" outlineLevel="3">
      <c r="A1009" s="400" t="s">
        <v>8</v>
      </c>
      <c r="B1009" s="557" t="s">
        <v>910</v>
      </c>
      <c r="C1009" s="397" t="s">
        <v>24</v>
      </c>
      <c r="D1009" s="398"/>
      <c r="E1009" s="398"/>
      <c r="F1009" s="330"/>
      <c r="G1009" s="398">
        <f t="shared" si="262"/>
        <v>0</v>
      </c>
      <c r="H1009" s="398">
        <f t="shared" si="263"/>
        <v>0</v>
      </c>
      <c r="I1009" s="399"/>
      <c r="J1009" s="410" t="s">
        <v>21</v>
      </c>
      <c r="K1009" s="411" t="s">
        <v>93</v>
      </c>
      <c r="L1009" s="411" t="s">
        <v>112</v>
      </c>
      <c r="M1009" s="411" t="s">
        <v>165</v>
      </c>
      <c r="N1009" s="460"/>
      <c r="P1009" s="417"/>
      <c r="Q1009" s="556" t="s">
        <v>165</v>
      </c>
    </row>
    <row r="1010" spans="1:17" s="416" customFormat="1" ht="14" outlineLevel="3">
      <c r="A1010" s="400" t="s">
        <v>8</v>
      </c>
      <c r="B1010" s="557" t="s">
        <v>911</v>
      </c>
      <c r="C1010" s="397" t="s">
        <v>24</v>
      </c>
      <c r="D1010" s="398"/>
      <c r="E1010" s="398"/>
      <c r="F1010" s="330"/>
      <c r="G1010" s="398">
        <f t="shared" si="262"/>
        <v>0</v>
      </c>
      <c r="H1010" s="398">
        <f t="shared" si="263"/>
        <v>0</v>
      </c>
      <c r="I1010" s="399"/>
      <c r="J1010" s="410" t="s">
        <v>21</v>
      </c>
      <c r="K1010" s="411" t="s">
        <v>93</v>
      </c>
      <c r="L1010" s="411" t="s">
        <v>112</v>
      </c>
      <c r="M1010" s="411" t="s">
        <v>165</v>
      </c>
      <c r="N1010" s="460"/>
      <c r="P1010" s="417"/>
      <c r="Q1010" s="556" t="s">
        <v>165</v>
      </c>
    </row>
    <row r="1011" spans="1:17" s="416" customFormat="1" ht="14" outlineLevel="3">
      <c r="A1011" s="400" t="s">
        <v>8</v>
      </c>
      <c r="B1011" s="557" t="s">
        <v>296</v>
      </c>
      <c r="C1011" s="397" t="s">
        <v>24</v>
      </c>
      <c r="D1011" s="398"/>
      <c r="E1011" s="398"/>
      <c r="F1011" s="398"/>
      <c r="G1011" s="398">
        <f t="shared" si="262"/>
        <v>0</v>
      </c>
      <c r="H1011" s="398">
        <f t="shared" si="263"/>
        <v>0</v>
      </c>
      <c r="I1011" s="399"/>
      <c r="J1011" s="410" t="s">
        <v>21</v>
      </c>
      <c r="K1011" s="411" t="s">
        <v>93</v>
      </c>
      <c r="L1011" s="411" t="s">
        <v>112</v>
      </c>
      <c r="M1011" s="411" t="s">
        <v>165</v>
      </c>
      <c r="N1011" s="460"/>
      <c r="P1011" s="417"/>
      <c r="Q1011" s="556" t="s">
        <v>165</v>
      </c>
    </row>
    <row r="1012" spans="1:17" s="416" customFormat="1" ht="14" outlineLevel="3">
      <c r="A1012" s="400" t="s">
        <v>8</v>
      </c>
      <c r="B1012" s="349" t="s">
        <v>297</v>
      </c>
      <c r="C1012" s="397" t="s">
        <v>24</v>
      </c>
      <c r="D1012" s="398"/>
      <c r="E1012" s="398"/>
      <c r="F1012" s="330"/>
      <c r="G1012" s="398">
        <f t="shared" si="262"/>
        <v>0</v>
      </c>
      <c r="H1012" s="398">
        <f t="shared" si="263"/>
        <v>0</v>
      </c>
      <c r="I1012" s="399"/>
      <c r="J1012" s="410" t="s">
        <v>21</v>
      </c>
      <c r="K1012" s="411" t="s">
        <v>93</v>
      </c>
      <c r="L1012" s="411" t="s">
        <v>112</v>
      </c>
      <c r="M1012" s="411" t="s">
        <v>165</v>
      </c>
      <c r="N1012" s="460"/>
      <c r="P1012" s="417"/>
      <c r="Q1012" s="556" t="s">
        <v>165</v>
      </c>
    </row>
    <row r="1013" spans="1:17" s="416" customFormat="1" ht="14" outlineLevel="3">
      <c r="A1013" s="400" t="s">
        <v>8</v>
      </c>
      <c r="B1013" s="557" t="s">
        <v>298</v>
      </c>
      <c r="C1013" s="397" t="s">
        <v>24</v>
      </c>
      <c r="D1013" s="398"/>
      <c r="E1013" s="398"/>
      <c r="F1013" s="398"/>
      <c r="G1013" s="398">
        <f t="shared" si="262"/>
        <v>0</v>
      </c>
      <c r="H1013" s="398">
        <f t="shared" si="263"/>
        <v>0</v>
      </c>
      <c r="I1013" s="399"/>
      <c r="J1013" s="410" t="s">
        <v>21</v>
      </c>
      <c r="K1013" s="411" t="s">
        <v>93</v>
      </c>
      <c r="L1013" s="411" t="s">
        <v>112</v>
      </c>
      <c r="M1013" s="411" t="s">
        <v>165</v>
      </c>
      <c r="N1013" s="460"/>
      <c r="P1013" s="417"/>
      <c r="Q1013" s="556" t="s">
        <v>165</v>
      </c>
    </row>
    <row r="1014" spans="1:17" s="416" customFormat="1" ht="14" outlineLevel="3">
      <c r="A1014" s="400" t="s">
        <v>8</v>
      </c>
      <c r="B1014" s="557" t="s">
        <v>299</v>
      </c>
      <c r="C1014" s="397" t="s">
        <v>24</v>
      </c>
      <c r="D1014" s="398"/>
      <c r="E1014" s="398"/>
      <c r="F1014" s="398"/>
      <c r="G1014" s="398">
        <f t="shared" si="262"/>
        <v>0</v>
      </c>
      <c r="H1014" s="398">
        <f t="shared" si="263"/>
        <v>0</v>
      </c>
      <c r="I1014" s="399"/>
      <c r="J1014" s="410" t="s">
        <v>21</v>
      </c>
      <c r="K1014" s="411" t="s">
        <v>93</v>
      </c>
      <c r="L1014" s="411" t="s">
        <v>112</v>
      </c>
      <c r="M1014" s="411" t="s">
        <v>165</v>
      </c>
      <c r="N1014" s="460"/>
      <c r="P1014" s="417"/>
      <c r="Q1014" s="556" t="s">
        <v>165</v>
      </c>
    </row>
    <row r="1015" spans="1:17" s="416" customFormat="1" ht="14" outlineLevel="3">
      <c r="A1015" s="400" t="s">
        <v>8</v>
      </c>
      <c r="B1015" s="557" t="s">
        <v>300</v>
      </c>
      <c r="C1015" s="397" t="s">
        <v>24</v>
      </c>
      <c r="D1015" s="398"/>
      <c r="E1015" s="398"/>
      <c r="F1015" s="398"/>
      <c r="G1015" s="398">
        <f t="shared" si="262"/>
        <v>0</v>
      </c>
      <c r="H1015" s="398">
        <f t="shared" si="263"/>
        <v>0</v>
      </c>
      <c r="I1015" s="399"/>
      <c r="J1015" s="410" t="s">
        <v>21</v>
      </c>
      <c r="K1015" s="411" t="s">
        <v>93</v>
      </c>
      <c r="L1015" s="411" t="s">
        <v>112</v>
      </c>
      <c r="M1015" s="411" t="s">
        <v>165</v>
      </c>
      <c r="N1015" s="460"/>
      <c r="P1015" s="417"/>
      <c r="Q1015" s="556" t="s">
        <v>165</v>
      </c>
    </row>
    <row r="1016" spans="1:17" s="416" customFormat="1" ht="14" outlineLevel="3">
      <c r="A1016" s="400" t="s">
        <v>8</v>
      </c>
      <c r="B1016" s="557" t="s">
        <v>301</v>
      </c>
      <c r="C1016" s="397" t="s">
        <v>24</v>
      </c>
      <c r="D1016" s="398"/>
      <c r="E1016" s="398"/>
      <c r="F1016" s="398"/>
      <c r="G1016" s="398">
        <f t="shared" si="262"/>
        <v>0</v>
      </c>
      <c r="H1016" s="398">
        <f t="shared" si="263"/>
        <v>0</v>
      </c>
      <c r="I1016" s="399"/>
      <c r="J1016" s="410" t="s">
        <v>21</v>
      </c>
      <c r="K1016" s="411" t="s">
        <v>93</v>
      </c>
      <c r="L1016" s="411" t="s">
        <v>112</v>
      </c>
      <c r="M1016" s="411" t="s">
        <v>165</v>
      </c>
      <c r="N1016" s="460"/>
      <c r="P1016" s="417"/>
      <c r="Q1016" s="556" t="s">
        <v>165</v>
      </c>
    </row>
    <row r="1017" spans="1:17" s="416" customFormat="1" ht="14" outlineLevel="3">
      <c r="A1017" s="400" t="s">
        <v>8</v>
      </c>
      <c r="B1017" s="557" t="s">
        <v>302</v>
      </c>
      <c r="C1017" s="397" t="s">
        <v>11</v>
      </c>
      <c r="D1017" s="398"/>
      <c r="E1017" s="398"/>
      <c r="F1017" s="331"/>
      <c r="G1017" s="398">
        <f t="shared" si="262"/>
        <v>0</v>
      </c>
      <c r="H1017" s="398">
        <f t="shared" si="263"/>
        <v>0</v>
      </c>
      <c r="I1017" s="399"/>
      <c r="J1017" s="410" t="s">
        <v>21</v>
      </c>
      <c r="K1017" s="411" t="s">
        <v>93</v>
      </c>
      <c r="L1017" s="411" t="s">
        <v>112</v>
      </c>
      <c r="M1017" s="411" t="s">
        <v>165</v>
      </c>
      <c r="N1017" s="460"/>
      <c r="P1017" s="417"/>
      <c r="Q1017" s="556" t="s">
        <v>165</v>
      </c>
    </row>
    <row r="1018" spans="1:17" s="416" customFormat="1" ht="14" outlineLevel="3">
      <c r="A1018" s="400" t="s">
        <v>8</v>
      </c>
      <c r="B1018" s="557" t="s">
        <v>303</v>
      </c>
      <c r="C1018" s="397" t="s">
        <v>24</v>
      </c>
      <c r="D1018" s="398"/>
      <c r="E1018" s="398"/>
      <c r="F1018" s="331"/>
      <c r="G1018" s="398">
        <f t="shared" si="262"/>
        <v>0</v>
      </c>
      <c r="H1018" s="398">
        <f t="shared" si="263"/>
        <v>0</v>
      </c>
      <c r="I1018" s="399"/>
      <c r="J1018" s="410" t="s">
        <v>21</v>
      </c>
      <c r="K1018" s="411" t="s">
        <v>93</v>
      </c>
      <c r="L1018" s="411" t="s">
        <v>112</v>
      </c>
      <c r="M1018" s="411" t="s">
        <v>165</v>
      </c>
      <c r="N1018" s="460"/>
      <c r="P1018" s="417"/>
      <c r="Q1018" s="556" t="s">
        <v>165</v>
      </c>
    </row>
    <row r="1019" spans="1:17" s="416" customFormat="1" ht="14" outlineLevel="3">
      <c r="A1019" s="400" t="s">
        <v>8</v>
      </c>
      <c r="B1019" s="557" t="s">
        <v>304</v>
      </c>
      <c r="C1019" s="397" t="s">
        <v>24</v>
      </c>
      <c r="D1019" s="398"/>
      <c r="E1019" s="398"/>
      <c r="F1019" s="398"/>
      <c r="G1019" s="398">
        <f t="shared" si="262"/>
        <v>0</v>
      </c>
      <c r="H1019" s="398">
        <f t="shared" si="263"/>
        <v>0</v>
      </c>
      <c r="I1019" s="399"/>
      <c r="J1019" s="410" t="s">
        <v>21</v>
      </c>
      <c r="K1019" s="411" t="s">
        <v>93</v>
      </c>
      <c r="L1019" s="411" t="s">
        <v>112</v>
      </c>
      <c r="M1019" s="411" t="s">
        <v>165</v>
      </c>
      <c r="N1019" s="460"/>
      <c r="P1019" s="417"/>
      <c r="Q1019" s="556" t="s">
        <v>165</v>
      </c>
    </row>
    <row r="1020" spans="1:17" s="416" customFormat="1" ht="14" outlineLevel="3">
      <c r="A1020" s="400" t="s">
        <v>8</v>
      </c>
      <c r="B1020" s="557" t="s">
        <v>305</v>
      </c>
      <c r="C1020" s="397" t="s">
        <v>24</v>
      </c>
      <c r="D1020" s="398"/>
      <c r="E1020" s="398"/>
      <c r="F1020" s="398"/>
      <c r="G1020" s="398">
        <f t="shared" si="262"/>
        <v>0</v>
      </c>
      <c r="H1020" s="398">
        <f t="shared" si="263"/>
        <v>0</v>
      </c>
      <c r="I1020" s="399"/>
      <c r="J1020" s="410" t="s">
        <v>21</v>
      </c>
      <c r="K1020" s="411" t="s">
        <v>93</v>
      </c>
      <c r="L1020" s="411" t="s">
        <v>112</v>
      </c>
      <c r="M1020" s="411" t="s">
        <v>165</v>
      </c>
      <c r="N1020" s="460"/>
      <c r="P1020" s="417"/>
      <c r="Q1020" s="556" t="s">
        <v>165</v>
      </c>
    </row>
    <row r="1021" spans="1:17" s="413" customFormat="1" ht="14" outlineLevel="3">
      <c r="A1021" s="388"/>
      <c r="B1021" s="350" t="s">
        <v>909</v>
      </c>
      <c r="C1021" s="390"/>
      <c r="D1021" s="391"/>
      <c r="E1021" s="391"/>
      <c r="F1021" s="391"/>
      <c r="G1021" s="391">
        <f>SUBTOTAL(9,G1022:G1023)</f>
        <v>0</v>
      </c>
      <c r="H1021" s="391">
        <f>SUBTOTAL(9,H1022:H1023)</f>
        <v>0</v>
      </c>
      <c r="I1021" s="392"/>
      <c r="J1021" s="410"/>
      <c r="K1021" s="411"/>
      <c r="L1021" s="411"/>
      <c r="M1021" s="412"/>
      <c r="N1021" s="412"/>
      <c r="P1021" s="414"/>
      <c r="Q1021" s="556" t="s">
        <v>165</v>
      </c>
    </row>
    <row r="1022" spans="1:17" s="416" customFormat="1" ht="14" outlineLevel="3">
      <c r="A1022" s="400" t="s">
        <v>8</v>
      </c>
      <c r="B1022" s="415" t="s">
        <v>894</v>
      </c>
      <c r="C1022" s="397" t="s">
        <v>50</v>
      </c>
      <c r="D1022" s="398"/>
      <c r="E1022" s="398"/>
      <c r="F1022" s="330"/>
      <c r="G1022" s="398">
        <f t="shared" ref="G1022:G1023" si="264">F1022*D1022</f>
        <v>0</v>
      </c>
      <c r="H1022" s="398">
        <f t="shared" ref="H1022:H1023" si="265">F1022*E1022</f>
        <v>0</v>
      </c>
      <c r="I1022" s="399"/>
      <c r="J1022" s="410" t="s">
        <v>21</v>
      </c>
      <c r="K1022" s="411" t="s">
        <v>93</v>
      </c>
      <c r="L1022" s="411" t="s">
        <v>112</v>
      </c>
      <c r="M1022" s="411" t="s">
        <v>165</v>
      </c>
      <c r="N1022" s="460"/>
      <c r="P1022" s="417"/>
      <c r="Q1022" s="556" t="s">
        <v>165</v>
      </c>
    </row>
    <row r="1023" spans="1:17" s="416" customFormat="1" ht="14" outlineLevel="3">
      <c r="A1023" s="400" t="s">
        <v>8</v>
      </c>
      <c r="B1023" s="415" t="s">
        <v>52</v>
      </c>
      <c r="C1023" s="397" t="s">
        <v>50</v>
      </c>
      <c r="D1023" s="398"/>
      <c r="E1023" s="398"/>
      <c r="F1023" s="398"/>
      <c r="G1023" s="398">
        <f t="shared" si="264"/>
        <v>0</v>
      </c>
      <c r="H1023" s="398">
        <f t="shared" si="265"/>
        <v>0</v>
      </c>
      <c r="I1023" s="399"/>
      <c r="J1023" s="410" t="s">
        <v>21</v>
      </c>
      <c r="K1023" s="411" t="s">
        <v>93</v>
      </c>
      <c r="L1023" s="411" t="s">
        <v>112</v>
      </c>
      <c r="M1023" s="411" t="s">
        <v>165</v>
      </c>
      <c r="N1023" s="460"/>
      <c r="P1023" s="417"/>
      <c r="Q1023" s="556" t="s">
        <v>165</v>
      </c>
    </row>
    <row r="1024" spans="1:17" s="413" customFormat="1" ht="15" customHeight="1" outlineLevel="2">
      <c r="A1024" s="388">
        <v>4</v>
      </c>
      <c r="B1024" s="389" t="s">
        <v>32</v>
      </c>
      <c r="C1024" s="390"/>
      <c r="D1024" s="391"/>
      <c r="E1024" s="391"/>
      <c r="F1024" s="391"/>
      <c r="G1024" s="391">
        <f>SUBTOTAL(9,G1025:G1030)</f>
        <v>35300</v>
      </c>
      <c r="H1024" s="391">
        <f>SUBTOTAL(9,H1025:H1030)</f>
        <v>31064</v>
      </c>
      <c r="I1024" s="391"/>
      <c r="J1024" s="410"/>
      <c r="K1024" s="411"/>
      <c r="L1024" s="411"/>
      <c r="M1024" s="412"/>
      <c r="N1024" s="412"/>
      <c r="P1024" s="711" t="s">
        <v>1455</v>
      </c>
    </row>
    <row r="1025" spans="1:16" s="413" customFormat="1" ht="14" outlineLevel="3">
      <c r="A1025" s="388">
        <v>4.0999999999999996</v>
      </c>
      <c r="B1025" s="532" t="s">
        <v>1023</v>
      </c>
      <c r="C1025" s="549"/>
      <c r="D1025" s="479"/>
      <c r="E1025" s="479"/>
      <c r="F1025" s="479"/>
      <c r="G1025" s="479">
        <f>SUBTOTAL(9,G1026:G1030)</f>
        <v>35300</v>
      </c>
      <c r="H1025" s="479">
        <f>SUBTOTAL(9,H1026:H1030)</f>
        <v>31064</v>
      </c>
      <c r="I1025" s="561"/>
      <c r="J1025" s="411"/>
      <c r="K1025" s="411"/>
      <c r="L1025" s="411"/>
      <c r="M1025" s="412"/>
      <c r="N1025" s="412"/>
      <c r="P1025" s="414"/>
    </row>
    <row r="1026" spans="1:16" s="416" customFormat="1" ht="14" outlineLevel="4">
      <c r="A1026" s="400" t="s">
        <v>8</v>
      </c>
      <c r="B1026" s="415" t="s">
        <v>1103</v>
      </c>
      <c r="C1026" s="397" t="s">
        <v>1063</v>
      </c>
      <c r="D1026" s="10">
        <v>25</v>
      </c>
      <c r="E1026" s="10">
        <v>22</v>
      </c>
      <c r="F1026" s="10">
        <v>1300</v>
      </c>
      <c r="G1026" s="398">
        <f t="shared" ref="G1026:G1030" si="266">F1026*D1026</f>
        <v>32500</v>
      </c>
      <c r="H1026" s="398">
        <f t="shared" ref="H1026:H1030" si="267">F1026*E1026</f>
        <v>28600</v>
      </c>
      <c r="I1026" s="399"/>
      <c r="J1026" s="411" t="s">
        <v>21</v>
      </c>
      <c r="K1026" s="411" t="s">
        <v>93</v>
      </c>
      <c r="L1026" s="411" t="s">
        <v>112</v>
      </c>
      <c r="M1026" s="411" t="s">
        <v>165</v>
      </c>
      <c r="N1026" s="460"/>
      <c r="P1026" s="417"/>
    </row>
    <row r="1027" spans="1:16" s="416" customFormat="1" ht="14" outlineLevel="4">
      <c r="A1027" s="400" t="s">
        <v>8</v>
      </c>
      <c r="B1027" s="415" t="s">
        <v>1458</v>
      </c>
      <c r="C1027" s="397" t="s">
        <v>166</v>
      </c>
      <c r="D1027" s="10">
        <v>25</v>
      </c>
      <c r="E1027" s="10">
        <v>22</v>
      </c>
      <c r="F1027" s="10">
        <v>80</v>
      </c>
      <c r="G1027" s="398">
        <f t="shared" si="266"/>
        <v>2000</v>
      </c>
      <c r="H1027" s="398">
        <f t="shared" si="267"/>
        <v>1760</v>
      </c>
      <c r="I1027" s="399"/>
      <c r="J1027" s="411" t="s">
        <v>21</v>
      </c>
      <c r="K1027" s="411" t="s">
        <v>93</v>
      </c>
      <c r="L1027" s="411" t="s">
        <v>112</v>
      </c>
      <c r="M1027" s="411" t="s">
        <v>165</v>
      </c>
      <c r="N1027" s="460"/>
      <c r="P1027" s="417"/>
    </row>
    <row r="1028" spans="1:16" s="416" customFormat="1" ht="14" outlineLevel="4">
      <c r="A1028" s="400" t="s">
        <v>8</v>
      </c>
      <c r="B1028" s="415" t="s">
        <v>1459</v>
      </c>
      <c r="C1028" s="397" t="s">
        <v>166</v>
      </c>
      <c r="D1028" s="398">
        <v>50</v>
      </c>
      <c r="E1028" s="398">
        <v>44</v>
      </c>
      <c r="F1028" s="398">
        <v>16</v>
      </c>
      <c r="G1028" s="398">
        <f t="shared" si="266"/>
        <v>800</v>
      </c>
      <c r="H1028" s="398">
        <f t="shared" si="267"/>
        <v>704</v>
      </c>
      <c r="I1028" s="399"/>
      <c r="J1028" s="411" t="s">
        <v>21</v>
      </c>
      <c r="K1028" s="411" t="s">
        <v>93</v>
      </c>
      <c r="L1028" s="411" t="s">
        <v>112</v>
      </c>
      <c r="M1028" s="411" t="s">
        <v>165</v>
      </c>
      <c r="N1028" s="460"/>
      <c r="P1028" s="417"/>
    </row>
    <row r="1029" spans="1:16" s="416" customFormat="1" ht="14" outlineLevel="4">
      <c r="A1029" s="400" t="s">
        <v>8</v>
      </c>
      <c r="B1029" s="415" t="s">
        <v>1097</v>
      </c>
      <c r="C1029" s="397" t="s">
        <v>166</v>
      </c>
      <c r="D1029" s="398"/>
      <c r="E1029" s="398"/>
      <c r="F1029" s="398"/>
      <c r="G1029" s="398">
        <f t="shared" si="266"/>
        <v>0</v>
      </c>
      <c r="H1029" s="398">
        <f t="shared" si="267"/>
        <v>0</v>
      </c>
      <c r="I1029" s="399"/>
      <c r="J1029" s="411" t="s">
        <v>21</v>
      </c>
      <c r="K1029" s="411" t="s">
        <v>93</v>
      </c>
      <c r="L1029" s="411" t="s">
        <v>112</v>
      </c>
      <c r="M1029" s="411" t="s">
        <v>165</v>
      </c>
      <c r="N1029" s="460"/>
      <c r="P1029" s="417"/>
    </row>
    <row r="1030" spans="1:16" s="416" customFormat="1" ht="14" outlineLevel="4">
      <c r="A1030" s="400" t="s">
        <v>8</v>
      </c>
      <c r="B1030" s="415" t="s">
        <v>1098</v>
      </c>
      <c r="C1030" s="397" t="s">
        <v>166</v>
      </c>
      <c r="D1030" s="398"/>
      <c r="E1030" s="398"/>
      <c r="F1030" s="398"/>
      <c r="G1030" s="398">
        <f t="shared" si="266"/>
        <v>0</v>
      </c>
      <c r="H1030" s="398">
        <f t="shared" si="267"/>
        <v>0</v>
      </c>
      <c r="I1030" s="399"/>
      <c r="J1030" s="411" t="s">
        <v>21</v>
      </c>
      <c r="K1030" s="411" t="s">
        <v>93</v>
      </c>
      <c r="L1030" s="411" t="s">
        <v>112</v>
      </c>
      <c r="M1030" s="411" t="s">
        <v>165</v>
      </c>
      <c r="N1030" s="460"/>
      <c r="P1030" s="417"/>
    </row>
    <row r="1031" spans="1:16" s="413" customFormat="1" ht="14" outlineLevel="1">
      <c r="A1031" s="388" t="s">
        <v>337</v>
      </c>
      <c r="B1031" s="350" t="s">
        <v>22</v>
      </c>
      <c r="C1031" s="549"/>
      <c r="D1031" s="479"/>
      <c r="E1031" s="479"/>
      <c r="F1031" s="479"/>
      <c r="G1031" s="479">
        <f>SUBTOTAL(9,G1032:G1219)</f>
        <v>1759014</v>
      </c>
      <c r="H1031" s="479">
        <f>SUBTOTAL(9,H1032:H1219)</f>
        <v>360194</v>
      </c>
      <c r="I1031" s="479"/>
      <c r="J1031" s="411"/>
      <c r="K1031" s="411"/>
      <c r="L1031" s="411"/>
      <c r="M1031" s="412"/>
      <c r="N1031" s="412"/>
      <c r="P1031" s="414"/>
    </row>
    <row r="1032" spans="1:16" s="413" customFormat="1" ht="14" outlineLevel="2">
      <c r="A1032" s="388" t="s">
        <v>4</v>
      </c>
      <c r="B1032" s="389" t="s">
        <v>32</v>
      </c>
      <c r="C1032" s="549"/>
      <c r="D1032" s="479"/>
      <c r="E1032" s="479"/>
      <c r="F1032" s="479"/>
      <c r="G1032" s="479">
        <f>SUBTOTAL(9,G1033:G1155)</f>
        <v>1759014</v>
      </c>
      <c r="H1032" s="479">
        <f>SUBTOTAL(9,H1033:H1155)</f>
        <v>360194</v>
      </c>
      <c r="I1032" s="479"/>
      <c r="J1032" s="411"/>
      <c r="K1032" s="411"/>
      <c r="L1032" s="411"/>
      <c r="M1032" s="412"/>
      <c r="N1032" s="412"/>
      <c r="P1032" s="414"/>
    </row>
    <row r="1033" spans="1:16" s="413" customFormat="1" ht="14" outlineLevel="3">
      <c r="A1033" s="388" t="s">
        <v>43</v>
      </c>
      <c r="B1033" s="389" t="s">
        <v>307</v>
      </c>
      <c r="C1033" s="549"/>
      <c r="D1033" s="479"/>
      <c r="E1033" s="479"/>
      <c r="F1033" s="479"/>
      <c r="G1033" s="479">
        <f>SUBTOTAL(9,G1034:G1047)</f>
        <v>0</v>
      </c>
      <c r="H1033" s="479">
        <f>SUBTOTAL(9,H1034:H1044)</f>
        <v>0</v>
      </c>
      <c r="I1033" s="392"/>
      <c r="J1033" s="411"/>
      <c r="K1033" s="411"/>
      <c r="L1033" s="411"/>
      <c r="M1033" s="412"/>
      <c r="N1033" s="412"/>
      <c r="P1033" s="414"/>
    </row>
    <row r="1034" spans="1:16" s="413" customFormat="1" ht="14" outlineLevel="3">
      <c r="A1034" s="388">
        <v>1</v>
      </c>
      <c r="B1034" s="532" t="s">
        <v>1302</v>
      </c>
      <c r="C1034" s="549"/>
      <c r="D1034" s="479"/>
      <c r="E1034" s="479"/>
      <c r="F1034" s="479"/>
      <c r="G1034" s="479">
        <f>SUBTOTAL(9,G1035:G1047)</f>
        <v>0</v>
      </c>
      <c r="H1034" s="479">
        <f>SUBTOTAL(9,H1035:H1044)</f>
        <v>0</v>
      </c>
      <c r="I1034" s="561"/>
      <c r="J1034" s="411"/>
      <c r="K1034" s="411"/>
      <c r="L1034" s="411"/>
      <c r="M1034" s="412"/>
      <c r="N1034" s="412"/>
      <c r="P1034" s="414"/>
    </row>
    <row r="1035" spans="1:16" s="416" customFormat="1" ht="14" outlineLevel="4">
      <c r="A1035" s="400" t="s">
        <v>8</v>
      </c>
      <c r="B1035" s="415" t="s">
        <v>1293</v>
      </c>
      <c r="C1035" s="397" t="s">
        <v>24</v>
      </c>
      <c r="D1035" s="398"/>
      <c r="E1035" s="398"/>
      <c r="F1035" s="398"/>
      <c r="G1035" s="398">
        <f t="shared" ref="G1035:G1044" si="268">F1035*D1035</f>
        <v>0</v>
      </c>
      <c r="H1035" s="398">
        <f t="shared" ref="H1035:H1044" si="269">F1035*E1035</f>
        <v>0</v>
      </c>
      <c r="I1035" s="399"/>
      <c r="J1035" s="411" t="s">
        <v>21</v>
      </c>
      <c r="K1035" s="411" t="s">
        <v>128</v>
      </c>
      <c r="L1035" s="411" t="s">
        <v>112</v>
      </c>
      <c r="M1035" s="411" t="s">
        <v>32</v>
      </c>
      <c r="N1035" s="460"/>
      <c r="P1035" s="417"/>
    </row>
    <row r="1036" spans="1:16" s="416" customFormat="1" ht="14" outlineLevel="4">
      <c r="A1036" s="400" t="s">
        <v>8</v>
      </c>
      <c r="B1036" s="685" t="s">
        <v>1301</v>
      </c>
      <c r="C1036" s="397" t="s">
        <v>15</v>
      </c>
      <c r="D1036" s="398"/>
      <c r="E1036" s="398"/>
      <c r="F1036" s="398"/>
      <c r="G1036" s="398">
        <f t="shared" si="268"/>
        <v>0</v>
      </c>
      <c r="H1036" s="398">
        <f t="shared" si="269"/>
        <v>0</v>
      </c>
      <c r="I1036" s="399"/>
      <c r="J1036" s="411" t="s">
        <v>21</v>
      </c>
      <c r="K1036" s="411" t="s">
        <v>128</v>
      </c>
      <c r="L1036" s="411" t="s">
        <v>112</v>
      </c>
      <c r="M1036" s="411" t="s">
        <v>32</v>
      </c>
      <c r="N1036" s="460"/>
      <c r="P1036" s="417"/>
    </row>
    <row r="1037" spans="1:16" s="416" customFormat="1" ht="14" outlineLevel="4">
      <c r="A1037" s="400" t="s">
        <v>8</v>
      </c>
      <c r="B1037" s="415" t="s">
        <v>1025</v>
      </c>
      <c r="C1037" s="397" t="s">
        <v>15</v>
      </c>
      <c r="D1037" s="398"/>
      <c r="E1037" s="398"/>
      <c r="F1037" s="398"/>
      <c r="G1037" s="398">
        <f t="shared" si="268"/>
        <v>0</v>
      </c>
      <c r="H1037" s="398">
        <f t="shared" si="269"/>
        <v>0</v>
      </c>
      <c r="I1037" s="399"/>
      <c r="J1037" s="411" t="s">
        <v>21</v>
      </c>
      <c r="K1037" s="411" t="s">
        <v>128</v>
      </c>
      <c r="L1037" s="411" t="s">
        <v>112</v>
      </c>
      <c r="M1037" s="411" t="s">
        <v>32</v>
      </c>
      <c r="N1037" s="460"/>
      <c r="P1037" s="417"/>
    </row>
    <row r="1038" spans="1:16" s="416" customFormat="1" ht="14" outlineLevel="4">
      <c r="A1038" s="400" t="s">
        <v>8</v>
      </c>
      <c r="B1038" s="415" t="s">
        <v>1026</v>
      </c>
      <c r="C1038" s="397" t="s">
        <v>15</v>
      </c>
      <c r="D1038" s="398"/>
      <c r="E1038" s="398"/>
      <c r="F1038" s="398"/>
      <c r="G1038" s="398">
        <f t="shared" si="268"/>
        <v>0</v>
      </c>
      <c r="H1038" s="398">
        <f t="shared" si="269"/>
        <v>0</v>
      </c>
      <c r="I1038" s="399"/>
      <c r="J1038" s="411" t="s">
        <v>21</v>
      </c>
      <c r="K1038" s="411" t="s">
        <v>128</v>
      </c>
      <c r="L1038" s="411" t="s">
        <v>112</v>
      </c>
      <c r="M1038" s="411" t="s">
        <v>32</v>
      </c>
      <c r="N1038" s="460"/>
      <c r="P1038" s="417"/>
    </row>
    <row r="1039" spans="1:16" s="416" customFormat="1" ht="14" outlineLevel="4">
      <c r="A1039" s="400" t="s">
        <v>8</v>
      </c>
      <c r="B1039" s="415" t="s">
        <v>1027</v>
      </c>
      <c r="C1039" s="397" t="s">
        <v>24</v>
      </c>
      <c r="D1039" s="398"/>
      <c r="E1039" s="398"/>
      <c r="F1039" s="398"/>
      <c r="G1039" s="398">
        <f t="shared" si="268"/>
        <v>0</v>
      </c>
      <c r="H1039" s="398">
        <f t="shared" si="269"/>
        <v>0</v>
      </c>
      <c r="I1039" s="399"/>
      <c r="J1039" s="411" t="s">
        <v>21</v>
      </c>
      <c r="K1039" s="411" t="s">
        <v>128</v>
      </c>
      <c r="L1039" s="411" t="s">
        <v>112</v>
      </c>
      <c r="M1039" s="411" t="s">
        <v>32</v>
      </c>
      <c r="N1039" s="460"/>
      <c r="P1039" s="417"/>
    </row>
    <row r="1040" spans="1:16" s="416" customFormat="1" ht="14" outlineLevel="4">
      <c r="A1040" s="400" t="s">
        <v>8</v>
      </c>
      <c r="B1040" s="415" t="s">
        <v>1028</v>
      </c>
      <c r="C1040" s="397" t="s">
        <v>15</v>
      </c>
      <c r="D1040" s="398"/>
      <c r="E1040" s="398"/>
      <c r="F1040" s="398"/>
      <c r="G1040" s="398">
        <f t="shared" si="268"/>
        <v>0</v>
      </c>
      <c r="H1040" s="398">
        <f t="shared" si="269"/>
        <v>0</v>
      </c>
      <c r="I1040" s="399"/>
      <c r="J1040" s="411" t="s">
        <v>21</v>
      </c>
      <c r="K1040" s="411" t="s">
        <v>128</v>
      </c>
      <c r="L1040" s="411" t="s">
        <v>112</v>
      </c>
      <c r="M1040" s="411" t="s">
        <v>32</v>
      </c>
      <c r="N1040" s="460"/>
      <c r="P1040" s="417"/>
    </row>
    <row r="1041" spans="1:16" s="416" customFormat="1" ht="14" outlineLevel="4">
      <c r="A1041" s="400" t="s">
        <v>8</v>
      </c>
      <c r="B1041" s="415" t="s">
        <v>1029</v>
      </c>
      <c r="C1041" s="397" t="s">
        <v>15</v>
      </c>
      <c r="D1041" s="398"/>
      <c r="E1041" s="398"/>
      <c r="F1041" s="398"/>
      <c r="G1041" s="398">
        <f t="shared" si="268"/>
        <v>0</v>
      </c>
      <c r="H1041" s="398">
        <f t="shared" si="269"/>
        <v>0</v>
      </c>
      <c r="I1041" s="399"/>
      <c r="J1041" s="411" t="s">
        <v>21</v>
      </c>
      <c r="K1041" s="411" t="s">
        <v>128</v>
      </c>
      <c r="L1041" s="411" t="s">
        <v>112</v>
      </c>
      <c r="M1041" s="411" t="s">
        <v>32</v>
      </c>
      <c r="N1041" s="460"/>
      <c r="P1041" s="417"/>
    </row>
    <row r="1042" spans="1:16" s="416" customFormat="1" ht="14" outlineLevel="4">
      <c r="A1042" s="400" t="s">
        <v>8</v>
      </c>
      <c r="B1042" s="415" t="s">
        <v>1030</v>
      </c>
      <c r="C1042" s="397" t="s">
        <v>15</v>
      </c>
      <c r="D1042" s="398"/>
      <c r="E1042" s="398"/>
      <c r="F1042" s="398"/>
      <c r="G1042" s="398">
        <f t="shared" si="268"/>
        <v>0</v>
      </c>
      <c r="H1042" s="398">
        <f t="shared" si="269"/>
        <v>0</v>
      </c>
      <c r="I1042" s="399"/>
      <c r="J1042" s="411" t="s">
        <v>21</v>
      </c>
      <c r="K1042" s="411" t="s">
        <v>128</v>
      </c>
      <c r="L1042" s="411" t="s">
        <v>112</v>
      </c>
      <c r="M1042" s="411" t="s">
        <v>32</v>
      </c>
      <c r="N1042" s="460"/>
      <c r="P1042" s="417"/>
    </row>
    <row r="1043" spans="1:16" s="416" customFormat="1" ht="14" outlineLevel="4">
      <c r="A1043" s="400" t="s">
        <v>8</v>
      </c>
      <c r="B1043" s="415" t="s">
        <v>1031</v>
      </c>
      <c r="C1043" s="397" t="s">
        <v>15</v>
      </c>
      <c r="D1043" s="398"/>
      <c r="E1043" s="398"/>
      <c r="F1043" s="398"/>
      <c r="G1043" s="398">
        <f t="shared" si="268"/>
        <v>0</v>
      </c>
      <c r="H1043" s="398">
        <f t="shared" si="269"/>
        <v>0</v>
      </c>
      <c r="I1043" s="399"/>
      <c r="J1043" s="411" t="s">
        <v>21</v>
      </c>
      <c r="K1043" s="411" t="s">
        <v>128</v>
      </c>
      <c r="L1043" s="411" t="s">
        <v>112</v>
      </c>
      <c r="M1043" s="411" t="s">
        <v>32</v>
      </c>
      <c r="N1043" s="460"/>
      <c r="P1043" s="417"/>
    </row>
    <row r="1044" spans="1:16" s="416" customFormat="1" ht="14" outlineLevel="4">
      <c r="A1044" s="400" t="s">
        <v>8</v>
      </c>
      <c r="B1044" s="415" t="s">
        <v>1032</v>
      </c>
      <c r="C1044" s="397" t="s">
        <v>15</v>
      </c>
      <c r="D1044" s="398"/>
      <c r="E1044" s="398"/>
      <c r="F1044" s="398"/>
      <c r="G1044" s="398">
        <f t="shared" si="268"/>
        <v>0</v>
      </c>
      <c r="H1044" s="398">
        <f t="shared" si="269"/>
        <v>0</v>
      </c>
      <c r="I1044" s="399"/>
      <c r="J1044" s="411" t="s">
        <v>21</v>
      </c>
      <c r="K1044" s="411" t="s">
        <v>128</v>
      </c>
      <c r="L1044" s="411" t="s">
        <v>112</v>
      </c>
      <c r="M1044" s="411" t="s">
        <v>32</v>
      </c>
      <c r="N1044" s="460"/>
      <c r="P1044" s="417"/>
    </row>
    <row r="1045" spans="1:16" s="413" customFormat="1" ht="14" outlineLevel="3">
      <c r="A1045" s="388">
        <v>2</v>
      </c>
      <c r="B1045" s="532" t="s">
        <v>1116</v>
      </c>
      <c r="C1045" s="549"/>
      <c r="D1045" s="479"/>
      <c r="E1045" s="479"/>
      <c r="F1045" s="479"/>
      <c r="G1045" s="479">
        <f>SUBTOTAL(9,G1046:G1047)</f>
        <v>0</v>
      </c>
      <c r="H1045" s="479">
        <f>SUBTOTAL(9,H1046:H1047)</f>
        <v>0</v>
      </c>
      <c r="I1045" s="561"/>
      <c r="J1045" s="411"/>
      <c r="K1045" s="411"/>
      <c r="L1045" s="411"/>
      <c r="M1045" s="412"/>
      <c r="N1045" s="412"/>
      <c r="P1045" s="414"/>
    </row>
    <row r="1046" spans="1:16" s="416" customFormat="1" ht="14" outlineLevel="4">
      <c r="A1046" s="400" t="s">
        <v>8</v>
      </c>
      <c r="B1046" s="415" t="s">
        <v>1117</v>
      </c>
      <c r="C1046" s="397" t="s">
        <v>33</v>
      </c>
      <c r="D1046" s="398"/>
      <c r="E1046" s="398"/>
      <c r="F1046" s="398"/>
      <c r="G1046" s="398">
        <f t="shared" ref="G1046:G1047" si="270">F1046*D1046</f>
        <v>0</v>
      </c>
      <c r="H1046" s="398">
        <f t="shared" ref="H1046:H1047" si="271">F1046*E1046</f>
        <v>0</v>
      </c>
      <c r="I1046" s="399"/>
      <c r="J1046" s="411" t="s">
        <v>21</v>
      </c>
      <c r="K1046" s="411" t="s">
        <v>128</v>
      </c>
      <c r="L1046" s="411" t="s">
        <v>112</v>
      </c>
      <c r="M1046" s="411" t="s">
        <v>32</v>
      </c>
      <c r="N1046" s="460"/>
      <c r="P1046" s="417"/>
    </row>
    <row r="1047" spans="1:16" s="416" customFormat="1" ht="14" outlineLevel="4">
      <c r="A1047" s="400" t="s">
        <v>8</v>
      </c>
      <c r="B1047" s="415" t="s">
        <v>1118</v>
      </c>
      <c r="C1047" s="397" t="s">
        <v>33</v>
      </c>
      <c r="D1047" s="398"/>
      <c r="E1047" s="398"/>
      <c r="F1047" s="398"/>
      <c r="G1047" s="398">
        <f t="shared" si="270"/>
        <v>0</v>
      </c>
      <c r="H1047" s="398">
        <f t="shared" si="271"/>
        <v>0</v>
      </c>
      <c r="I1047" s="399"/>
      <c r="J1047" s="411" t="s">
        <v>21</v>
      </c>
      <c r="K1047" s="411" t="s">
        <v>128</v>
      </c>
      <c r="L1047" s="411" t="s">
        <v>112</v>
      </c>
      <c r="M1047" s="411" t="s">
        <v>32</v>
      </c>
      <c r="N1047" s="460"/>
      <c r="P1047" s="417"/>
    </row>
    <row r="1048" spans="1:16" s="413" customFormat="1" ht="14" outlineLevel="3">
      <c r="A1048" s="388" t="s">
        <v>45</v>
      </c>
      <c r="B1048" s="389" t="s">
        <v>1303</v>
      </c>
      <c r="C1048" s="549"/>
      <c r="D1048" s="479"/>
      <c r="E1048" s="479"/>
      <c r="F1048" s="479"/>
      <c r="G1048" s="479">
        <f>SUBTOTAL(9,G1049:G1062)</f>
        <v>13460</v>
      </c>
      <c r="H1048" s="479">
        <f>SUBTOTAL(9,H1049:H1062)</f>
        <v>17640</v>
      </c>
      <c r="I1048" s="392"/>
      <c r="J1048" s="411"/>
      <c r="K1048" s="411"/>
      <c r="L1048" s="411"/>
      <c r="M1048" s="412"/>
      <c r="N1048" s="412"/>
      <c r="P1048" s="709" t="s">
        <v>1454</v>
      </c>
    </row>
    <row r="1049" spans="1:16" s="413" customFormat="1" ht="14" outlineLevel="3">
      <c r="A1049" s="388">
        <v>1</v>
      </c>
      <c r="B1049" s="532" t="s">
        <v>307</v>
      </c>
      <c r="C1049" s="549"/>
      <c r="D1049" s="479"/>
      <c r="E1049" s="479"/>
      <c r="F1049" s="479"/>
      <c r="G1049" s="479">
        <f>SUBTOTAL(9,G1050:G1062)</f>
        <v>13460</v>
      </c>
      <c r="H1049" s="479">
        <f>SUBTOTAL(9,H1050:H1062)</f>
        <v>17640</v>
      </c>
      <c r="I1049" s="561"/>
      <c r="J1049" s="411"/>
      <c r="K1049" s="411"/>
      <c r="L1049" s="411"/>
      <c r="M1049" s="412"/>
      <c r="N1049" s="412"/>
      <c r="P1049" s="414"/>
    </row>
    <row r="1050" spans="1:16" s="416" customFormat="1" ht="14" outlineLevel="4">
      <c r="A1050" s="400" t="s">
        <v>8</v>
      </c>
      <c r="B1050" s="415" t="s">
        <v>1293</v>
      </c>
      <c r="C1050" s="397" t="s">
        <v>24</v>
      </c>
      <c r="D1050" s="398"/>
      <c r="E1050" s="398"/>
      <c r="F1050" s="398"/>
      <c r="G1050" s="398">
        <f t="shared" ref="G1050:G1053" si="272">F1050*D1050</f>
        <v>0</v>
      </c>
      <c r="H1050" s="398">
        <f t="shared" ref="H1050:H1053" si="273">F1050*E1050</f>
        <v>0</v>
      </c>
      <c r="I1050" s="399"/>
      <c r="J1050" s="411" t="s">
        <v>21</v>
      </c>
      <c r="K1050" s="411" t="s">
        <v>151</v>
      </c>
      <c r="L1050" s="411" t="s">
        <v>112</v>
      </c>
      <c r="M1050" s="411" t="s">
        <v>32</v>
      </c>
      <c r="N1050" s="460"/>
      <c r="P1050" s="417"/>
    </row>
    <row r="1051" spans="1:16" s="416" customFormat="1" ht="14" outlineLevel="4">
      <c r="A1051" s="400" t="s">
        <v>8</v>
      </c>
      <c r="B1051" s="415" t="s">
        <v>1024</v>
      </c>
      <c r="C1051" s="397" t="s">
        <v>15</v>
      </c>
      <c r="D1051" s="398">
        <v>16</v>
      </c>
      <c r="E1051" s="398">
        <v>16</v>
      </c>
      <c r="F1051" s="398">
        <v>80</v>
      </c>
      <c r="G1051" s="398">
        <f t="shared" si="272"/>
        <v>1280</v>
      </c>
      <c r="H1051" s="398">
        <f t="shared" si="273"/>
        <v>1280</v>
      </c>
      <c r="I1051" s="399"/>
      <c r="J1051" s="411" t="s">
        <v>21</v>
      </c>
      <c r="K1051" s="411" t="s">
        <v>151</v>
      </c>
      <c r="L1051" s="411" t="s">
        <v>112</v>
      </c>
      <c r="M1051" s="411" t="s">
        <v>32</v>
      </c>
      <c r="N1051" s="460"/>
      <c r="P1051" s="417"/>
    </row>
    <row r="1052" spans="1:16" s="416" customFormat="1" ht="14" outlineLevel="4">
      <c r="A1052" s="400" t="s">
        <v>8</v>
      </c>
      <c r="B1052" s="415" t="s">
        <v>1025</v>
      </c>
      <c r="C1052" s="397" t="s">
        <v>15</v>
      </c>
      <c r="D1052" s="398">
        <v>16</v>
      </c>
      <c r="E1052" s="398">
        <v>16</v>
      </c>
      <c r="F1052" s="398">
        <v>100</v>
      </c>
      <c r="G1052" s="398">
        <f t="shared" si="272"/>
        <v>1600</v>
      </c>
      <c r="H1052" s="398">
        <f t="shared" si="273"/>
        <v>1600</v>
      </c>
      <c r="I1052" s="399"/>
      <c r="J1052" s="411" t="s">
        <v>21</v>
      </c>
      <c r="K1052" s="411" t="s">
        <v>151</v>
      </c>
      <c r="L1052" s="411" t="s">
        <v>112</v>
      </c>
      <c r="M1052" s="411" t="s">
        <v>32</v>
      </c>
      <c r="N1052" s="460"/>
      <c r="P1052" s="417"/>
    </row>
    <row r="1053" spans="1:16" s="416" customFormat="1" ht="14" outlineLevel="4">
      <c r="A1053" s="400" t="s">
        <v>8</v>
      </c>
      <c r="B1053" s="415" t="s">
        <v>1026</v>
      </c>
      <c r="C1053" s="397" t="s">
        <v>15</v>
      </c>
      <c r="D1053" s="398">
        <v>6</v>
      </c>
      <c r="E1053" s="398">
        <v>6</v>
      </c>
      <c r="F1053" s="398">
        <v>110</v>
      </c>
      <c r="G1053" s="398">
        <f t="shared" si="272"/>
        <v>660</v>
      </c>
      <c r="H1053" s="398">
        <f t="shared" si="273"/>
        <v>660</v>
      </c>
      <c r="I1053" s="399"/>
      <c r="J1053" s="411" t="s">
        <v>21</v>
      </c>
      <c r="K1053" s="411" t="s">
        <v>151</v>
      </c>
      <c r="L1053" s="411" t="s">
        <v>112</v>
      </c>
      <c r="M1053" s="411" t="s">
        <v>32</v>
      </c>
      <c r="N1053" s="460"/>
      <c r="P1053" s="417"/>
    </row>
    <row r="1054" spans="1:16" s="416" customFormat="1" ht="14" outlineLevel="4">
      <c r="A1054" s="400" t="s">
        <v>8</v>
      </c>
      <c r="B1054" s="415" t="s">
        <v>1027</v>
      </c>
      <c r="C1054" s="397" t="s">
        <v>24</v>
      </c>
      <c r="D1054" s="398"/>
      <c r="E1054" s="398"/>
      <c r="F1054" s="398"/>
      <c r="G1054" s="398">
        <f t="shared" ref="G1054:G1059" si="274">F1054*D1054</f>
        <v>0</v>
      </c>
      <c r="H1054" s="398">
        <f t="shared" ref="H1054:H1059" si="275">F1054*E1054</f>
        <v>0</v>
      </c>
      <c r="I1054" s="399"/>
      <c r="J1054" s="411" t="s">
        <v>21</v>
      </c>
      <c r="K1054" s="411" t="s">
        <v>151</v>
      </c>
      <c r="L1054" s="411" t="s">
        <v>112</v>
      </c>
      <c r="M1054" s="411" t="s">
        <v>32</v>
      </c>
      <c r="N1054" s="460"/>
      <c r="P1054" s="417"/>
    </row>
    <row r="1055" spans="1:16" s="416" customFormat="1" ht="14" outlineLevel="4">
      <c r="A1055" s="400" t="s">
        <v>8</v>
      </c>
      <c r="B1055" s="415" t="s">
        <v>1028</v>
      </c>
      <c r="C1055" s="397" t="s">
        <v>15</v>
      </c>
      <c r="D1055" s="398"/>
      <c r="E1055" s="398"/>
      <c r="F1055" s="398"/>
      <c r="G1055" s="398">
        <f t="shared" si="274"/>
        <v>0</v>
      </c>
      <c r="H1055" s="398">
        <f t="shared" si="275"/>
        <v>0</v>
      </c>
      <c r="I1055" s="399"/>
      <c r="J1055" s="411" t="s">
        <v>21</v>
      </c>
      <c r="K1055" s="411" t="s">
        <v>151</v>
      </c>
      <c r="L1055" s="411" t="s">
        <v>112</v>
      </c>
      <c r="M1055" s="411" t="s">
        <v>32</v>
      </c>
      <c r="N1055" s="460"/>
      <c r="P1055" s="417"/>
    </row>
    <row r="1056" spans="1:16" s="416" customFormat="1" ht="14" outlineLevel="4">
      <c r="A1056" s="400" t="s">
        <v>8</v>
      </c>
      <c r="B1056" s="415" t="s">
        <v>1029</v>
      </c>
      <c r="C1056" s="397" t="s">
        <v>15</v>
      </c>
      <c r="D1056" s="398">
        <v>40</v>
      </c>
      <c r="E1056" s="398">
        <v>42</v>
      </c>
      <c r="F1056" s="398">
        <v>80</v>
      </c>
      <c r="G1056" s="398">
        <f t="shared" si="274"/>
        <v>3200</v>
      </c>
      <c r="H1056" s="398">
        <f t="shared" si="275"/>
        <v>3360</v>
      </c>
      <c r="I1056" s="399"/>
      <c r="J1056" s="411" t="s">
        <v>21</v>
      </c>
      <c r="K1056" s="411" t="s">
        <v>151</v>
      </c>
      <c r="L1056" s="411" t="s">
        <v>112</v>
      </c>
      <c r="M1056" s="411" t="s">
        <v>32</v>
      </c>
      <c r="N1056" s="460"/>
      <c r="P1056" s="417"/>
    </row>
    <row r="1057" spans="1:16" s="416" customFormat="1" ht="14" outlineLevel="4">
      <c r="A1057" s="400" t="s">
        <v>8</v>
      </c>
      <c r="B1057" s="415" t="s">
        <v>1030</v>
      </c>
      <c r="C1057" s="397" t="s">
        <v>15</v>
      </c>
      <c r="D1057" s="398">
        <v>54</v>
      </c>
      <c r="E1057" s="398">
        <v>92</v>
      </c>
      <c r="F1057" s="398">
        <v>100</v>
      </c>
      <c r="G1057" s="398">
        <f t="shared" si="274"/>
        <v>5400</v>
      </c>
      <c r="H1057" s="398">
        <f t="shared" si="275"/>
        <v>9200</v>
      </c>
      <c r="I1057" s="399"/>
      <c r="J1057" s="411" t="s">
        <v>21</v>
      </c>
      <c r="K1057" s="411" t="s">
        <v>151</v>
      </c>
      <c r="L1057" s="411" t="s">
        <v>112</v>
      </c>
      <c r="M1057" s="411" t="s">
        <v>32</v>
      </c>
      <c r="N1057" s="460"/>
      <c r="P1057" s="417"/>
    </row>
    <row r="1058" spans="1:16" s="416" customFormat="1" ht="14" outlineLevel="4">
      <c r="A1058" s="400" t="s">
        <v>8</v>
      </c>
      <c r="B1058" s="415" t="s">
        <v>1031</v>
      </c>
      <c r="C1058" s="397" t="s">
        <v>15</v>
      </c>
      <c r="D1058" s="398">
        <v>12</v>
      </c>
      <c r="E1058" s="398">
        <v>14</v>
      </c>
      <c r="F1058" s="398">
        <v>110</v>
      </c>
      <c r="G1058" s="398">
        <f t="shared" si="274"/>
        <v>1320</v>
      </c>
      <c r="H1058" s="398">
        <f t="shared" si="275"/>
        <v>1540</v>
      </c>
      <c r="I1058" s="399"/>
      <c r="J1058" s="411" t="s">
        <v>21</v>
      </c>
      <c r="K1058" s="411" t="s">
        <v>151</v>
      </c>
      <c r="L1058" s="411" t="s">
        <v>112</v>
      </c>
      <c r="M1058" s="411" t="s">
        <v>32</v>
      </c>
      <c r="N1058" s="460"/>
      <c r="P1058" s="417"/>
    </row>
    <row r="1059" spans="1:16" s="416" customFormat="1" ht="14" outlineLevel="4">
      <c r="A1059" s="400" t="s">
        <v>8</v>
      </c>
      <c r="B1059" s="415" t="s">
        <v>1032</v>
      </c>
      <c r="C1059" s="397" t="s">
        <v>15</v>
      </c>
      <c r="D1059" s="398"/>
      <c r="E1059" s="398"/>
      <c r="F1059" s="398"/>
      <c r="G1059" s="398">
        <f t="shared" si="274"/>
        <v>0</v>
      </c>
      <c r="H1059" s="398">
        <f t="shared" si="275"/>
        <v>0</v>
      </c>
      <c r="I1059" s="399"/>
      <c r="J1059" s="411" t="s">
        <v>21</v>
      </c>
      <c r="K1059" s="411" t="s">
        <v>151</v>
      </c>
      <c r="L1059" s="411" t="s">
        <v>112</v>
      </c>
      <c r="M1059" s="411" t="s">
        <v>32</v>
      </c>
      <c r="N1059" s="460"/>
      <c r="P1059" s="417"/>
    </row>
    <row r="1060" spans="1:16" s="413" customFormat="1" ht="14" outlineLevel="3">
      <c r="A1060" s="388">
        <v>2</v>
      </c>
      <c r="B1060" s="532" t="s">
        <v>1116</v>
      </c>
      <c r="C1060" s="549"/>
      <c r="D1060" s="479"/>
      <c r="E1060" s="479"/>
      <c r="F1060" s="479"/>
      <c r="G1060" s="479">
        <f>SUBTOTAL(9,G1061:G1062)</f>
        <v>0</v>
      </c>
      <c r="H1060" s="479">
        <f>SUBTOTAL(9,H1061:H1062)</f>
        <v>0</v>
      </c>
      <c r="I1060" s="561"/>
      <c r="J1060" s="411"/>
      <c r="K1060" s="411"/>
      <c r="L1060" s="411"/>
      <c r="M1060" s="412"/>
      <c r="N1060" s="412"/>
      <c r="P1060" s="414"/>
    </row>
    <row r="1061" spans="1:16" s="416" customFormat="1" ht="14" outlineLevel="4">
      <c r="A1061" s="400" t="s">
        <v>8</v>
      </c>
      <c r="B1061" s="415" t="s">
        <v>1117</v>
      </c>
      <c r="C1061" s="397" t="s">
        <v>33</v>
      </c>
      <c r="D1061" s="398"/>
      <c r="E1061" s="398"/>
      <c r="F1061" s="398"/>
      <c r="G1061" s="398">
        <f t="shared" ref="G1061:G1062" si="276">F1061*D1061</f>
        <v>0</v>
      </c>
      <c r="H1061" s="398">
        <f t="shared" ref="H1061:H1062" si="277">F1061*E1061</f>
        <v>0</v>
      </c>
      <c r="I1061" s="399"/>
      <c r="J1061" s="411" t="s">
        <v>21</v>
      </c>
      <c r="K1061" s="411" t="s">
        <v>151</v>
      </c>
      <c r="L1061" s="411" t="s">
        <v>112</v>
      </c>
      <c r="M1061" s="411" t="s">
        <v>32</v>
      </c>
      <c r="N1061" s="460"/>
      <c r="P1061" s="417"/>
    </row>
    <row r="1062" spans="1:16" s="416" customFormat="1" ht="14" outlineLevel="4">
      <c r="A1062" s="400" t="s">
        <v>8</v>
      </c>
      <c r="B1062" s="415" t="s">
        <v>1118</v>
      </c>
      <c r="C1062" s="397" t="s">
        <v>33</v>
      </c>
      <c r="D1062" s="398"/>
      <c r="E1062" s="398"/>
      <c r="F1062" s="398"/>
      <c r="G1062" s="398">
        <f t="shared" si="276"/>
        <v>0</v>
      </c>
      <c r="H1062" s="398">
        <f t="shared" si="277"/>
        <v>0</v>
      </c>
      <c r="I1062" s="399"/>
      <c r="J1062" s="411" t="s">
        <v>21</v>
      </c>
      <c r="K1062" s="411" t="s">
        <v>151</v>
      </c>
      <c r="L1062" s="411" t="s">
        <v>112</v>
      </c>
      <c r="M1062" s="411" t="s">
        <v>32</v>
      </c>
      <c r="N1062" s="460"/>
      <c r="P1062" s="417"/>
    </row>
    <row r="1063" spans="1:16" s="413" customFormat="1" ht="15" customHeight="1" outlineLevel="2">
      <c r="A1063" s="388" t="s">
        <v>141</v>
      </c>
      <c r="B1063" s="389" t="s">
        <v>308</v>
      </c>
      <c r="C1063" s="390"/>
      <c r="D1063" s="391"/>
      <c r="E1063" s="391"/>
      <c r="F1063" s="391"/>
      <c r="G1063" s="391">
        <f>SUBTOTAL(9,G1064:G1080)</f>
        <v>1171036</v>
      </c>
      <c r="H1063" s="391">
        <f>SUBTOTAL(9,H1064:H1080)</f>
        <v>34000</v>
      </c>
      <c r="I1063" s="391"/>
      <c r="J1063" s="410"/>
      <c r="K1063" s="411"/>
      <c r="L1063" s="411"/>
      <c r="M1063" s="412"/>
      <c r="N1063" s="412"/>
    </row>
    <row r="1064" spans="1:16" s="413" customFormat="1" ht="14" outlineLevel="5">
      <c r="A1064" s="388">
        <v>1</v>
      </c>
      <c r="B1064" s="408" t="s">
        <v>1294</v>
      </c>
      <c r="C1064" s="390"/>
      <c r="D1064" s="391"/>
      <c r="E1064" s="391"/>
      <c r="F1064" s="391"/>
      <c r="G1064" s="605">
        <f>SUBTOTAL(9,G1065:G1069)</f>
        <v>1171036</v>
      </c>
      <c r="H1064" s="391">
        <f>SUBTOTAL(9,H1065:H1069)</f>
        <v>34000</v>
      </c>
      <c r="I1064" s="391"/>
      <c r="J1064" s="411"/>
      <c r="K1064" s="411"/>
      <c r="L1064" s="411"/>
      <c r="M1064" s="412"/>
      <c r="N1064" s="412"/>
      <c r="P1064" s="414"/>
    </row>
    <row r="1065" spans="1:16" s="416" customFormat="1" ht="14" outlineLevel="5">
      <c r="A1065" s="400" t="s">
        <v>8</v>
      </c>
      <c r="B1065" s="563" t="s">
        <v>1312</v>
      </c>
      <c r="C1065" s="397" t="s">
        <v>23</v>
      </c>
      <c r="D1065" s="398">
        <v>34</v>
      </c>
      <c r="E1065" s="398">
        <v>0</v>
      </c>
      <c r="F1065" s="398">
        <v>20000</v>
      </c>
      <c r="G1065" s="402">
        <f t="shared" ref="G1065:G1069" si="278">F1065*D1065</f>
        <v>680000</v>
      </c>
      <c r="H1065" s="398">
        <f t="shared" ref="H1065:H1069" si="279">F1065*E1065</f>
        <v>0</v>
      </c>
      <c r="I1065" s="399"/>
      <c r="J1065" s="411" t="s">
        <v>21</v>
      </c>
      <c r="K1065" s="411" t="s">
        <v>130</v>
      </c>
      <c r="L1065" s="411" t="s">
        <v>112</v>
      </c>
      <c r="M1065" s="411" t="s">
        <v>32</v>
      </c>
      <c r="N1065" s="460"/>
      <c r="P1065" s="417"/>
    </row>
    <row r="1066" spans="1:16" s="416" customFormat="1" ht="14" outlineLevel="5">
      <c r="A1066" s="400" t="s">
        <v>8</v>
      </c>
      <c r="B1066" s="563" t="s">
        <v>1055</v>
      </c>
      <c r="C1066" s="397" t="s">
        <v>166</v>
      </c>
      <c r="D1066" s="398">
        <v>30</v>
      </c>
      <c r="E1066" s="398">
        <v>0</v>
      </c>
      <c r="F1066" s="398">
        <v>2500</v>
      </c>
      <c r="G1066" s="402">
        <f t="shared" si="278"/>
        <v>75000</v>
      </c>
      <c r="H1066" s="398">
        <f t="shared" si="279"/>
        <v>0</v>
      </c>
      <c r="I1066" s="399"/>
      <c r="J1066" s="411" t="s">
        <v>21</v>
      </c>
      <c r="K1066" s="411" t="s">
        <v>130</v>
      </c>
      <c r="L1066" s="411" t="s">
        <v>112</v>
      </c>
      <c r="M1066" s="411" t="s">
        <v>32</v>
      </c>
      <c r="N1066" s="460"/>
      <c r="P1066" s="417"/>
    </row>
    <row r="1067" spans="1:16" s="416" customFormat="1" ht="14" outlineLevel="5">
      <c r="A1067" s="400" t="s">
        <v>8</v>
      </c>
      <c r="B1067" s="563" t="s">
        <v>1053</v>
      </c>
      <c r="C1067" s="397" t="s">
        <v>166</v>
      </c>
      <c r="D1067" s="398">
        <v>10</v>
      </c>
      <c r="E1067" s="398">
        <v>0</v>
      </c>
      <c r="F1067" s="398">
        <v>560</v>
      </c>
      <c r="G1067" s="402">
        <f t="shared" si="278"/>
        <v>5600</v>
      </c>
      <c r="H1067" s="398">
        <f t="shared" si="279"/>
        <v>0</v>
      </c>
      <c r="I1067" s="399"/>
      <c r="J1067" s="411" t="s">
        <v>21</v>
      </c>
      <c r="K1067" s="411" t="s">
        <v>130</v>
      </c>
      <c r="L1067" s="411" t="s">
        <v>112</v>
      </c>
      <c r="M1067" s="411" t="s">
        <v>32</v>
      </c>
      <c r="N1067" s="460"/>
      <c r="P1067" s="417"/>
    </row>
    <row r="1068" spans="1:16" s="416" customFormat="1" ht="154" outlineLevel="5">
      <c r="A1068" s="400" t="s">
        <v>8</v>
      </c>
      <c r="B1068" s="563" t="s">
        <v>1313</v>
      </c>
      <c r="C1068" s="397" t="s">
        <v>24</v>
      </c>
      <c r="D1068" s="398">
        <v>4</v>
      </c>
      <c r="E1068" s="398">
        <v>0</v>
      </c>
      <c r="F1068" s="398">
        <v>102609</v>
      </c>
      <c r="G1068" s="402">
        <f t="shared" si="278"/>
        <v>410436</v>
      </c>
      <c r="H1068" s="398">
        <f t="shared" si="279"/>
        <v>0</v>
      </c>
      <c r="I1068" s="399"/>
      <c r="J1068" s="411" t="s">
        <v>21</v>
      </c>
      <c r="K1068" s="411" t="s">
        <v>130</v>
      </c>
      <c r="L1068" s="411" t="s">
        <v>112</v>
      </c>
      <c r="M1068" s="411" t="s">
        <v>32</v>
      </c>
      <c r="N1068" s="460"/>
      <c r="P1068" s="417"/>
    </row>
    <row r="1069" spans="1:16" s="416" customFormat="1" ht="14" outlineLevel="5">
      <c r="A1069" s="400" t="s">
        <v>8</v>
      </c>
      <c r="B1069" s="563" t="s">
        <v>1314</v>
      </c>
      <c r="C1069" s="397" t="s">
        <v>24</v>
      </c>
      <c r="D1069" s="398">
        <v>0</v>
      </c>
      <c r="E1069" s="398">
        <v>4</v>
      </c>
      <c r="F1069" s="398">
        <v>8500</v>
      </c>
      <c r="G1069" s="402">
        <f t="shared" si="278"/>
        <v>0</v>
      </c>
      <c r="H1069" s="398">
        <f t="shared" si="279"/>
        <v>34000</v>
      </c>
      <c r="I1069" s="399"/>
      <c r="J1069" s="411" t="s">
        <v>21</v>
      </c>
      <c r="K1069" s="411" t="s">
        <v>130</v>
      </c>
      <c r="L1069" s="411" t="s">
        <v>112</v>
      </c>
      <c r="M1069" s="411" t="s">
        <v>32</v>
      </c>
      <c r="N1069" s="460"/>
      <c r="P1069" s="417"/>
    </row>
    <row r="1070" spans="1:16" s="413" customFormat="1" ht="14" outlineLevel="5">
      <c r="A1070" s="388">
        <v>2</v>
      </c>
      <c r="B1070" s="408" t="s">
        <v>1315</v>
      </c>
      <c r="C1070" s="390"/>
      <c r="D1070" s="391"/>
      <c r="E1070" s="391"/>
      <c r="F1070" s="391"/>
      <c r="G1070" s="391">
        <f>SUBTOTAL(9,G1071:G1080)</f>
        <v>0</v>
      </c>
      <c r="H1070" s="391">
        <f>SUBTOTAL(9,H1071:H1080)</f>
        <v>0</v>
      </c>
      <c r="I1070" s="391"/>
      <c r="J1070" s="411"/>
      <c r="K1070" s="411"/>
      <c r="L1070" s="411"/>
      <c r="M1070" s="412"/>
      <c r="N1070" s="412"/>
      <c r="P1070" s="414"/>
    </row>
    <row r="1071" spans="1:16" s="416" customFormat="1" ht="14" outlineLevel="5">
      <c r="A1071" s="400" t="s">
        <v>8</v>
      </c>
      <c r="B1071" s="563" t="s">
        <v>1050</v>
      </c>
      <c r="C1071" s="397" t="s">
        <v>24</v>
      </c>
      <c r="D1071" s="398"/>
      <c r="E1071" s="398"/>
      <c r="F1071" s="398"/>
      <c r="G1071" s="398">
        <f t="shared" ref="G1071:G1080" si="280">F1071*D1071</f>
        <v>0</v>
      </c>
      <c r="H1071" s="398">
        <f t="shared" ref="H1071:H1080" si="281">F1071*E1071</f>
        <v>0</v>
      </c>
      <c r="I1071" s="399"/>
      <c r="J1071" s="411" t="s">
        <v>21</v>
      </c>
      <c r="K1071" s="411" t="s">
        <v>151</v>
      </c>
      <c r="L1071" s="411" t="s">
        <v>112</v>
      </c>
      <c r="M1071" s="411" t="s">
        <v>32</v>
      </c>
      <c r="N1071" s="460"/>
      <c r="P1071" s="417"/>
    </row>
    <row r="1072" spans="1:16" s="416" customFormat="1" ht="14" outlineLevel="5">
      <c r="A1072" s="400" t="s">
        <v>8</v>
      </c>
      <c r="B1072" s="563" t="s">
        <v>1051</v>
      </c>
      <c r="C1072" s="397" t="s">
        <v>15</v>
      </c>
      <c r="D1072" s="398"/>
      <c r="E1072" s="398"/>
      <c r="F1072" s="398"/>
      <c r="G1072" s="398">
        <f t="shared" si="280"/>
        <v>0</v>
      </c>
      <c r="H1072" s="398">
        <f t="shared" si="281"/>
        <v>0</v>
      </c>
      <c r="I1072" s="399"/>
      <c r="J1072" s="411" t="s">
        <v>21</v>
      </c>
      <c r="K1072" s="411" t="s">
        <v>151</v>
      </c>
      <c r="L1072" s="411" t="s">
        <v>112</v>
      </c>
      <c r="M1072" s="411" t="s">
        <v>32</v>
      </c>
      <c r="N1072" s="460"/>
      <c r="P1072" s="417"/>
    </row>
    <row r="1073" spans="1:16" s="416" customFormat="1" ht="14" outlineLevel="5">
      <c r="A1073" s="400" t="s">
        <v>8</v>
      </c>
      <c r="B1073" s="563" t="s">
        <v>1052</v>
      </c>
      <c r="C1073" s="397" t="s">
        <v>15</v>
      </c>
      <c r="D1073" s="398"/>
      <c r="E1073" s="398"/>
      <c r="F1073" s="398"/>
      <c r="G1073" s="398">
        <f t="shared" si="280"/>
        <v>0</v>
      </c>
      <c r="H1073" s="398">
        <f t="shared" si="281"/>
        <v>0</v>
      </c>
      <c r="I1073" s="399"/>
      <c r="J1073" s="411" t="s">
        <v>21</v>
      </c>
      <c r="K1073" s="411" t="s">
        <v>151</v>
      </c>
      <c r="L1073" s="411" t="s">
        <v>112</v>
      </c>
      <c r="M1073" s="411" t="s">
        <v>32</v>
      </c>
      <c r="N1073" s="460"/>
      <c r="P1073" s="417"/>
    </row>
    <row r="1074" spans="1:16" s="416" customFormat="1" ht="14" outlineLevel="5">
      <c r="A1074" s="400" t="s">
        <v>8</v>
      </c>
      <c r="B1074" s="563" t="s">
        <v>1040</v>
      </c>
      <c r="C1074" s="397" t="s">
        <v>15</v>
      </c>
      <c r="D1074" s="398"/>
      <c r="E1074" s="398"/>
      <c r="F1074" s="398"/>
      <c r="G1074" s="398">
        <f t="shared" si="280"/>
        <v>0</v>
      </c>
      <c r="H1074" s="398">
        <f t="shared" si="281"/>
        <v>0</v>
      </c>
      <c r="I1074" s="399"/>
      <c r="J1074" s="411" t="s">
        <v>21</v>
      </c>
      <c r="K1074" s="411" t="s">
        <v>151</v>
      </c>
      <c r="L1074" s="411" t="s">
        <v>112</v>
      </c>
      <c r="M1074" s="411" t="s">
        <v>32</v>
      </c>
      <c r="N1074" s="460"/>
      <c r="P1074" s="417"/>
    </row>
    <row r="1075" spans="1:16" s="416" customFormat="1" ht="14" outlineLevel="5">
      <c r="A1075" s="400" t="s">
        <v>8</v>
      </c>
      <c r="B1075" s="563" t="s">
        <v>1041</v>
      </c>
      <c r="C1075" s="397" t="s">
        <v>24</v>
      </c>
      <c r="D1075" s="398"/>
      <c r="E1075" s="398"/>
      <c r="F1075" s="398"/>
      <c r="G1075" s="398">
        <f t="shared" si="280"/>
        <v>0</v>
      </c>
      <c r="H1075" s="398">
        <f t="shared" si="281"/>
        <v>0</v>
      </c>
      <c r="I1075" s="399"/>
      <c r="J1075" s="411" t="s">
        <v>21</v>
      </c>
      <c r="K1075" s="411" t="s">
        <v>151</v>
      </c>
      <c r="L1075" s="411" t="s">
        <v>112</v>
      </c>
      <c r="M1075" s="411" t="s">
        <v>32</v>
      </c>
      <c r="N1075" s="460"/>
      <c r="P1075" s="417"/>
    </row>
    <row r="1076" spans="1:16" s="416" customFormat="1" ht="14" outlineLevel="5">
      <c r="A1076" s="400" t="s">
        <v>8</v>
      </c>
      <c r="B1076" s="563" t="s">
        <v>1042</v>
      </c>
      <c r="C1076" s="397" t="s">
        <v>15</v>
      </c>
      <c r="D1076" s="398"/>
      <c r="E1076" s="398"/>
      <c r="F1076" s="398"/>
      <c r="G1076" s="398">
        <f t="shared" si="280"/>
        <v>0</v>
      </c>
      <c r="H1076" s="398">
        <f t="shared" si="281"/>
        <v>0</v>
      </c>
      <c r="I1076" s="399"/>
      <c r="J1076" s="411" t="s">
        <v>21</v>
      </c>
      <c r="K1076" s="411" t="s">
        <v>151</v>
      </c>
      <c r="L1076" s="411" t="s">
        <v>112</v>
      </c>
      <c r="M1076" s="411" t="s">
        <v>32</v>
      </c>
      <c r="N1076" s="460"/>
      <c r="P1076" s="417"/>
    </row>
    <row r="1077" spans="1:16" s="416" customFormat="1" ht="14" outlineLevel="5">
      <c r="A1077" s="400" t="s">
        <v>8</v>
      </c>
      <c r="B1077" s="563" t="s">
        <v>1053</v>
      </c>
      <c r="C1077" s="397" t="s">
        <v>15</v>
      </c>
      <c r="D1077" s="398"/>
      <c r="E1077" s="398"/>
      <c r="F1077" s="398"/>
      <c r="G1077" s="398">
        <f t="shared" si="280"/>
        <v>0</v>
      </c>
      <c r="H1077" s="398">
        <f t="shared" si="281"/>
        <v>0</v>
      </c>
      <c r="I1077" s="399"/>
      <c r="J1077" s="411" t="s">
        <v>21</v>
      </c>
      <c r="K1077" s="411" t="s">
        <v>151</v>
      </c>
      <c r="L1077" s="411" t="s">
        <v>112</v>
      </c>
      <c r="M1077" s="411" t="s">
        <v>32</v>
      </c>
      <c r="N1077" s="460"/>
      <c r="P1077" s="417"/>
    </row>
    <row r="1078" spans="1:16" s="416" customFormat="1" ht="14" outlineLevel="5">
      <c r="A1078" s="400" t="s">
        <v>8</v>
      </c>
      <c r="B1078" s="563" t="s">
        <v>1054</v>
      </c>
      <c r="C1078" s="397" t="s">
        <v>15</v>
      </c>
      <c r="D1078" s="398"/>
      <c r="E1078" s="398"/>
      <c r="F1078" s="398"/>
      <c r="G1078" s="398">
        <f t="shared" si="280"/>
        <v>0</v>
      </c>
      <c r="H1078" s="398">
        <f t="shared" si="281"/>
        <v>0</v>
      </c>
      <c r="I1078" s="399"/>
      <c r="J1078" s="411" t="s">
        <v>21</v>
      </c>
      <c r="K1078" s="411" t="s">
        <v>151</v>
      </c>
      <c r="L1078" s="411" t="s">
        <v>112</v>
      </c>
      <c r="M1078" s="411" t="s">
        <v>32</v>
      </c>
      <c r="N1078" s="460"/>
      <c r="P1078" s="417"/>
    </row>
    <row r="1079" spans="1:16" s="416" customFormat="1" ht="14" outlineLevel="5">
      <c r="A1079" s="400" t="s">
        <v>8</v>
      </c>
      <c r="B1079" s="563" t="s">
        <v>1055</v>
      </c>
      <c r="C1079" s="397" t="s">
        <v>24</v>
      </c>
      <c r="D1079" s="398"/>
      <c r="E1079" s="398"/>
      <c r="F1079" s="398"/>
      <c r="G1079" s="398">
        <f t="shared" si="280"/>
        <v>0</v>
      </c>
      <c r="H1079" s="398">
        <f t="shared" si="281"/>
        <v>0</v>
      </c>
      <c r="I1079" s="399"/>
      <c r="J1079" s="411" t="s">
        <v>21</v>
      </c>
      <c r="K1079" s="411" t="s">
        <v>151</v>
      </c>
      <c r="L1079" s="411" t="s">
        <v>112</v>
      </c>
      <c r="M1079" s="411" t="s">
        <v>32</v>
      </c>
      <c r="N1079" s="460"/>
      <c r="P1079" s="417"/>
    </row>
    <row r="1080" spans="1:16" s="416" customFormat="1" ht="14" outlineLevel="5">
      <c r="A1080" s="400" t="s">
        <v>8</v>
      </c>
      <c r="B1080" s="563" t="s">
        <v>1032</v>
      </c>
      <c r="C1080" s="397" t="s">
        <v>15</v>
      </c>
      <c r="D1080" s="398"/>
      <c r="E1080" s="398"/>
      <c r="F1080" s="398"/>
      <c r="G1080" s="398">
        <f t="shared" si="280"/>
        <v>0</v>
      </c>
      <c r="H1080" s="398">
        <f t="shared" si="281"/>
        <v>0</v>
      </c>
      <c r="I1080" s="399"/>
      <c r="J1080" s="411" t="s">
        <v>21</v>
      </c>
      <c r="K1080" s="411" t="s">
        <v>151</v>
      </c>
      <c r="L1080" s="411" t="s">
        <v>112</v>
      </c>
      <c r="M1080" s="411" t="s">
        <v>32</v>
      </c>
      <c r="N1080" s="460"/>
      <c r="P1080" s="417"/>
    </row>
    <row r="1081" spans="1:16" s="413" customFormat="1" ht="15" customHeight="1" outlineLevel="3">
      <c r="A1081" s="388" t="s">
        <v>141</v>
      </c>
      <c r="B1081" s="389" t="s">
        <v>311</v>
      </c>
      <c r="C1081" s="390"/>
      <c r="D1081" s="391"/>
      <c r="E1081" s="391"/>
      <c r="F1081" s="391"/>
      <c r="G1081" s="391">
        <f>SUBTOTAL(9,G1082:G1090)</f>
        <v>346854</v>
      </c>
      <c r="H1081" s="391">
        <f>SUBTOTAL(9,H1082:H1090)</f>
        <v>0</v>
      </c>
      <c r="I1081" s="391"/>
      <c r="J1081" s="410"/>
      <c r="K1081" s="411"/>
      <c r="L1081" s="411"/>
      <c r="M1081" s="412"/>
      <c r="N1081" s="412"/>
      <c r="P1081" s="414"/>
    </row>
    <row r="1082" spans="1:16" s="413" customFormat="1" ht="14" outlineLevel="5">
      <c r="A1082" s="388">
        <v>1</v>
      </c>
      <c r="B1082" s="408" t="s">
        <v>1442</v>
      </c>
      <c r="C1082" s="390"/>
      <c r="D1082" s="391"/>
      <c r="E1082" s="391"/>
      <c r="F1082" s="391"/>
      <c r="G1082" s="391">
        <f>SUBTOTAL(9,G1083:G1090)</f>
        <v>346854</v>
      </c>
      <c r="H1082" s="391">
        <f>SUBTOTAL(9,H1083:H1090)</f>
        <v>0</v>
      </c>
      <c r="I1082" s="391"/>
      <c r="J1082" s="411"/>
      <c r="K1082" s="411"/>
      <c r="L1082" s="411"/>
      <c r="M1082" s="412"/>
      <c r="N1082" s="412"/>
      <c r="P1082" s="414"/>
    </row>
    <row r="1083" spans="1:16" s="416" customFormat="1" ht="14" outlineLevel="5">
      <c r="A1083" s="400" t="s">
        <v>8</v>
      </c>
      <c r="B1083" s="563" t="s">
        <v>1312</v>
      </c>
      <c r="C1083" s="397" t="s">
        <v>23</v>
      </c>
      <c r="D1083" s="398">
        <v>9</v>
      </c>
      <c r="E1083" s="398"/>
      <c r="F1083" s="398">
        <v>20000</v>
      </c>
      <c r="G1083" s="398">
        <f t="shared" ref="G1083:G1084" si="282">F1083*D1083</f>
        <v>180000</v>
      </c>
      <c r="H1083" s="398">
        <f t="shared" ref="H1083:H1084" si="283">F1083*E1083</f>
        <v>0</v>
      </c>
      <c r="I1083" s="399"/>
      <c r="J1083" s="411" t="s">
        <v>21</v>
      </c>
      <c r="K1083" s="411" t="s">
        <v>130</v>
      </c>
      <c r="L1083" s="411" t="s">
        <v>112</v>
      </c>
      <c r="M1083" s="411" t="s">
        <v>32</v>
      </c>
      <c r="N1083" s="460"/>
      <c r="P1083" s="417"/>
    </row>
    <row r="1084" spans="1:16" s="416" customFormat="1" ht="14" outlineLevel="5">
      <c r="A1084" s="400" t="s">
        <v>8</v>
      </c>
      <c r="B1084" s="563" t="s">
        <v>1055</v>
      </c>
      <c r="C1084" s="397" t="s">
        <v>166</v>
      </c>
      <c r="D1084" s="398">
        <v>14</v>
      </c>
      <c r="E1084" s="398"/>
      <c r="F1084" s="398">
        <v>2500</v>
      </c>
      <c r="G1084" s="398">
        <f t="shared" si="282"/>
        <v>35000</v>
      </c>
      <c r="H1084" s="398">
        <f t="shared" si="283"/>
        <v>0</v>
      </c>
      <c r="I1084" s="399"/>
      <c r="J1084" s="411" t="s">
        <v>21</v>
      </c>
      <c r="K1084" s="411" t="s">
        <v>130</v>
      </c>
      <c r="L1084" s="411" t="s">
        <v>112</v>
      </c>
      <c r="M1084" s="411" t="s">
        <v>32</v>
      </c>
      <c r="N1084" s="460"/>
      <c r="P1084" s="417"/>
    </row>
    <row r="1085" spans="1:16" s="416" customFormat="1" ht="14" outlineLevel="5">
      <c r="A1085" s="400" t="s">
        <v>8</v>
      </c>
      <c r="B1085" s="563" t="s">
        <v>1053</v>
      </c>
      <c r="C1085" s="397" t="s">
        <v>166</v>
      </c>
      <c r="D1085" s="398">
        <v>0</v>
      </c>
      <c r="E1085" s="398"/>
      <c r="F1085" s="398">
        <v>560</v>
      </c>
      <c r="G1085" s="398">
        <f t="shared" ref="G1085:G1090" si="284">F1085*D1085</f>
        <v>0</v>
      </c>
      <c r="H1085" s="398">
        <f t="shared" ref="H1085:H1090" si="285">F1085*E1085</f>
        <v>0</v>
      </c>
      <c r="I1085" s="399"/>
      <c r="J1085" s="411" t="s">
        <v>21</v>
      </c>
      <c r="K1085" s="411" t="s">
        <v>130</v>
      </c>
      <c r="L1085" s="411" t="s">
        <v>112</v>
      </c>
      <c r="M1085" s="411" t="s">
        <v>32</v>
      </c>
      <c r="N1085" s="460"/>
      <c r="P1085" s="417"/>
    </row>
    <row r="1086" spans="1:16" s="416" customFormat="1" ht="14" outlineLevel="5">
      <c r="A1086" s="400" t="s">
        <v>8</v>
      </c>
      <c r="B1086" s="563" t="s">
        <v>1312</v>
      </c>
      <c r="C1086" s="397" t="s">
        <v>23</v>
      </c>
      <c r="D1086" s="398">
        <v>0</v>
      </c>
      <c r="E1086" s="398"/>
      <c r="F1086" s="398">
        <v>20000</v>
      </c>
      <c r="G1086" s="398">
        <f t="shared" si="284"/>
        <v>0</v>
      </c>
      <c r="H1086" s="398">
        <f t="shared" si="285"/>
        <v>0</v>
      </c>
      <c r="I1086" s="399"/>
      <c r="J1086" s="411" t="s">
        <v>21</v>
      </c>
      <c r="K1086" s="411" t="s">
        <v>130</v>
      </c>
      <c r="L1086" s="411" t="s">
        <v>112</v>
      </c>
      <c r="M1086" s="411" t="s">
        <v>32</v>
      </c>
      <c r="N1086" s="460"/>
      <c r="P1086" s="417"/>
    </row>
    <row r="1087" spans="1:16" s="416" customFormat="1" ht="14" outlineLevel="5">
      <c r="A1087" s="400" t="s">
        <v>8</v>
      </c>
      <c r="B1087" s="563" t="s">
        <v>1055</v>
      </c>
      <c r="C1087" s="397" t="s">
        <v>166</v>
      </c>
      <c r="D1087" s="398">
        <v>12</v>
      </c>
      <c r="E1087" s="398"/>
      <c r="F1087" s="398">
        <v>2500</v>
      </c>
      <c r="G1087" s="398">
        <f t="shared" si="284"/>
        <v>30000</v>
      </c>
      <c r="H1087" s="398">
        <f t="shared" si="285"/>
        <v>0</v>
      </c>
      <c r="I1087" s="399"/>
      <c r="J1087" s="411" t="s">
        <v>21</v>
      </c>
      <c r="K1087" s="411" t="s">
        <v>130</v>
      </c>
      <c r="L1087" s="411" t="s">
        <v>112</v>
      </c>
      <c r="M1087" s="411" t="s">
        <v>32</v>
      </c>
      <c r="N1087" s="460"/>
      <c r="P1087" s="417"/>
    </row>
    <row r="1088" spans="1:16" s="416" customFormat="1" ht="14" outlineLevel="5">
      <c r="A1088" s="400" t="s">
        <v>8</v>
      </c>
      <c r="B1088" s="563" t="s">
        <v>1053</v>
      </c>
      <c r="C1088" s="397" t="s">
        <v>166</v>
      </c>
      <c r="D1088" s="398">
        <v>2</v>
      </c>
      <c r="E1088" s="398"/>
      <c r="F1088" s="398">
        <v>560</v>
      </c>
      <c r="G1088" s="398">
        <f t="shared" ref="G1088" si="286">F1088*D1088</f>
        <v>1120</v>
      </c>
      <c r="H1088" s="398">
        <f t="shared" ref="H1088" si="287">F1088*E1088</f>
        <v>0</v>
      </c>
      <c r="I1088" s="399"/>
      <c r="J1088" s="411" t="s">
        <v>21</v>
      </c>
      <c r="K1088" s="411" t="s">
        <v>130</v>
      </c>
      <c r="L1088" s="411" t="s">
        <v>112</v>
      </c>
      <c r="M1088" s="411" t="s">
        <v>32</v>
      </c>
      <c r="N1088" s="460"/>
      <c r="P1088" s="417"/>
    </row>
    <row r="1089" spans="1:16" s="416" customFormat="1" ht="14" outlineLevel="5">
      <c r="A1089" s="400" t="s">
        <v>8</v>
      </c>
      <c r="B1089" s="563" t="s">
        <v>1314</v>
      </c>
      <c r="C1089" s="397" t="s">
        <v>24</v>
      </c>
      <c r="D1089" s="398">
        <v>5</v>
      </c>
      <c r="E1089" s="398"/>
      <c r="F1089" s="398">
        <v>8500</v>
      </c>
      <c r="G1089" s="398">
        <f t="shared" si="284"/>
        <v>42500</v>
      </c>
      <c r="H1089" s="398">
        <f t="shared" si="285"/>
        <v>0</v>
      </c>
      <c r="I1089" s="399"/>
      <c r="J1089" s="411" t="s">
        <v>21</v>
      </c>
      <c r="K1089" s="411" t="s">
        <v>130</v>
      </c>
      <c r="L1089" s="411" t="s">
        <v>112</v>
      </c>
      <c r="M1089" s="411" t="s">
        <v>32</v>
      </c>
      <c r="N1089" s="460"/>
      <c r="P1089" s="417"/>
    </row>
    <row r="1090" spans="1:16" s="416" customFormat="1" ht="14" outlineLevel="5">
      <c r="A1090" s="400" t="s">
        <v>8</v>
      </c>
      <c r="B1090" s="563" t="s">
        <v>1316</v>
      </c>
      <c r="C1090" s="397" t="s">
        <v>23</v>
      </c>
      <c r="D1090" s="398">
        <v>2</v>
      </c>
      <c r="E1090" s="398"/>
      <c r="F1090" s="398">
        <v>29117</v>
      </c>
      <c r="G1090" s="398">
        <f t="shared" si="284"/>
        <v>58234</v>
      </c>
      <c r="H1090" s="398">
        <f t="shared" si="285"/>
        <v>0</v>
      </c>
      <c r="I1090" s="399"/>
      <c r="J1090" s="411" t="s">
        <v>21</v>
      </c>
      <c r="K1090" s="411" t="s">
        <v>130</v>
      </c>
      <c r="L1090" s="411" t="s">
        <v>112</v>
      </c>
      <c r="M1090" s="411" t="s">
        <v>32</v>
      </c>
      <c r="N1090" s="460"/>
      <c r="P1090" s="417"/>
    </row>
    <row r="1091" spans="1:16" s="413" customFormat="1" ht="15" customHeight="1" outlineLevel="3">
      <c r="A1091" s="388" t="s">
        <v>312</v>
      </c>
      <c r="B1091" s="389" t="s">
        <v>313</v>
      </c>
      <c r="C1091" s="390"/>
      <c r="D1091" s="391"/>
      <c r="E1091" s="391"/>
      <c r="F1091" s="391"/>
      <c r="G1091" s="391">
        <f>SUBTOTAL(9,G1092:G1155)</f>
        <v>227664</v>
      </c>
      <c r="H1091" s="391">
        <f>SUBTOTAL(9,H1092:H1155)</f>
        <v>308554</v>
      </c>
      <c r="I1091" s="391"/>
      <c r="J1091" s="410"/>
      <c r="K1091" s="411"/>
      <c r="L1091" s="411"/>
      <c r="M1091" s="412"/>
      <c r="N1091" s="412"/>
      <c r="P1091" s="414"/>
    </row>
    <row r="1092" spans="1:16" s="413" customFormat="1" ht="13" customHeight="1" outlineLevel="4">
      <c r="A1092" s="388">
        <v>1</v>
      </c>
      <c r="B1092" s="389" t="s">
        <v>1443</v>
      </c>
      <c r="C1092" s="390"/>
      <c r="D1092" s="391"/>
      <c r="E1092" s="391"/>
      <c r="F1092" s="391"/>
      <c r="G1092" s="391">
        <f>SUBTOTAL(9,G1093:G1093)</f>
        <v>0</v>
      </c>
      <c r="H1092" s="391">
        <f>SUBTOTAL(9,H1093:H1093)</f>
        <v>58234</v>
      </c>
      <c r="I1092" s="391"/>
      <c r="J1092" s="410"/>
      <c r="K1092" s="411"/>
      <c r="L1092" s="411"/>
      <c r="M1092" s="412"/>
      <c r="N1092" s="412"/>
      <c r="P1092" s="414"/>
    </row>
    <row r="1093" spans="1:16" s="416" customFormat="1" ht="14" outlineLevel="5">
      <c r="A1093" s="405" t="s">
        <v>8</v>
      </c>
      <c r="B1093" s="564" t="s">
        <v>1316</v>
      </c>
      <c r="C1093" s="397" t="s">
        <v>23</v>
      </c>
      <c r="D1093" s="398">
        <v>0</v>
      </c>
      <c r="E1093" s="398">
        <v>2</v>
      </c>
      <c r="F1093" s="398">
        <v>29117</v>
      </c>
      <c r="G1093" s="398">
        <f t="shared" ref="G1093" si="288">F1093*D1093</f>
        <v>0</v>
      </c>
      <c r="H1093" s="398">
        <f t="shared" ref="H1093" si="289">F1093*E1093</f>
        <v>58234</v>
      </c>
      <c r="I1093" s="399"/>
      <c r="J1093" s="411" t="s">
        <v>21</v>
      </c>
      <c r="K1093" s="411" t="s">
        <v>130</v>
      </c>
      <c r="L1093" s="411" t="s">
        <v>112</v>
      </c>
      <c r="M1093" s="411" t="s">
        <v>32</v>
      </c>
      <c r="N1093" s="460"/>
      <c r="P1093" s="417"/>
    </row>
    <row r="1094" spans="1:16" s="413" customFormat="1" ht="13" customHeight="1" outlineLevel="4">
      <c r="A1094" s="388">
        <v>2</v>
      </c>
      <c r="B1094" s="532" t="s">
        <v>1065</v>
      </c>
      <c r="C1094" s="390"/>
      <c r="D1094" s="391"/>
      <c r="E1094" s="391"/>
      <c r="F1094" s="391"/>
      <c r="G1094" s="391">
        <f>SUBTOTAL(9,G1095:G1102)</f>
        <v>0</v>
      </c>
      <c r="H1094" s="391">
        <f>SUBTOTAL(9,H1095:H1102)</f>
        <v>0</v>
      </c>
      <c r="I1094" s="391"/>
      <c r="J1094" s="410"/>
      <c r="K1094" s="411"/>
      <c r="L1094" s="411"/>
      <c r="M1094" s="412"/>
      <c r="N1094" s="412"/>
      <c r="P1094" s="414"/>
    </row>
    <row r="1095" spans="1:16" s="416" customFormat="1" ht="14" outlineLevel="5">
      <c r="A1095" s="405" t="s">
        <v>8</v>
      </c>
      <c r="B1095" s="564" t="s">
        <v>1066</v>
      </c>
      <c r="C1095" s="397" t="s">
        <v>1063</v>
      </c>
      <c r="D1095" s="398"/>
      <c r="E1095" s="398"/>
      <c r="F1095" s="398"/>
      <c r="G1095" s="398">
        <f t="shared" ref="G1095:G1102" si="290">F1095*D1095</f>
        <v>0</v>
      </c>
      <c r="H1095" s="398">
        <f t="shared" ref="H1095:H1102" si="291">F1095*E1095</f>
        <v>0</v>
      </c>
      <c r="I1095" s="399"/>
      <c r="J1095" s="411" t="s">
        <v>21</v>
      </c>
      <c r="K1095" s="449" t="s">
        <v>152</v>
      </c>
      <c r="L1095" s="411" t="s">
        <v>112</v>
      </c>
      <c r="M1095" s="411" t="s">
        <v>32</v>
      </c>
      <c r="N1095" s="460"/>
      <c r="P1095" s="417"/>
    </row>
    <row r="1096" spans="1:16" s="416" customFormat="1" ht="14" outlineLevel="5">
      <c r="A1096" s="400" t="s">
        <v>8</v>
      </c>
      <c r="B1096" s="563" t="s">
        <v>1067</v>
      </c>
      <c r="C1096" s="397" t="s">
        <v>23</v>
      </c>
      <c r="D1096" s="398"/>
      <c r="E1096" s="398"/>
      <c r="F1096" s="398"/>
      <c r="G1096" s="398">
        <f t="shared" si="290"/>
        <v>0</v>
      </c>
      <c r="H1096" s="398">
        <f t="shared" si="291"/>
        <v>0</v>
      </c>
      <c r="I1096" s="399"/>
      <c r="J1096" s="411" t="s">
        <v>21</v>
      </c>
      <c r="K1096" s="449" t="s">
        <v>152</v>
      </c>
      <c r="L1096" s="411" t="s">
        <v>112</v>
      </c>
      <c r="M1096" s="411" t="s">
        <v>32</v>
      </c>
      <c r="N1096" s="460"/>
      <c r="P1096" s="417"/>
    </row>
    <row r="1097" spans="1:16" s="416" customFormat="1" ht="14" outlineLevel="5">
      <c r="A1097" s="400" t="s">
        <v>8</v>
      </c>
      <c r="B1097" s="563" t="s">
        <v>1068</v>
      </c>
      <c r="C1097" s="397" t="s">
        <v>23</v>
      </c>
      <c r="D1097" s="398"/>
      <c r="E1097" s="398"/>
      <c r="F1097" s="398"/>
      <c r="G1097" s="398">
        <f t="shared" si="290"/>
        <v>0</v>
      </c>
      <c r="H1097" s="398">
        <f t="shared" si="291"/>
        <v>0</v>
      </c>
      <c r="I1097" s="399"/>
      <c r="J1097" s="411" t="s">
        <v>21</v>
      </c>
      <c r="K1097" s="449" t="s">
        <v>152</v>
      </c>
      <c r="L1097" s="411" t="s">
        <v>112</v>
      </c>
      <c r="M1097" s="411" t="s">
        <v>32</v>
      </c>
      <c r="N1097" s="460"/>
      <c r="P1097" s="417"/>
    </row>
    <row r="1098" spans="1:16" s="416" customFormat="1" ht="14" outlineLevel="5">
      <c r="A1098" s="405" t="s">
        <v>8</v>
      </c>
      <c r="B1098" s="564" t="s">
        <v>1069</v>
      </c>
      <c r="C1098" s="397" t="s">
        <v>23</v>
      </c>
      <c r="D1098" s="398"/>
      <c r="E1098" s="398"/>
      <c r="F1098" s="398"/>
      <c r="G1098" s="398">
        <f t="shared" si="290"/>
        <v>0</v>
      </c>
      <c r="H1098" s="398">
        <f t="shared" si="291"/>
        <v>0</v>
      </c>
      <c r="I1098" s="399"/>
      <c r="J1098" s="411" t="s">
        <v>21</v>
      </c>
      <c r="K1098" s="449" t="s">
        <v>152</v>
      </c>
      <c r="L1098" s="411" t="s">
        <v>112</v>
      </c>
      <c r="M1098" s="411" t="s">
        <v>32</v>
      </c>
      <c r="N1098" s="460"/>
      <c r="P1098" s="417"/>
    </row>
    <row r="1099" spans="1:16" s="416" customFormat="1" ht="14" outlineLevel="5">
      <c r="A1099" s="400" t="s">
        <v>8</v>
      </c>
      <c r="B1099" s="563" t="s">
        <v>1070</v>
      </c>
      <c r="C1099" s="397" t="s">
        <v>23</v>
      </c>
      <c r="D1099" s="398"/>
      <c r="E1099" s="398"/>
      <c r="F1099" s="398"/>
      <c r="G1099" s="398">
        <f t="shared" si="290"/>
        <v>0</v>
      </c>
      <c r="H1099" s="398">
        <f t="shared" si="291"/>
        <v>0</v>
      </c>
      <c r="I1099" s="399"/>
      <c r="J1099" s="411" t="s">
        <v>21</v>
      </c>
      <c r="K1099" s="449" t="s">
        <v>152</v>
      </c>
      <c r="L1099" s="411" t="s">
        <v>112</v>
      </c>
      <c r="M1099" s="411" t="s">
        <v>32</v>
      </c>
      <c r="N1099" s="460"/>
      <c r="P1099" s="417"/>
    </row>
    <row r="1100" spans="1:16" s="416" customFormat="1" ht="14" outlineLevel="5">
      <c r="A1100" s="400" t="s">
        <v>8</v>
      </c>
      <c r="B1100" s="563" t="s">
        <v>1040</v>
      </c>
      <c r="C1100" s="397" t="s">
        <v>166</v>
      </c>
      <c r="D1100" s="398"/>
      <c r="E1100" s="398"/>
      <c r="F1100" s="398"/>
      <c r="G1100" s="398">
        <f t="shared" si="290"/>
        <v>0</v>
      </c>
      <c r="H1100" s="398">
        <f t="shared" si="291"/>
        <v>0</v>
      </c>
      <c r="I1100" s="399"/>
      <c r="J1100" s="411" t="s">
        <v>21</v>
      </c>
      <c r="K1100" s="449" t="s">
        <v>152</v>
      </c>
      <c r="L1100" s="411" t="s">
        <v>112</v>
      </c>
      <c r="M1100" s="411" t="s">
        <v>32</v>
      </c>
      <c r="N1100" s="460"/>
      <c r="P1100" s="417"/>
    </row>
    <row r="1101" spans="1:16" s="416" customFormat="1" ht="14" outlineLevel="5">
      <c r="A1101" s="400" t="s">
        <v>8</v>
      </c>
      <c r="B1101" s="563" t="s">
        <v>1047</v>
      </c>
      <c r="C1101" s="397" t="s">
        <v>166</v>
      </c>
      <c r="D1101" s="398"/>
      <c r="E1101" s="398"/>
      <c r="F1101" s="398"/>
      <c r="G1101" s="398">
        <f t="shared" si="290"/>
        <v>0</v>
      </c>
      <c r="H1101" s="398">
        <f t="shared" si="291"/>
        <v>0</v>
      </c>
      <c r="I1101" s="399"/>
      <c r="J1101" s="411" t="s">
        <v>21</v>
      </c>
      <c r="K1101" s="449" t="s">
        <v>152</v>
      </c>
      <c r="L1101" s="411" t="s">
        <v>112</v>
      </c>
      <c r="M1101" s="411" t="s">
        <v>32</v>
      </c>
      <c r="N1101" s="460"/>
      <c r="P1101" s="417"/>
    </row>
    <row r="1102" spans="1:16" s="416" customFormat="1" ht="14" outlineLevel="5">
      <c r="A1102" s="405" t="s">
        <v>8</v>
      </c>
      <c r="B1102" s="564" t="s">
        <v>1032</v>
      </c>
      <c r="C1102" s="397" t="s">
        <v>1064</v>
      </c>
      <c r="D1102" s="398"/>
      <c r="E1102" s="398"/>
      <c r="F1102" s="398"/>
      <c r="G1102" s="398">
        <f t="shared" si="290"/>
        <v>0</v>
      </c>
      <c r="H1102" s="398">
        <f t="shared" si="291"/>
        <v>0</v>
      </c>
      <c r="I1102" s="399"/>
      <c r="J1102" s="411" t="s">
        <v>21</v>
      </c>
      <c r="K1102" s="449" t="s">
        <v>152</v>
      </c>
      <c r="L1102" s="411" t="s">
        <v>112</v>
      </c>
      <c r="M1102" s="411" t="s">
        <v>32</v>
      </c>
      <c r="N1102" s="460"/>
      <c r="P1102" s="417"/>
    </row>
    <row r="1103" spans="1:16" s="413" customFormat="1" ht="13" customHeight="1" outlineLevel="4">
      <c r="A1103" s="388">
        <v>3</v>
      </c>
      <c r="B1103" s="532" t="s">
        <v>1071</v>
      </c>
      <c r="C1103" s="390"/>
      <c r="D1103" s="391"/>
      <c r="E1103" s="391"/>
      <c r="F1103" s="391"/>
      <c r="G1103" s="391">
        <f>SUBTOTAL(9,G1104:G1111)</f>
        <v>0</v>
      </c>
      <c r="H1103" s="391">
        <f>SUBTOTAL(9,H1104:H1111)</f>
        <v>0</v>
      </c>
      <c r="I1103" s="391"/>
      <c r="J1103" s="410"/>
      <c r="K1103" s="411"/>
      <c r="L1103" s="411"/>
      <c r="M1103" s="412"/>
      <c r="N1103" s="412"/>
      <c r="P1103" s="414"/>
    </row>
    <row r="1104" spans="1:16" s="416" customFormat="1" ht="14" outlineLevel="5">
      <c r="A1104" s="405" t="s">
        <v>8</v>
      </c>
      <c r="B1104" s="564" t="s">
        <v>1072</v>
      </c>
      <c r="C1104" s="397" t="s">
        <v>1063</v>
      </c>
      <c r="D1104" s="398"/>
      <c r="E1104" s="398"/>
      <c r="F1104" s="398"/>
      <c r="G1104" s="398">
        <f t="shared" ref="G1104:G1111" si="292">F1104*D1104</f>
        <v>0</v>
      </c>
      <c r="H1104" s="398">
        <f t="shared" ref="H1104:H1111" si="293">F1104*E1104</f>
        <v>0</v>
      </c>
      <c r="I1104" s="399"/>
      <c r="J1104" s="411" t="s">
        <v>21</v>
      </c>
      <c r="K1104" s="449" t="s">
        <v>152</v>
      </c>
      <c r="L1104" s="411" t="s">
        <v>112</v>
      </c>
      <c r="M1104" s="411" t="s">
        <v>32</v>
      </c>
      <c r="N1104" s="460"/>
      <c r="P1104" s="417"/>
    </row>
    <row r="1105" spans="1:16" s="416" customFormat="1" ht="14" outlineLevel="5">
      <c r="A1105" s="400" t="s">
        <v>8</v>
      </c>
      <c r="B1105" s="563" t="s">
        <v>1069</v>
      </c>
      <c r="C1105" s="397" t="s">
        <v>23</v>
      </c>
      <c r="D1105" s="398"/>
      <c r="E1105" s="398"/>
      <c r="F1105" s="398"/>
      <c r="G1105" s="398">
        <f t="shared" si="292"/>
        <v>0</v>
      </c>
      <c r="H1105" s="398">
        <f t="shared" si="293"/>
        <v>0</v>
      </c>
      <c r="I1105" s="399"/>
      <c r="J1105" s="411" t="s">
        <v>21</v>
      </c>
      <c r="K1105" s="449" t="s">
        <v>152</v>
      </c>
      <c r="L1105" s="411" t="s">
        <v>112</v>
      </c>
      <c r="M1105" s="411" t="s">
        <v>32</v>
      </c>
      <c r="N1105" s="460"/>
      <c r="P1105" s="417"/>
    </row>
    <row r="1106" spans="1:16" s="416" customFormat="1" ht="14" outlineLevel="5">
      <c r="A1106" s="400" t="s">
        <v>8</v>
      </c>
      <c r="B1106" s="563" t="s">
        <v>1070</v>
      </c>
      <c r="C1106" s="397" t="s">
        <v>23</v>
      </c>
      <c r="D1106" s="398"/>
      <c r="E1106" s="398"/>
      <c r="F1106" s="398"/>
      <c r="G1106" s="398">
        <f t="shared" si="292"/>
        <v>0</v>
      </c>
      <c r="H1106" s="398">
        <f t="shared" si="293"/>
        <v>0</v>
      </c>
      <c r="I1106" s="399"/>
      <c r="J1106" s="411" t="s">
        <v>21</v>
      </c>
      <c r="K1106" s="449" t="s">
        <v>152</v>
      </c>
      <c r="L1106" s="411" t="s">
        <v>112</v>
      </c>
      <c r="M1106" s="411" t="s">
        <v>32</v>
      </c>
      <c r="N1106" s="460"/>
      <c r="P1106" s="417"/>
    </row>
    <row r="1107" spans="1:16" s="416" customFormat="1" ht="14" outlineLevel="5">
      <c r="A1107" s="405" t="s">
        <v>8</v>
      </c>
      <c r="B1107" s="564" t="s">
        <v>1073</v>
      </c>
      <c r="C1107" s="397" t="s">
        <v>23</v>
      </c>
      <c r="D1107" s="398"/>
      <c r="E1107" s="398"/>
      <c r="F1107" s="398"/>
      <c r="G1107" s="398">
        <f t="shared" si="292"/>
        <v>0</v>
      </c>
      <c r="H1107" s="398">
        <f t="shared" si="293"/>
        <v>0</v>
      </c>
      <c r="I1107" s="399"/>
      <c r="J1107" s="411" t="s">
        <v>21</v>
      </c>
      <c r="K1107" s="449" t="s">
        <v>152</v>
      </c>
      <c r="L1107" s="411" t="s">
        <v>112</v>
      </c>
      <c r="M1107" s="411" t="s">
        <v>32</v>
      </c>
      <c r="N1107" s="460"/>
      <c r="P1107" s="417"/>
    </row>
    <row r="1108" spans="1:16" s="416" customFormat="1" ht="14" outlineLevel="5">
      <c r="A1108" s="400" t="s">
        <v>8</v>
      </c>
      <c r="B1108" s="563" t="s">
        <v>1040</v>
      </c>
      <c r="C1108" s="397" t="s">
        <v>166</v>
      </c>
      <c r="D1108" s="398"/>
      <c r="E1108" s="398"/>
      <c r="F1108" s="398"/>
      <c r="G1108" s="398">
        <f t="shared" si="292"/>
        <v>0</v>
      </c>
      <c r="H1108" s="398">
        <f t="shared" si="293"/>
        <v>0</v>
      </c>
      <c r="I1108" s="399"/>
      <c r="J1108" s="411" t="s">
        <v>21</v>
      </c>
      <c r="K1108" s="449" t="s">
        <v>152</v>
      </c>
      <c r="L1108" s="411" t="s">
        <v>112</v>
      </c>
      <c r="M1108" s="411" t="s">
        <v>32</v>
      </c>
      <c r="N1108" s="460"/>
      <c r="P1108" s="417"/>
    </row>
    <row r="1109" spans="1:16" s="416" customFormat="1" ht="14" outlineLevel="5">
      <c r="A1109" s="400" t="s">
        <v>8</v>
      </c>
      <c r="B1109" s="563" t="s">
        <v>1047</v>
      </c>
      <c r="C1109" s="397" t="s">
        <v>166</v>
      </c>
      <c r="D1109" s="398"/>
      <c r="E1109" s="398"/>
      <c r="F1109" s="398"/>
      <c r="G1109" s="398">
        <f t="shared" si="292"/>
        <v>0</v>
      </c>
      <c r="H1109" s="398">
        <f t="shared" si="293"/>
        <v>0</v>
      </c>
      <c r="I1109" s="399"/>
      <c r="J1109" s="411" t="s">
        <v>21</v>
      </c>
      <c r="K1109" s="449" t="s">
        <v>152</v>
      </c>
      <c r="L1109" s="411" t="s">
        <v>112</v>
      </c>
      <c r="M1109" s="411" t="s">
        <v>32</v>
      </c>
      <c r="N1109" s="460"/>
      <c r="P1109" s="417"/>
    </row>
    <row r="1110" spans="1:16" s="416" customFormat="1" ht="14" outlineLevel="5">
      <c r="A1110" s="400" t="s">
        <v>8</v>
      </c>
      <c r="B1110" s="563" t="s">
        <v>1059</v>
      </c>
      <c r="C1110" s="397" t="s">
        <v>166</v>
      </c>
      <c r="D1110" s="398"/>
      <c r="E1110" s="398"/>
      <c r="F1110" s="398"/>
      <c r="G1110" s="398">
        <f t="shared" si="292"/>
        <v>0</v>
      </c>
      <c r="H1110" s="398">
        <f t="shared" si="293"/>
        <v>0</v>
      </c>
      <c r="I1110" s="399"/>
      <c r="J1110" s="411" t="s">
        <v>21</v>
      </c>
      <c r="K1110" s="449" t="s">
        <v>152</v>
      </c>
      <c r="L1110" s="411" t="s">
        <v>112</v>
      </c>
      <c r="M1110" s="411" t="s">
        <v>32</v>
      </c>
      <c r="N1110" s="460"/>
      <c r="P1110" s="417"/>
    </row>
    <row r="1111" spans="1:16" s="416" customFormat="1" ht="14" outlineLevel="5">
      <c r="A1111" s="405" t="s">
        <v>8</v>
      </c>
      <c r="B1111" s="564" t="s">
        <v>1032</v>
      </c>
      <c r="C1111" s="397" t="s">
        <v>1064</v>
      </c>
      <c r="D1111" s="398"/>
      <c r="E1111" s="398"/>
      <c r="F1111" s="398"/>
      <c r="G1111" s="398">
        <f t="shared" si="292"/>
        <v>0</v>
      </c>
      <c r="H1111" s="398">
        <f t="shared" si="293"/>
        <v>0</v>
      </c>
      <c r="I1111" s="399"/>
      <c r="J1111" s="411" t="s">
        <v>21</v>
      </c>
      <c r="K1111" s="449" t="s">
        <v>152</v>
      </c>
      <c r="L1111" s="411" t="s">
        <v>112</v>
      </c>
      <c r="M1111" s="411" t="s">
        <v>32</v>
      </c>
      <c r="N1111" s="460"/>
      <c r="P1111" s="417"/>
    </row>
    <row r="1112" spans="1:16" s="413" customFormat="1" ht="13" customHeight="1" outlineLevel="4">
      <c r="A1112" s="388">
        <v>4</v>
      </c>
      <c r="B1112" s="532" t="s">
        <v>1074</v>
      </c>
      <c r="C1112" s="390"/>
      <c r="D1112" s="391"/>
      <c r="E1112" s="391"/>
      <c r="F1112" s="391"/>
      <c r="G1112" s="391">
        <f>SUBTOTAL(9,G1113:G1120)</f>
        <v>227664</v>
      </c>
      <c r="H1112" s="391">
        <f>SUBTOTAL(9,H1113:H1120)</f>
        <v>0</v>
      </c>
      <c r="I1112" s="391"/>
      <c r="J1112" s="410"/>
      <c r="K1112" s="411"/>
      <c r="L1112" s="411"/>
      <c r="M1112" s="412"/>
      <c r="N1112" s="412"/>
      <c r="P1112" s="414"/>
    </row>
    <row r="1113" spans="1:16" s="416" customFormat="1" ht="14" outlineLevel="5">
      <c r="A1113" s="405" t="s">
        <v>8</v>
      </c>
      <c r="B1113" s="564" t="s">
        <v>1317</v>
      </c>
      <c r="C1113" s="397" t="s">
        <v>23</v>
      </c>
      <c r="D1113" s="562">
        <v>2</v>
      </c>
      <c r="E1113" s="398"/>
      <c r="F1113" s="398">
        <v>45000</v>
      </c>
      <c r="G1113" s="398">
        <f t="shared" ref="G1113:G1116" si="294">F1113*D1113</f>
        <v>90000</v>
      </c>
      <c r="H1113" s="398">
        <f t="shared" ref="H1113:H1116" si="295">F1113*E1113</f>
        <v>0</v>
      </c>
      <c r="I1113" s="399"/>
      <c r="J1113" s="411" t="s">
        <v>21</v>
      </c>
      <c r="K1113" s="449" t="s">
        <v>152</v>
      </c>
      <c r="L1113" s="411" t="s">
        <v>112</v>
      </c>
      <c r="M1113" s="411" t="s">
        <v>32</v>
      </c>
      <c r="N1113" s="460"/>
      <c r="P1113" s="417"/>
    </row>
    <row r="1114" spans="1:16" s="416" customFormat="1" ht="14" outlineLevel="5">
      <c r="A1114" s="400" t="s">
        <v>8</v>
      </c>
      <c r="B1114" s="563" t="s">
        <v>1318</v>
      </c>
      <c r="C1114" s="397" t="s">
        <v>166</v>
      </c>
      <c r="D1114" s="562">
        <v>160</v>
      </c>
      <c r="E1114" s="398"/>
      <c r="F1114" s="398">
        <v>77</v>
      </c>
      <c r="G1114" s="398">
        <f t="shared" si="294"/>
        <v>12320</v>
      </c>
      <c r="H1114" s="398">
        <f t="shared" si="295"/>
        <v>0</v>
      </c>
      <c r="I1114" s="399"/>
      <c r="J1114" s="411" t="s">
        <v>21</v>
      </c>
      <c r="K1114" s="449" t="s">
        <v>152</v>
      </c>
      <c r="L1114" s="411" t="s">
        <v>112</v>
      </c>
      <c r="M1114" s="411" t="s">
        <v>32</v>
      </c>
      <c r="N1114" s="460"/>
      <c r="P1114" s="417"/>
    </row>
    <row r="1115" spans="1:16" s="416" customFormat="1" ht="14" outlineLevel="5">
      <c r="A1115" s="400" t="s">
        <v>8</v>
      </c>
      <c r="B1115" s="563" t="s">
        <v>1319</v>
      </c>
      <c r="C1115" s="397" t="s">
        <v>1003</v>
      </c>
      <c r="D1115" s="562">
        <v>320</v>
      </c>
      <c r="E1115" s="398"/>
      <c r="F1115" s="398">
        <v>4</v>
      </c>
      <c r="G1115" s="398">
        <f t="shared" si="294"/>
        <v>1280</v>
      </c>
      <c r="H1115" s="398">
        <f t="shared" si="295"/>
        <v>0</v>
      </c>
      <c r="I1115" s="399"/>
      <c r="J1115" s="411" t="s">
        <v>21</v>
      </c>
      <c r="K1115" s="449" t="s">
        <v>152</v>
      </c>
      <c r="L1115" s="411" t="s">
        <v>112</v>
      </c>
      <c r="M1115" s="411" t="s">
        <v>32</v>
      </c>
      <c r="N1115" s="460"/>
      <c r="P1115" s="417"/>
    </row>
    <row r="1116" spans="1:16" s="416" customFormat="1" ht="14" outlineLevel="5">
      <c r="A1116" s="405" t="s">
        <v>8</v>
      </c>
      <c r="B1116" s="564" t="s">
        <v>1320</v>
      </c>
      <c r="C1116" s="397" t="s">
        <v>23</v>
      </c>
      <c r="D1116" s="562">
        <v>2</v>
      </c>
      <c r="E1116" s="398"/>
      <c r="F1116" s="398">
        <v>53000</v>
      </c>
      <c r="G1116" s="398">
        <f t="shared" si="294"/>
        <v>106000</v>
      </c>
      <c r="H1116" s="398">
        <f t="shared" si="295"/>
        <v>0</v>
      </c>
      <c r="I1116" s="399"/>
      <c r="J1116" s="411" t="s">
        <v>21</v>
      </c>
      <c r="K1116" s="449" t="s">
        <v>152</v>
      </c>
      <c r="L1116" s="411" t="s">
        <v>112</v>
      </c>
      <c r="M1116" s="411" t="s">
        <v>32</v>
      </c>
      <c r="N1116" s="460"/>
      <c r="P1116" s="417"/>
    </row>
    <row r="1117" spans="1:16" s="416" customFormat="1" ht="14" outlineLevel="5">
      <c r="A1117" s="405" t="s">
        <v>8</v>
      </c>
      <c r="B1117" s="564" t="s">
        <v>1321</v>
      </c>
      <c r="C1117" s="397" t="s">
        <v>166</v>
      </c>
      <c r="D1117" s="562">
        <v>4</v>
      </c>
      <c r="E1117" s="398"/>
      <c r="F1117" s="398">
        <v>3000</v>
      </c>
      <c r="G1117" s="398">
        <f t="shared" ref="G1117:G1120" si="296">F1117*D1117</f>
        <v>12000</v>
      </c>
      <c r="H1117" s="398">
        <f t="shared" ref="H1117:H1120" si="297">F1117*E1117</f>
        <v>0</v>
      </c>
      <c r="I1117" s="399"/>
      <c r="J1117" s="411" t="s">
        <v>21</v>
      </c>
      <c r="K1117" s="449" t="s">
        <v>152</v>
      </c>
      <c r="L1117" s="411" t="s">
        <v>112</v>
      </c>
      <c r="M1117" s="411" t="s">
        <v>32</v>
      </c>
      <c r="N1117" s="460"/>
      <c r="P1117" s="417"/>
    </row>
    <row r="1118" spans="1:16" s="416" customFormat="1" ht="14" outlineLevel="5">
      <c r="A1118" s="400" t="s">
        <v>8</v>
      </c>
      <c r="B1118" s="563" t="s">
        <v>1322</v>
      </c>
      <c r="C1118" s="397" t="s">
        <v>166</v>
      </c>
      <c r="D1118" s="562">
        <v>4</v>
      </c>
      <c r="E1118" s="398"/>
      <c r="F1118" s="398">
        <v>500</v>
      </c>
      <c r="G1118" s="398">
        <f t="shared" si="296"/>
        <v>2000</v>
      </c>
      <c r="H1118" s="398">
        <f t="shared" si="297"/>
        <v>0</v>
      </c>
      <c r="I1118" s="399"/>
      <c r="J1118" s="411" t="s">
        <v>21</v>
      </c>
      <c r="K1118" s="449" t="s">
        <v>152</v>
      </c>
      <c r="L1118" s="411" t="s">
        <v>112</v>
      </c>
      <c r="M1118" s="411" t="s">
        <v>32</v>
      </c>
      <c r="N1118" s="460"/>
      <c r="P1118" s="417"/>
    </row>
    <row r="1119" spans="1:16" s="416" customFormat="1" ht="14" outlineLevel="5">
      <c r="A1119" s="400" t="s">
        <v>8</v>
      </c>
      <c r="B1119" s="563" t="s">
        <v>1319</v>
      </c>
      <c r="C1119" s="397" t="s">
        <v>1003</v>
      </c>
      <c r="D1119" s="562">
        <v>16</v>
      </c>
      <c r="E1119" s="398"/>
      <c r="F1119" s="398">
        <v>4</v>
      </c>
      <c r="G1119" s="398">
        <f t="shared" ref="G1119" si="298">F1119*D1119</f>
        <v>64</v>
      </c>
      <c r="H1119" s="398">
        <f t="shared" ref="H1119" si="299">F1119*E1119</f>
        <v>0</v>
      </c>
      <c r="I1119" s="399"/>
      <c r="J1119" s="411" t="s">
        <v>21</v>
      </c>
      <c r="K1119" s="449" t="s">
        <v>152</v>
      </c>
      <c r="L1119" s="411" t="s">
        <v>112</v>
      </c>
      <c r="M1119" s="411" t="s">
        <v>32</v>
      </c>
      <c r="N1119" s="460"/>
      <c r="P1119" s="417"/>
    </row>
    <row r="1120" spans="1:16" s="416" customFormat="1" ht="14" outlineLevel="5">
      <c r="A1120" s="400" t="s">
        <v>8</v>
      </c>
      <c r="B1120" s="563" t="s">
        <v>1420</v>
      </c>
      <c r="C1120" s="397" t="s">
        <v>23</v>
      </c>
      <c r="D1120" s="562">
        <v>1</v>
      </c>
      <c r="E1120" s="398"/>
      <c r="F1120" s="398">
        <v>4000</v>
      </c>
      <c r="G1120" s="398">
        <f t="shared" si="296"/>
        <v>4000</v>
      </c>
      <c r="H1120" s="398">
        <f t="shared" si="297"/>
        <v>0</v>
      </c>
      <c r="I1120" s="399"/>
      <c r="J1120" s="411" t="s">
        <v>21</v>
      </c>
      <c r="K1120" s="449" t="s">
        <v>152</v>
      </c>
      <c r="L1120" s="411" t="s">
        <v>112</v>
      </c>
      <c r="M1120" s="411" t="s">
        <v>32</v>
      </c>
      <c r="N1120" s="460"/>
      <c r="P1120" s="417"/>
    </row>
    <row r="1121" spans="1:16" s="413" customFormat="1" ht="13" customHeight="1" outlineLevel="4">
      <c r="A1121" s="388">
        <v>5</v>
      </c>
      <c r="B1121" s="532" t="s">
        <v>1079</v>
      </c>
      <c r="C1121" s="390"/>
      <c r="D1121" s="391"/>
      <c r="E1121" s="391"/>
      <c r="F1121" s="391"/>
      <c r="G1121" s="391">
        <f>SUBTOTAL(9,G1122:G1134)</f>
        <v>0</v>
      </c>
      <c r="H1121" s="391">
        <f>SUBTOTAL(9,H1122:H1134)</f>
        <v>0</v>
      </c>
      <c r="I1121" s="391"/>
      <c r="J1121" s="410"/>
      <c r="K1121" s="411"/>
      <c r="L1121" s="411"/>
      <c r="M1121" s="412"/>
      <c r="N1121" s="412"/>
      <c r="P1121" s="414"/>
    </row>
    <row r="1122" spans="1:16" s="416" customFormat="1" ht="14" outlineLevel="5">
      <c r="A1122" s="405" t="s">
        <v>8</v>
      </c>
      <c r="B1122" s="564" t="s">
        <v>1075</v>
      </c>
      <c r="C1122" s="397" t="s">
        <v>1063</v>
      </c>
      <c r="D1122" s="398"/>
      <c r="E1122" s="398"/>
      <c r="F1122" s="398"/>
      <c r="G1122" s="398">
        <f t="shared" ref="G1122" si="300">F1122*D1122</f>
        <v>0</v>
      </c>
      <c r="H1122" s="398">
        <f t="shared" ref="H1122" si="301">F1122*E1122</f>
        <v>0</v>
      </c>
      <c r="I1122" s="399"/>
      <c r="J1122" s="411" t="s">
        <v>21</v>
      </c>
      <c r="K1122" s="449" t="s">
        <v>152</v>
      </c>
      <c r="L1122" s="411" t="s">
        <v>112</v>
      </c>
      <c r="M1122" s="411" t="s">
        <v>32</v>
      </c>
      <c r="N1122" s="460"/>
      <c r="P1122" s="417"/>
    </row>
    <row r="1123" spans="1:16" s="416" customFormat="1" ht="14" outlineLevel="5">
      <c r="A1123" s="405" t="s">
        <v>8</v>
      </c>
      <c r="B1123" s="564" t="s">
        <v>1080</v>
      </c>
      <c r="C1123" s="397" t="s">
        <v>23</v>
      </c>
      <c r="D1123" s="398"/>
      <c r="E1123" s="398"/>
      <c r="F1123" s="398"/>
      <c r="G1123" s="398">
        <f t="shared" ref="G1123:G1134" si="302">F1123*D1123</f>
        <v>0</v>
      </c>
      <c r="H1123" s="398">
        <f t="shared" ref="H1123:H1134" si="303">F1123*E1123</f>
        <v>0</v>
      </c>
      <c r="I1123" s="399"/>
      <c r="J1123" s="411" t="s">
        <v>21</v>
      </c>
      <c r="K1123" s="449" t="s">
        <v>152</v>
      </c>
      <c r="L1123" s="411" t="s">
        <v>112</v>
      </c>
      <c r="M1123" s="411" t="s">
        <v>32</v>
      </c>
      <c r="N1123" s="460"/>
      <c r="P1123" s="417"/>
    </row>
    <row r="1124" spans="1:16" s="416" customFormat="1" ht="14" outlineLevel="5">
      <c r="A1124" s="400" t="s">
        <v>8</v>
      </c>
      <c r="B1124" s="563" t="s">
        <v>1081</v>
      </c>
      <c r="C1124" s="397" t="s">
        <v>23</v>
      </c>
      <c r="D1124" s="398"/>
      <c r="E1124" s="398"/>
      <c r="F1124" s="398"/>
      <c r="G1124" s="398">
        <f t="shared" si="302"/>
        <v>0</v>
      </c>
      <c r="H1124" s="398">
        <f t="shared" si="303"/>
        <v>0</v>
      </c>
      <c r="I1124" s="399"/>
      <c r="J1124" s="411" t="s">
        <v>21</v>
      </c>
      <c r="K1124" s="449" t="s">
        <v>152</v>
      </c>
      <c r="L1124" s="411" t="s">
        <v>112</v>
      </c>
      <c r="M1124" s="411" t="s">
        <v>32</v>
      </c>
      <c r="N1124" s="460"/>
      <c r="P1124" s="417"/>
    </row>
    <row r="1125" spans="1:16" s="416" customFormat="1" ht="14" outlineLevel="5">
      <c r="A1125" s="400" t="s">
        <v>8</v>
      </c>
      <c r="B1125" s="563" t="s">
        <v>1082</v>
      </c>
      <c r="C1125" s="397" t="s">
        <v>23</v>
      </c>
      <c r="D1125" s="398"/>
      <c r="E1125" s="398"/>
      <c r="F1125" s="398"/>
      <c r="G1125" s="398">
        <f t="shared" si="302"/>
        <v>0</v>
      </c>
      <c r="H1125" s="398">
        <f t="shared" si="303"/>
        <v>0</v>
      </c>
      <c r="I1125" s="399"/>
      <c r="J1125" s="411" t="s">
        <v>21</v>
      </c>
      <c r="K1125" s="449" t="s">
        <v>152</v>
      </c>
      <c r="L1125" s="411" t="s">
        <v>112</v>
      </c>
      <c r="M1125" s="411" t="s">
        <v>32</v>
      </c>
      <c r="N1125" s="460"/>
      <c r="P1125" s="417"/>
    </row>
    <row r="1126" spans="1:16" s="416" customFormat="1" ht="14" outlineLevel="5">
      <c r="A1126" s="405" t="s">
        <v>8</v>
      </c>
      <c r="B1126" s="564" t="s">
        <v>1083</v>
      </c>
      <c r="C1126" s="397" t="s">
        <v>23</v>
      </c>
      <c r="D1126" s="398"/>
      <c r="E1126" s="398"/>
      <c r="F1126" s="398"/>
      <c r="G1126" s="398">
        <f t="shared" si="302"/>
        <v>0</v>
      </c>
      <c r="H1126" s="398">
        <f t="shared" si="303"/>
        <v>0</v>
      </c>
      <c r="I1126" s="399"/>
      <c r="J1126" s="411" t="s">
        <v>21</v>
      </c>
      <c r="K1126" s="449" t="s">
        <v>152</v>
      </c>
      <c r="L1126" s="411" t="s">
        <v>112</v>
      </c>
      <c r="M1126" s="411" t="s">
        <v>32</v>
      </c>
      <c r="N1126" s="460"/>
      <c r="P1126" s="417"/>
    </row>
    <row r="1127" spans="1:16" s="416" customFormat="1" ht="14" outlineLevel="5">
      <c r="A1127" s="405" t="s">
        <v>8</v>
      </c>
      <c r="B1127" s="564" t="s">
        <v>1076</v>
      </c>
      <c r="C1127" s="397" t="s">
        <v>23</v>
      </c>
      <c r="D1127" s="398"/>
      <c r="E1127" s="398"/>
      <c r="F1127" s="398"/>
      <c r="G1127" s="398">
        <f t="shared" si="302"/>
        <v>0</v>
      </c>
      <c r="H1127" s="398">
        <f t="shared" si="303"/>
        <v>0</v>
      </c>
      <c r="I1127" s="399"/>
      <c r="J1127" s="411" t="s">
        <v>21</v>
      </c>
      <c r="K1127" s="449" t="s">
        <v>152</v>
      </c>
      <c r="L1127" s="411" t="s">
        <v>112</v>
      </c>
      <c r="M1127" s="411" t="s">
        <v>32</v>
      </c>
      <c r="N1127" s="460"/>
      <c r="P1127" s="417"/>
    </row>
    <row r="1128" spans="1:16" s="416" customFormat="1" ht="14" outlineLevel="5">
      <c r="A1128" s="400" t="s">
        <v>8</v>
      </c>
      <c r="B1128" s="563" t="s">
        <v>1077</v>
      </c>
      <c r="C1128" s="397" t="s">
        <v>166</v>
      </c>
      <c r="D1128" s="398"/>
      <c r="E1128" s="398"/>
      <c r="F1128" s="398"/>
      <c r="G1128" s="398">
        <f t="shared" si="302"/>
        <v>0</v>
      </c>
      <c r="H1128" s="398">
        <f t="shared" si="303"/>
        <v>0</v>
      </c>
      <c r="I1128" s="399"/>
      <c r="J1128" s="411" t="s">
        <v>21</v>
      </c>
      <c r="K1128" s="449" t="s">
        <v>152</v>
      </c>
      <c r="L1128" s="411" t="s">
        <v>112</v>
      </c>
      <c r="M1128" s="411" t="s">
        <v>32</v>
      </c>
      <c r="N1128" s="460"/>
      <c r="P1128" s="417"/>
    </row>
    <row r="1129" spans="1:16" s="416" customFormat="1" ht="14" outlineLevel="5">
      <c r="A1129" s="400" t="s">
        <v>8</v>
      </c>
      <c r="B1129" s="563" t="s">
        <v>1078</v>
      </c>
      <c r="C1129" s="397" t="s">
        <v>166</v>
      </c>
      <c r="D1129" s="398"/>
      <c r="E1129" s="398"/>
      <c r="F1129" s="398"/>
      <c r="G1129" s="398">
        <f t="shared" si="302"/>
        <v>0</v>
      </c>
      <c r="H1129" s="398">
        <f t="shared" si="303"/>
        <v>0</v>
      </c>
      <c r="I1129" s="399"/>
      <c r="J1129" s="411" t="s">
        <v>21</v>
      </c>
      <c r="K1129" s="449" t="s">
        <v>152</v>
      </c>
      <c r="L1129" s="411" t="s">
        <v>112</v>
      </c>
      <c r="M1129" s="411" t="s">
        <v>32</v>
      </c>
      <c r="N1129" s="460"/>
      <c r="P1129" s="417"/>
    </row>
    <row r="1130" spans="1:16" s="416" customFormat="1" ht="14" outlineLevel="5">
      <c r="A1130" s="405" t="s">
        <v>8</v>
      </c>
      <c r="B1130" s="564" t="s">
        <v>1040</v>
      </c>
      <c r="C1130" s="397" t="s">
        <v>166</v>
      </c>
      <c r="D1130" s="398"/>
      <c r="E1130" s="398"/>
      <c r="F1130" s="398"/>
      <c r="G1130" s="398">
        <f t="shared" si="302"/>
        <v>0</v>
      </c>
      <c r="H1130" s="398">
        <f t="shared" si="303"/>
        <v>0</v>
      </c>
      <c r="I1130" s="399"/>
      <c r="J1130" s="411" t="s">
        <v>21</v>
      </c>
      <c r="K1130" s="449" t="s">
        <v>152</v>
      </c>
      <c r="L1130" s="411" t="s">
        <v>112</v>
      </c>
      <c r="M1130" s="411" t="s">
        <v>32</v>
      </c>
      <c r="N1130" s="460"/>
      <c r="P1130" s="417"/>
    </row>
    <row r="1131" spans="1:16" s="416" customFormat="1" ht="14" outlineLevel="5">
      <c r="A1131" s="400" t="s">
        <v>8</v>
      </c>
      <c r="B1131" s="563" t="s">
        <v>1047</v>
      </c>
      <c r="C1131" s="397" t="s">
        <v>166</v>
      </c>
      <c r="D1131" s="398"/>
      <c r="E1131" s="398"/>
      <c r="F1131" s="398"/>
      <c r="G1131" s="398">
        <f t="shared" si="302"/>
        <v>0</v>
      </c>
      <c r="H1131" s="398">
        <f t="shared" si="303"/>
        <v>0</v>
      </c>
      <c r="I1131" s="399"/>
      <c r="J1131" s="411" t="s">
        <v>21</v>
      </c>
      <c r="K1131" s="449" t="s">
        <v>152</v>
      </c>
      <c r="L1131" s="411" t="s">
        <v>112</v>
      </c>
      <c r="M1131" s="411" t="s">
        <v>32</v>
      </c>
      <c r="N1131" s="460"/>
      <c r="P1131" s="417"/>
    </row>
    <row r="1132" spans="1:16" s="416" customFormat="1" ht="14" outlineLevel="5">
      <c r="A1132" s="400" t="s">
        <v>8</v>
      </c>
      <c r="B1132" s="563" t="s">
        <v>472</v>
      </c>
      <c r="C1132" s="397" t="s">
        <v>1064</v>
      </c>
      <c r="D1132" s="398"/>
      <c r="E1132" s="398"/>
      <c r="F1132" s="398"/>
      <c r="G1132" s="398">
        <f t="shared" si="302"/>
        <v>0</v>
      </c>
      <c r="H1132" s="398">
        <f t="shared" si="303"/>
        <v>0</v>
      </c>
      <c r="I1132" s="399"/>
      <c r="J1132" s="411" t="s">
        <v>21</v>
      </c>
      <c r="K1132" s="449" t="s">
        <v>152</v>
      </c>
      <c r="L1132" s="411" t="s">
        <v>112</v>
      </c>
      <c r="M1132" s="411" t="s">
        <v>32</v>
      </c>
      <c r="N1132" s="460"/>
      <c r="P1132" s="417"/>
    </row>
    <row r="1133" spans="1:16" s="416" customFormat="1" ht="14" outlineLevel="5">
      <c r="A1133" s="400" t="s">
        <v>8</v>
      </c>
      <c r="B1133" s="563" t="s">
        <v>474</v>
      </c>
      <c r="C1133" s="397" t="s">
        <v>1064</v>
      </c>
      <c r="D1133" s="398"/>
      <c r="E1133" s="398"/>
      <c r="F1133" s="398"/>
      <c r="G1133" s="398">
        <f t="shared" si="302"/>
        <v>0</v>
      </c>
      <c r="H1133" s="398">
        <f t="shared" si="303"/>
        <v>0</v>
      </c>
      <c r="I1133" s="399"/>
      <c r="J1133" s="411" t="s">
        <v>21</v>
      </c>
      <c r="K1133" s="449" t="s">
        <v>152</v>
      </c>
      <c r="L1133" s="411" t="s">
        <v>112</v>
      </c>
      <c r="M1133" s="411" t="s">
        <v>32</v>
      </c>
      <c r="N1133" s="460"/>
      <c r="P1133" s="417"/>
    </row>
    <row r="1134" spans="1:16" s="416" customFormat="1" ht="14" outlineLevel="5">
      <c r="A1134" s="405" t="s">
        <v>8</v>
      </c>
      <c r="B1134" s="564" t="s">
        <v>1032</v>
      </c>
      <c r="C1134" s="397" t="s">
        <v>1064</v>
      </c>
      <c r="D1134" s="398"/>
      <c r="E1134" s="398"/>
      <c r="F1134" s="398"/>
      <c r="G1134" s="398">
        <f t="shared" si="302"/>
        <v>0</v>
      </c>
      <c r="H1134" s="398">
        <f t="shared" si="303"/>
        <v>0</v>
      </c>
      <c r="I1134" s="399"/>
      <c r="J1134" s="411" t="s">
        <v>21</v>
      </c>
      <c r="K1134" s="449" t="s">
        <v>152</v>
      </c>
      <c r="L1134" s="411" t="s">
        <v>112</v>
      </c>
      <c r="M1134" s="411" t="s">
        <v>32</v>
      </c>
      <c r="N1134" s="460"/>
      <c r="P1134" s="417"/>
    </row>
    <row r="1135" spans="1:16" s="413" customFormat="1" ht="13" customHeight="1" outlineLevel="4">
      <c r="A1135" s="388">
        <v>6</v>
      </c>
      <c r="B1135" s="565" t="s">
        <v>1084</v>
      </c>
      <c r="C1135" s="390"/>
      <c r="D1135" s="391"/>
      <c r="E1135" s="391"/>
      <c r="F1135" s="391"/>
      <c r="G1135" s="391">
        <f>SUBTOTAL(9,G1136:G1142)</f>
        <v>0</v>
      </c>
      <c r="H1135" s="391">
        <f>SUBTOTAL(9,H1136:H1142)</f>
        <v>0</v>
      </c>
      <c r="I1135" s="391"/>
      <c r="J1135" s="410"/>
      <c r="K1135" s="411"/>
      <c r="L1135" s="411"/>
      <c r="M1135" s="412"/>
      <c r="N1135" s="412"/>
      <c r="P1135" s="414"/>
    </row>
    <row r="1136" spans="1:16" s="416" customFormat="1" ht="14" outlineLevel="5">
      <c r="A1136" s="405" t="s">
        <v>8</v>
      </c>
      <c r="B1136" s="564" t="s">
        <v>1085</v>
      </c>
      <c r="C1136" s="397" t="s">
        <v>1063</v>
      </c>
      <c r="D1136" s="398"/>
      <c r="E1136" s="398"/>
      <c r="F1136" s="398"/>
      <c r="G1136" s="398">
        <f t="shared" ref="G1136:G1142" si="304">F1136*D1136</f>
        <v>0</v>
      </c>
      <c r="H1136" s="398">
        <f t="shared" ref="H1136:H1142" si="305">F1136*E1136</f>
        <v>0</v>
      </c>
      <c r="I1136" s="399"/>
      <c r="J1136" s="411" t="s">
        <v>21</v>
      </c>
      <c r="K1136" s="449" t="s">
        <v>152</v>
      </c>
      <c r="L1136" s="411" t="s">
        <v>112</v>
      </c>
      <c r="M1136" s="411" t="s">
        <v>32</v>
      </c>
      <c r="N1136" s="460"/>
      <c r="P1136" s="417"/>
    </row>
    <row r="1137" spans="1:16" s="416" customFormat="1" ht="14" outlineLevel="5">
      <c r="A1137" s="405" t="s">
        <v>8</v>
      </c>
      <c r="B1137" s="564" t="s">
        <v>1077</v>
      </c>
      <c r="C1137" s="397" t="s">
        <v>166</v>
      </c>
      <c r="D1137" s="398"/>
      <c r="E1137" s="398"/>
      <c r="F1137" s="398"/>
      <c r="G1137" s="398">
        <f t="shared" si="304"/>
        <v>0</v>
      </c>
      <c r="H1137" s="398">
        <f t="shared" si="305"/>
        <v>0</v>
      </c>
      <c r="I1137" s="399"/>
      <c r="J1137" s="411" t="s">
        <v>21</v>
      </c>
      <c r="K1137" s="449" t="s">
        <v>152</v>
      </c>
      <c r="L1137" s="411" t="s">
        <v>112</v>
      </c>
      <c r="M1137" s="411" t="s">
        <v>32</v>
      </c>
      <c r="N1137" s="460"/>
      <c r="P1137" s="417"/>
    </row>
    <row r="1138" spans="1:16" s="416" customFormat="1" ht="14" outlineLevel="5">
      <c r="A1138" s="400" t="s">
        <v>8</v>
      </c>
      <c r="B1138" s="563" t="s">
        <v>1078</v>
      </c>
      <c r="C1138" s="397" t="s">
        <v>166</v>
      </c>
      <c r="D1138" s="398"/>
      <c r="E1138" s="398"/>
      <c r="F1138" s="398"/>
      <c r="G1138" s="398">
        <f t="shared" si="304"/>
        <v>0</v>
      </c>
      <c r="H1138" s="398">
        <f t="shared" si="305"/>
        <v>0</v>
      </c>
      <c r="I1138" s="399"/>
      <c r="J1138" s="411" t="s">
        <v>21</v>
      </c>
      <c r="K1138" s="449" t="s">
        <v>152</v>
      </c>
      <c r="L1138" s="411" t="s">
        <v>112</v>
      </c>
      <c r="M1138" s="411" t="s">
        <v>32</v>
      </c>
      <c r="N1138" s="460"/>
      <c r="P1138" s="417"/>
    </row>
    <row r="1139" spans="1:16" s="416" customFormat="1" ht="14" outlineLevel="5">
      <c r="A1139" s="400" t="s">
        <v>8</v>
      </c>
      <c r="B1139" s="563" t="s">
        <v>1040</v>
      </c>
      <c r="C1139" s="397" t="s">
        <v>166</v>
      </c>
      <c r="D1139" s="398"/>
      <c r="E1139" s="398"/>
      <c r="F1139" s="398"/>
      <c r="G1139" s="398">
        <f t="shared" si="304"/>
        <v>0</v>
      </c>
      <c r="H1139" s="398">
        <f t="shared" si="305"/>
        <v>0</v>
      </c>
      <c r="I1139" s="399"/>
      <c r="J1139" s="411" t="s">
        <v>21</v>
      </c>
      <c r="K1139" s="449" t="s">
        <v>152</v>
      </c>
      <c r="L1139" s="411" t="s">
        <v>112</v>
      </c>
      <c r="M1139" s="411" t="s">
        <v>32</v>
      </c>
      <c r="N1139" s="460"/>
      <c r="P1139" s="417"/>
    </row>
    <row r="1140" spans="1:16" s="416" customFormat="1" ht="14" outlineLevel="5">
      <c r="A1140" s="405" t="s">
        <v>8</v>
      </c>
      <c r="B1140" s="564" t="s">
        <v>472</v>
      </c>
      <c r="C1140" s="397" t="s">
        <v>166</v>
      </c>
      <c r="D1140" s="398"/>
      <c r="E1140" s="398"/>
      <c r="F1140" s="398"/>
      <c r="G1140" s="398">
        <f t="shared" si="304"/>
        <v>0</v>
      </c>
      <c r="H1140" s="398">
        <f t="shared" si="305"/>
        <v>0</v>
      </c>
      <c r="I1140" s="399"/>
      <c r="J1140" s="411" t="s">
        <v>21</v>
      </c>
      <c r="K1140" s="449" t="s">
        <v>152</v>
      </c>
      <c r="L1140" s="411" t="s">
        <v>112</v>
      </c>
      <c r="M1140" s="411" t="s">
        <v>32</v>
      </c>
      <c r="N1140" s="460"/>
      <c r="P1140" s="417"/>
    </row>
    <row r="1141" spans="1:16" s="416" customFormat="1" ht="14" outlineLevel="5">
      <c r="A1141" s="405" t="s">
        <v>8</v>
      </c>
      <c r="B1141" s="564" t="s">
        <v>474</v>
      </c>
      <c r="C1141" s="397" t="s">
        <v>166</v>
      </c>
      <c r="D1141" s="398"/>
      <c r="E1141" s="398"/>
      <c r="F1141" s="398"/>
      <c r="G1141" s="398">
        <f t="shared" si="304"/>
        <v>0</v>
      </c>
      <c r="H1141" s="398">
        <f t="shared" si="305"/>
        <v>0</v>
      </c>
      <c r="I1141" s="399"/>
      <c r="J1141" s="411" t="s">
        <v>21</v>
      </c>
      <c r="K1141" s="449" t="s">
        <v>152</v>
      </c>
      <c r="L1141" s="411" t="s">
        <v>112</v>
      </c>
      <c r="M1141" s="411" t="s">
        <v>32</v>
      </c>
      <c r="N1141" s="460"/>
      <c r="P1141" s="417"/>
    </row>
    <row r="1142" spans="1:16" s="416" customFormat="1" ht="14" outlineLevel="5">
      <c r="A1142" s="400" t="s">
        <v>8</v>
      </c>
      <c r="B1142" s="563" t="s">
        <v>1086</v>
      </c>
      <c r="C1142" s="397" t="s">
        <v>1064</v>
      </c>
      <c r="D1142" s="398"/>
      <c r="E1142" s="398"/>
      <c r="F1142" s="398"/>
      <c r="G1142" s="398">
        <f t="shared" si="304"/>
        <v>0</v>
      </c>
      <c r="H1142" s="398">
        <f t="shared" si="305"/>
        <v>0</v>
      </c>
      <c r="I1142" s="399"/>
      <c r="J1142" s="411" t="s">
        <v>21</v>
      </c>
      <c r="K1142" s="449" t="s">
        <v>152</v>
      </c>
      <c r="L1142" s="411" t="s">
        <v>112</v>
      </c>
      <c r="M1142" s="411" t="s">
        <v>32</v>
      </c>
      <c r="N1142" s="460"/>
      <c r="P1142" s="417"/>
    </row>
    <row r="1143" spans="1:16" s="413" customFormat="1" ht="13" customHeight="1" outlineLevel="4">
      <c r="A1143" s="388">
        <v>7</v>
      </c>
      <c r="B1143" s="565" t="s">
        <v>1087</v>
      </c>
      <c r="C1143" s="390"/>
      <c r="D1143" s="391"/>
      <c r="E1143" s="391"/>
      <c r="F1143" s="391"/>
      <c r="G1143" s="391">
        <f>SUBTOTAL(9,G1144:G1149)</f>
        <v>0</v>
      </c>
      <c r="H1143" s="391">
        <f>SUBTOTAL(9,H1144:H1149)</f>
        <v>250320</v>
      </c>
      <c r="I1143" s="391"/>
      <c r="J1143" s="410"/>
      <c r="K1143" s="411"/>
      <c r="L1143" s="411"/>
      <c r="M1143" s="412"/>
      <c r="N1143" s="412"/>
      <c r="P1143" s="414"/>
    </row>
    <row r="1144" spans="1:16" s="416" customFormat="1" ht="14" outlineLevel="5">
      <c r="A1144" s="405" t="s">
        <v>8</v>
      </c>
      <c r="B1144" s="564" t="s">
        <v>1323</v>
      </c>
      <c r="C1144" s="397" t="s">
        <v>24</v>
      </c>
      <c r="D1144" s="398"/>
      <c r="E1144" s="398">
        <v>2</v>
      </c>
      <c r="F1144" s="398">
        <v>30000</v>
      </c>
      <c r="G1144" s="398">
        <f t="shared" ref="G1144:G1149" si="306">F1144*D1144</f>
        <v>0</v>
      </c>
      <c r="H1144" s="398">
        <f t="shared" ref="H1144:H1149" si="307">F1144*E1144</f>
        <v>60000</v>
      </c>
      <c r="I1144" s="399"/>
      <c r="J1144" s="411" t="s">
        <v>21</v>
      </c>
      <c r="K1144" s="449" t="s">
        <v>152</v>
      </c>
      <c r="L1144" s="411" t="s">
        <v>112</v>
      </c>
      <c r="M1144" s="411" t="s">
        <v>32</v>
      </c>
      <c r="N1144" s="460"/>
      <c r="P1144" s="417"/>
    </row>
    <row r="1145" spans="1:16" s="416" customFormat="1" ht="14" outlineLevel="5">
      <c r="A1145" s="405" t="s">
        <v>8</v>
      </c>
      <c r="B1145" s="564" t="s">
        <v>1324</v>
      </c>
      <c r="C1145" s="397" t="s">
        <v>23</v>
      </c>
      <c r="D1145" s="398"/>
      <c r="E1145" s="398">
        <v>4</v>
      </c>
      <c r="F1145" s="398">
        <v>45000</v>
      </c>
      <c r="G1145" s="398">
        <f t="shared" si="306"/>
        <v>0</v>
      </c>
      <c r="H1145" s="398">
        <f t="shared" si="307"/>
        <v>180000</v>
      </c>
      <c r="I1145" s="399"/>
      <c r="J1145" s="411" t="s">
        <v>21</v>
      </c>
      <c r="K1145" s="449" t="s">
        <v>152</v>
      </c>
      <c r="L1145" s="411" t="s">
        <v>112</v>
      </c>
      <c r="M1145" s="411" t="s">
        <v>32</v>
      </c>
      <c r="N1145" s="460"/>
      <c r="P1145" s="417"/>
    </row>
    <row r="1146" spans="1:16" s="416" customFormat="1" ht="14" outlineLevel="5">
      <c r="A1146" s="400" t="s">
        <v>8</v>
      </c>
      <c r="B1146" s="563" t="s">
        <v>1318</v>
      </c>
      <c r="C1146" s="397" t="s">
        <v>166</v>
      </c>
      <c r="D1146" s="398"/>
      <c r="E1146" s="398">
        <v>100</v>
      </c>
      <c r="F1146" s="398">
        <v>77</v>
      </c>
      <c r="G1146" s="398">
        <f t="shared" si="306"/>
        <v>0</v>
      </c>
      <c r="H1146" s="398">
        <f t="shared" si="307"/>
        <v>7700</v>
      </c>
      <c r="I1146" s="399"/>
      <c r="J1146" s="411" t="s">
        <v>21</v>
      </c>
      <c r="K1146" s="449" t="s">
        <v>152</v>
      </c>
      <c r="L1146" s="411" t="s">
        <v>112</v>
      </c>
      <c r="M1146" s="411" t="s">
        <v>32</v>
      </c>
      <c r="N1146" s="460"/>
      <c r="P1146" s="417"/>
    </row>
    <row r="1147" spans="1:16" s="416" customFormat="1" ht="14" outlineLevel="5">
      <c r="A1147" s="400" t="s">
        <v>8</v>
      </c>
      <c r="B1147" s="563" t="s">
        <v>1325</v>
      </c>
      <c r="C1147" s="397" t="s">
        <v>166</v>
      </c>
      <c r="D1147" s="398"/>
      <c r="E1147" s="398">
        <v>40</v>
      </c>
      <c r="F1147" s="398">
        <v>25</v>
      </c>
      <c r="G1147" s="398">
        <f t="shared" si="306"/>
        <v>0</v>
      </c>
      <c r="H1147" s="398">
        <f t="shared" si="307"/>
        <v>1000</v>
      </c>
      <c r="I1147" s="399"/>
      <c r="J1147" s="411" t="s">
        <v>21</v>
      </c>
      <c r="K1147" s="449" t="s">
        <v>152</v>
      </c>
      <c r="L1147" s="411" t="s">
        <v>112</v>
      </c>
      <c r="M1147" s="411" t="s">
        <v>32</v>
      </c>
      <c r="N1147" s="460"/>
      <c r="P1147" s="417"/>
    </row>
    <row r="1148" spans="1:16" s="416" customFormat="1" ht="14" outlineLevel="5">
      <c r="A1148" s="405" t="s">
        <v>8</v>
      </c>
      <c r="B1148" s="564" t="s">
        <v>1326</v>
      </c>
      <c r="C1148" s="397" t="s">
        <v>166</v>
      </c>
      <c r="D1148" s="398"/>
      <c r="E1148" s="398">
        <v>20</v>
      </c>
      <c r="F1148" s="398">
        <v>25</v>
      </c>
      <c r="G1148" s="398">
        <f t="shared" si="306"/>
        <v>0</v>
      </c>
      <c r="H1148" s="398">
        <f t="shared" si="307"/>
        <v>500</v>
      </c>
      <c r="I1148" s="399"/>
      <c r="J1148" s="411" t="s">
        <v>21</v>
      </c>
      <c r="K1148" s="449" t="s">
        <v>152</v>
      </c>
      <c r="L1148" s="411" t="s">
        <v>112</v>
      </c>
      <c r="M1148" s="411" t="s">
        <v>32</v>
      </c>
      <c r="N1148" s="460"/>
      <c r="P1148" s="417"/>
    </row>
    <row r="1149" spans="1:16" s="416" customFormat="1" ht="14" outlineLevel="5">
      <c r="A1149" s="405" t="s">
        <v>8</v>
      </c>
      <c r="B1149" s="564" t="s">
        <v>1319</v>
      </c>
      <c r="C1149" s="397" t="s">
        <v>1003</v>
      </c>
      <c r="D1149" s="398"/>
      <c r="E1149" s="398">
        <v>280</v>
      </c>
      <c r="F1149" s="398">
        <v>4</v>
      </c>
      <c r="G1149" s="398">
        <f t="shared" si="306"/>
        <v>0</v>
      </c>
      <c r="H1149" s="398">
        <f t="shared" si="307"/>
        <v>1120</v>
      </c>
      <c r="I1149" s="399"/>
      <c r="J1149" s="411" t="s">
        <v>21</v>
      </c>
      <c r="K1149" s="449" t="s">
        <v>152</v>
      </c>
      <c r="L1149" s="411" t="s">
        <v>112</v>
      </c>
      <c r="M1149" s="411" t="s">
        <v>32</v>
      </c>
      <c r="N1149" s="460"/>
      <c r="P1149" s="417"/>
    </row>
    <row r="1150" spans="1:16" s="413" customFormat="1" ht="13" customHeight="1" outlineLevel="4">
      <c r="A1150" s="388">
        <v>8</v>
      </c>
      <c r="B1150" s="565" t="s">
        <v>1090</v>
      </c>
      <c r="C1150" s="390"/>
      <c r="D1150" s="391"/>
      <c r="E1150" s="391"/>
      <c r="F1150" s="391"/>
      <c r="G1150" s="391">
        <f>SUBTOTAL(9,G1151:G1155)</f>
        <v>0</v>
      </c>
      <c r="H1150" s="391">
        <f>SUBTOTAL(9,H1151:H1155)</f>
        <v>0</v>
      </c>
      <c r="I1150" s="391"/>
      <c r="J1150" s="410"/>
      <c r="K1150" s="411"/>
      <c r="L1150" s="411"/>
      <c r="M1150" s="412"/>
      <c r="N1150" s="412"/>
      <c r="P1150" s="414"/>
    </row>
    <row r="1151" spans="1:16" s="416" customFormat="1" ht="14" outlineLevel="5">
      <c r="A1151" s="405" t="s">
        <v>8</v>
      </c>
      <c r="B1151" s="564" t="s">
        <v>468</v>
      </c>
      <c r="C1151" s="397" t="s">
        <v>31</v>
      </c>
      <c r="D1151" s="398"/>
      <c r="E1151" s="398"/>
      <c r="F1151" s="398"/>
      <c r="G1151" s="398">
        <f t="shared" ref="G1151:G1155" si="308">F1151*D1151</f>
        <v>0</v>
      </c>
      <c r="H1151" s="398">
        <f t="shared" ref="H1151:H1155" si="309">F1151*E1151</f>
        <v>0</v>
      </c>
      <c r="I1151" s="399"/>
      <c r="J1151" s="411" t="s">
        <v>21</v>
      </c>
      <c r="K1151" s="449" t="s">
        <v>152</v>
      </c>
      <c r="L1151" s="411" t="s">
        <v>112</v>
      </c>
      <c r="M1151" s="411" t="s">
        <v>32</v>
      </c>
      <c r="N1151" s="460"/>
      <c r="P1151" s="417"/>
    </row>
    <row r="1152" spans="1:16" s="416" customFormat="1" ht="14" outlineLevel="5">
      <c r="A1152" s="405" t="s">
        <v>8</v>
      </c>
      <c r="B1152" s="564" t="s">
        <v>469</v>
      </c>
      <c r="C1152" s="397" t="s">
        <v>470</v>
      </c>
      <c r="D1152" s="398"/>
      <c r="E1152" s="398"/>
      <c r="F1152" s="398"/>
      <c r="G1152" s="398">
        <f t="shared" si="308"/>
        <v>0</v>
      </c>
      <c r="H1152" s="398">
        <f t="shared" si="309"/>
        <v>0</v>
      </c>
      <c r="I1152" s="399"/>
      <c r="J1152" s="411" t="s">
        <v>21</v>
      </c>
      <c r="K1152" s="449" t="s">
        <v>152</v>
      </c>
      <c r="L1152" s="411" t="s">
        <v>112</v>
      </c>
      <c r="M1152" s="411" t="s">
        <v>32</v>
      </c>
      <c r="N1152" s="460"/>
      <c r="P1152" s="417"/>
    </row>
    <row r="1153" spans="1:17" s="416" customFormat="1" ht="14" outlineLevel="5">
      <c r="A1153" s="400" t="s">
        <v>8</v>
      </c>
      <c r="B1153" s="563" t="s">
        <v>471</v>
      </c>
      <c r="C1153" s="397" t="s">
        <v>470</v>
      </c>
      <c r="D1153" s="398"/>
      <c r="E1153" s="398"/>
      <c r="F1153" s="398"/>
      <c r="G1153" s="398">
        <f t="shared" si="308"/>
        <v>0</v>
      </c>
      <c r="H1153" s="398">
        <f t="shared" si="309"/>
        <v>0</v>
      </c>
      <c r="I1153" s="399"/>
      <c r="J1153" s="411" t="s">
        <v>21</v>
      </c>
      <c r="K1153" s="449" t="s">
        <v>152</v>
      </c>
      <c r="L1153" s="411" t="s">
        <v>112</v>
      </c>
      <c r="M1153" s="411" t="s">
        <v>32</v>
      </c>
      <c r="N1153" s="460"/>
      <c r="P1153" s="417"/>
    </row>
    <row r="1154" spans="1:17" s="416" customFormat="1" ht="14" outlineLevel="5">
      <c r="A1154" s="400" t="s">
        <v>8</v>
      </c>
      <c r="B1154" s="563" t="s">
        <v>472</v>
      </c>
      <c r="C1154" s="397" t="s">
        <v>1064</v>
      </c>
      <c r="D1154" s="398"/>
      <c r="E1154" s="398"/>
      <c r="F1154" s="398"/>
      <c r="G1154" s="398">
        <f t="shared" si="308"/>
        <v>0</v>
      </c>
      <c r="H1154" s="398">
        <f t="shared" si="309"/>
        <v>0</v>
      </c>
      <c r="I1154" s="399"/>
      <c r="J1154" s="411" t="s">
        <v>21</v>
      </c>
      <c r="K1154" s="449" t="s">
        <v>152</v>
      </c>
      <c r="L1154" s="411" t="s">
        <v>112</v>
      </c>
      <c r="M1154" s="411" t="s">
        <v>32</v>
      </c>
      <c r="N1154" s="460"/>
      <c r="P1154" s="417"/>
    </row>
    <row r="1155" spans="1:17" s="416" customFormat="1" ht="14" outlineLevel="5">
      <c r="A1155" s="405" t="s">
        <v>8</v>
      </c>
      <c r="B1155" s="564" t="s">
        <v>474</v>
      </c>
      <c r="C1155" s="397" t="s">
        <v>1064</v>
      </c>
      <c r="D1155" s="398"/>
      <c r="E1155" s="398"/>
      <c r="F1155" s="398"/>
      <c r="G1155" s="398">
        <f t="shared" si="308"/>
        <v>0</v>
      </c>
      <c r="H1155" s="398">
        <f t="shared" si="309"/>
        <v>0</v>
      </c>
      <c r="I1155" s="399"/>
      <c r="J1155" s="411" t="s">
        <v>21</v>
      </c>
      <c r="K1155" s="449" t="s">
        <v>152</v>
      </c>
      <c r="L1155" s="411" t="s">
        <v>112</v>
      </c>
      <c r="M1155" s="411" t="s">
        <v>32</v>
      </c>
      <c r="N1155" s="460"/>
      <c r="P1155" s="417"/>
    </row>
    <row r="1156" spans="1:17" s="413" customFormat="1" ht="14" outlineLevel="2">
      <c r="A1156" s="388" t="s">
        <v>12</v>
      </c>
      <c r="B1156" s="350" t="s">
        <v>906</v>
      </c>
      <c r="C1156" s="397"/>
      <c r="D1156" s="398"/>
      <c r="E1156" s="398"/>
      <c r="F1156" s="398"/>
      <c r="G1156" s="391">
        <f>SUBTOTAL(9,G1157:G1167)</f>
        <v>0</v>
      </c>
      <c r="H1156" s="391">
        <f>SUBTOTAL(9,H1157:H1167)</f>
        <v>0</v>
      </c>
      <c r="I1156" s="392"/>
      <c r="J1156" s="410"/>
      <c r="K1156" s="411"/>
      <c r="L1156" s="411"/>
      <c r="M1156" s="412"/>
      <c r="N1156" s="412"/>
      <c r="P1156" s="414"/>
      <c r="Q1156" s="556" t="s">
        <v>165</v>
      </c>
    </row>
    <row r="1157" spans="1:17" s="416" customFormat="1" ht="14" outlineLevel="3">
      <c r="A1157" s="400" t="s">
        <v>8</v>
      </c>
      <c r="B1157" s="415" t="s">
        <v>53</v>
      </c>
      <c r="C1157" s="397"/>
      <c r="D1157" s="398"/>
      <c r="E1157" s="398"/>
      <c r="F1157" s="398"/>
      <c r="G1157" s="398">
        <f t="shared" ref="G1157:G1167" si="310">F1157*D1157</f>
        <v>0</v>
      </c>
      <c r="H1157" s="398">
        <f t="shared" ref="H1157:H1167" si="311">F1157*E1157</f>
        <v>0</v>
      </c>
      <c r="I1157" s="399"/>
      <c r="J1157" s="410" t="s">
        <v>21</v>
      </c>
      <c r="K1157" s="411" t="s">
        <v>128</v>
      </c>
      <c r="L1157" s="411" t="s">
        <v>112</v>
      </c>
      <c r="M1157" s="411" t="s">
        <v>165</v>
      </c>
      <c r="N1157" s="411"/>
      <c r="P1157" s="417"/>
      <c r="Q1157" s="556" t="s">
        <v>165</v>
      </c>
    </row>
    <row r="1158" spans="1:17" s="416" customFormat="1" ht="14" outlineLevel="3">
      <c r="A1158" s="400" t="s">
        <v>8</v>
      </c>
      <c r="B1158" s="557" t="s">
        <v>283</v>
      </c>
      <c r="C1158" s="397" t="s">
        <v>25</v>
      </c>
      <c r="D1158" s="398"/>
      <c r="E1158" s="398"/>
      <c r="F1158" s="398"/>
      <c r="G1158" s="398">
        <f t="shared" si="310"/>
        <v>0</v>
      </c>
      <c r="H1158" s="398">
        <f t="shared" si="311"/>
        <v>0</v>
      </c>
      <c r="I1158" s="399"/>
      <c r="J1158" s="410" t="s">
        <v>21</v>
      </c>
      <c r="K1158" s="411" t="s">
        <v>128</v>
      </c>
      <c r="L1158" s="411" t="s">
        <v>112</v>
      </c>
      <c r="M1158" s="411" t="s">
        <v>165</v>
      </c>
      <c r="N1158" s="460"/>
      <c r="P1158" s="417"/>
      <c r="Q1158" s="556" t="s">
        <v>165</v>
      </c>
    </row>
    <row r="1159" spans="1:17" s="416" customFormat="1" ht="14" outlineLevel="3">
      <c r="A1159" s="400" t="s">
        <v>8</v>
      </c>
      <c r="B1159" s="557" t="s">
        <v>284</v>
      </c>
      <c r="C1159" s="397" t="s">
        <v>25</v>
      </c>
      <c r="D1159" s="398"/>
      <c r="E1159" s="398"/>
      <c r="F1159" s="398"/>
      <c r="G1159" s="398">
        <f t="shared" si="310"/>
        <v>0</v>
      </c>
      <c r="H1159" s="398">
        <f t="shared" si="311"/>
        <v>0</v>
      </c>
      <c r="I1159" s="399"/>
      <c r="J1159" s="410" t="s">
        <v>21</v>
      </c>
      <c r="K1159" s="411" t="s">
        <v>128</v>
      </c>
      <c r="L1159" s="411" t="s">
        <v>112</v>
      </c>
      <c r="M1159" s="411" t="s">
        <v>165</v>
      </c>
      <c r="N1159" s="460"/>
      <c r="P1159" s="417"/>
      <c r="Q1159" s="556" t="s">
        <v>165</v>
      </c>
    </row>
    <row r="1160" spans="1:17" s="416" customFormat="1" ht="14" outlineLevel="3">
      <c r="A1160" s="400" t="s">
        <v>8</v>
      </c>
      <c r="B1160" s="557" t="s">
        <v>48</v>
      </c>
      <c r="C1160" s="397"/>
      <c r="D1160" s="398"/>
      <c r="E1160" s="398"/>
      <c r="F1160" s="398"/>
      <c r="G1160" s="398">
        <f t="shared" si="310"/>
        <v>0</v>
      </c>
      <c r="H1160" s="398">
        <f t="shared" si="311"/>
        <v>0</v>
      </c>
      <c r="I1160" s="399"/>
      <c r="J1160" s="410" t="s">
        <v>21</v>
      </c>
      <c r="K1160" s="411" t="s">
        <v>128</v>
      </c>
      <c r="L1160" s="411" t="s">
        <v>112</v>
      </c>
      <c r="M1160" s="411" t="s">
        <v>165</v>
      </c>
      <c r="N1160" s="460"/>
      <c r="P1160" s="417"/>
      <c r="Q1160" s="556" t="s">
        <v>165</v>
      </c>
    </row>
    <row r="1161" spans="1:17" s="416" customFormat="1" ht="14" outlineLevel="3">
      <c r="A1161" s="400" t="s">
        <v>8</v>
      </c>
      <c r="B1161" s="557" t="s">
        <v>140</v>
      </c>
      <c r="C1161" s="397" t="s">
        <v>25</v>
      </c>
      <c r="D1161" s="398"/>
      <c r="E1161" s="398"/>
      <c r="F1161" s="398"/>
      <c r="G1161" s="398">
        <f t="shared" si="310"/>
        <v>0</v>
      </c>
      <c r="H1161" s="398">
        <f t="shared" si="311"/>
        <v>0</v>
      </c>
      <c r="I1161" s="399"/>
      <c r="J1161" s="410" t="s">
        <v>21</v>
      </c>
      <c r="K1161" s="411" t="s">
        <v>128</v>
      </c>
      <c r="L1161" s="411" t="s">
        <v>112</v>
      </c>
      <c r="M1161" s="411" t="s">
        <v>165</v>
      </c>
      <c r="N1161" s="460"/>
      <c r="P1161" s="417"/>
      <c r="Q1161" s="556" t="s">
        <v>165</v>
      </c>
    </row>
    <row r="1162" spans="1:17" s="416" customFormat="1" ht="14" outlineLevel="3">
      <c r="A1162" s="400" t="s">
        <v>8</v>
      </c>
      <c r="B1162" s="557" t="s">
        <v>285</v>
      </c>
      <c r="C1162" s="397" t="s">
        <v>25</v>
      </c>
      <c r="D1162" s="398"/>
      <c r="E1162" s="398"/>
      <c r="F1162" s="398"/>
      <c r="G1162" s="398">
        <f t="shared" si="310"/>
        <v>0</v>
      </c>
      <c r="H1162" s="398">
        <f t="shared" si="311"/>
        <v>0</v>
      </c>
      <c r="I1162" s="399"/>
      <c r="J1162" s="410" t="s">
        <v>21</v>
      </c>
      <c r="K1162" s="411" t="s">
        <v>128</v>
      </c>
      <c r="L1162" s="411" t="s">
        <v>112</v>
      </c>
      <c r="M1162" s="411" t="s">
        <v>165</v>
      </c>
      <c r="N1162" s="460"/>
      <c r="P1162" s="417"/>
      <c r="Q1162" s="556" t="s">
        <v>165</v>
      </c>
    </row>
    <row r="1163" spans="1:17" s="416" customFormat="1" ht="14" outlineLevel="3">
      <c r="A1163" s="400" t="s">
        <v>8</v>
      </c>
      <c r="B1163" s="558" t="s">
        <v>905</v>
      </c>
      <c r="C1163" s="397" t="s">
        <v>25</v>
      </c>
      <c r="D1163" s="398"/>
      <c r="E1163" s="398"/>
      <c r="F1163" s="330"/>
      <c r="G1163" s="398">
        <f t="shared" si="310"/>
        <v>0</v>
      </c>
      <c r="H1163" s="398">
        <f t="shared" si="311"/>
        <v>0</v>
      </c>
      <c r="I1163" s="399"/>
      <c r="J1163" s="410" t="s">
        <v>21</v>
      </c>
      <c r="K1163" s="411" t="s">
        <v>128</v>
      </c>
      <c r="L1163" s="411" t="s">
        <v>112</v>
      </c>
      <c r="M1163" s="411" t="s">
        <v>165</v>
      </c>
      <c r="N1163" s="460"/>
      <c r="P1163" s="417"/>
      <c r="Q1163" s="556" t="s">
        <v>165</v>
      </c>
    </row>
    <row r="1164" spans="1:17" s="416" customFormat="1" ht="14" outlineLevel="3">
      <c r="A1164" s="400" t="s">
        <v>8</v>
      </c>
      <c r="B1164" s="557" t="s">
        <v>286</v>
      </c>
      <c r="C1164" s="397" t="s">
        <v>25</v>
      </c>
      <c r="D1164" s="398"/>
      <c r="E1164" s="398"/>
      <c r="F1164" s="398"/>
      <c r="G1164" s="398">
        <f t="shared" si="310"/>
        <v>0</v>
      </c>
      <c r="H1164" s="398">
        <f t="shared" si="311"/>
        <v>0</v>
      </c>
      <c r="I1164" s="399"/>
      <c r="J1164" s="410" t="s">
        <v>21</v>
      </c>
      <c r="K1164" s="411" t="s">
        <v>128</v>
      </c>
      <c r="L1164" s="411" t="s">
        <v>112</v>
      </c>
      <c r="M1164" s="411" t="s">
        <v>165</v>
      </c>
      <c r="N1164" s="460"/>
      <c r="P1164" s="417"/>
      <c r="Q1164" s="556" t="s">
        <v>165</v>
      </c>
    </row>
    <row r="1165" spans="1:17" s="416" customFormat="1" ht="14" outlineLevel="3">
      <c r="A1165" s="400" t="s">
        <v>8</v>
      </c>
      <c r="B1165" s="557" t="s">
        <v>287</v>
      </c>
      <c r="C1165" s="397" t="s">
        <v>25</v>
      </c>
      <c r="D1165" s="398"/>
      <c r="E1165" s="398"/>
      <c r="F1165" s="398"/>
      <c r="G1165" s="398">
        <f t="shared" si="310"/>
        <v>0</v>
      </c>
      <c r="H1165" s="398">
        <f t="shared" si="311"/>
        <v>0</v>
      </c>
      <c r="I1165" s="399"/>
      <c r="J1165" s="410" t="s">
        <v>21</v>
      </c>
      <c r="K1165" s="411" t="s">
        <v>128</v>
      </c>
      <c r="L1165" s="411" t="s">
        <v>112</v>
      </c>
      <c r="M1165" s="411" t="s">
        <v>165</v>
      </c>
      <c r="N1165" s="460"/>
      <c r="P1165" s="417"/>
      <c r="Q1165" s="556" t="s">
        <v>165</v>
      </c>
    </row>
    <row r="1166" spans="1:17" s="416" customFormat="1" ht="14" outlineLevel="3">
      <c r="A1166" s="400" t="s">
        <v>8</v>
      </c>
      <c r="B1166" s="557" t="s">
        <v>288</v>
      </c>
      <c r="C1166" s="397" t="s">
        <v>25</v>
      </c>
      <c r="D1166" s="398"/>
      <c r="E1166" s="398"/>
      <c r="F1166" s="398"/>
      <c r="G1166" s="398">
        <f t="shared" si="310"/>
        <v>0</v>
      </c>
      <c r="H1166" s="398">
        <f t="shared" si="311"/>
        <v>0</v>
      </c>
      <c r="I1166" s="399"/>
      <c r="J1166" s="410" t="s">
        <v>21</v>
      </c>
      <c r="K1166" s="411" t="s">
        <v>128</v>
      </c>
      <c r="L1166" s="411" t="s">
        <v>112</v>
      </c>
      <c r="M1166" s="411" t="s">
        <v>165</v>
      </c>
      <c r="N1166" s="460"/>
      <c r="P1166" s="417"/>
      <c r="Q1166" s="556" t="s">
        <v>165</v>
      </c>
    </row>
    <row r="1167" spans="1:17" s="416" customFormat="1" ht="14" outlineLevel="3">
      <c r="A1167" s="400" t="s">
        <v>8</v>
      </c>
      <c r="B1167" s="557" t="s">
        <v>289</v>
      </c>
      <c r="C1167" s="397" t="s">
        <v>25</v>
      </c>
      <c r="D1167" s="398"/>
      <c r="E1167" s="398"/>
      <c r="F1167" s="398"/>
      <c r="G1167" s="398">
        <f t="shared" si="310"/>
        <v>0</v>
      </c>
      <c r="H1167" s="398">
        <f t="shared" si="311"/>
        <v>0</v>
      </c>
      <c r="I1167" s="399"/>
      <c r="J1167" s="410" t="s">
        <v>21</v>
      </c>
      <c r="K1167" s="411" t="s">
        <v>128</v>
      </c>
      <c r="L1167" s="411" t="s">
        <v>112</v>
      </c>
      <c r="M1167" s="411" t="s">
        <v>165</v>
      </c>
      <c r="N1167" s="460"/>
      <c r="P1167" s="417"/>
      <c r="Q1167" s="556" t="s">
        <v>165</v>
      </c>
    </row>
    <row r="1168" spans="1:17" s="413" customFormat="1" ht="14" outlineLevel="2">
      <c r="A1168" s="388" t="s">
        <v>19</v>
      </c>
      <c r="B1168" s="350" t="s">
        <v>907</v>
      </c>
      <c r="C1168" s="397"/>
      <c r="D1168" s="398"/>
      <c r="E1168" s="398"/>
      <c r="F1168" s="398"/>
      <c r="G1168" s="391">
        <f>SUBTOTAL(9,G1169:G1169)</f>
        <v>0</v>
      </c>
      <c r="H1168" s="391">
        <f>SUBTOTAL(9,H1169:H1169)</f>
        <v>0</v>
      </c>
      <c r="I1168" s="392"/>
      <c r="J1168" s="410"/>
      <c r="K1168" s="411"/>
      <c r="L1168" s="411"/>
      <c r="M1168" s="411" t="s">
        <v>165</v>
      </c>
      <c r="N1168" s="412"/>
      <c r="P1168" s="414"/>
      <c r="Q1168" s="556" t="s">
        <v>165</v>
      </c>
    </row>
    <row r="1169" spans="1:17" s="416" customFormat="1" ht="14" outlineLevel="3">
      <c r="A1169" s="400" t="s">
        <v>8</v>
      </c>
      <c r="B1169" s="559" t="s">
        <v>907</v>
      </c>
      <c r="C1169" s="397" t="s">
        <v>908</v>
      </c>
      <c r="D1169" s="398"/>
      <c r="E1169" s="398"/>
      <c r="F1169" s="398"/>
      <c r="G1169" s="398">
        <f t="shared" ref="G1169" si="312">F1169*D1169</f>
        <v>0</v>
      </c>
      <c r="H1169" s="398">
        <f t="shared" ref="H1169" si="313">F1169*E1169</f>
        <v>0</v>
      </c>
      <c r="I1169" s="399"/>
      <c r="J1169" s="410" t="s">
        <v>21</v>
      </c>
      <c r="K1169" s="411" t="s">
        <v>128</v>
      </c>
      <c r="L1169" s="411" t="s">
        <v>112</v>
      </c>
      <c r="M1169" s="411" t="s">
        <v>165</v>
      </c>
      <c r="N1169" s="460"/>
      <c r="P1169" s="417"/>
      <c r="Q1169" s="556" t="s">
        <v>165</v>
      </c>
    </row>
    <row r="1170" spans="1:17" s="413" customFormat="1" ht="14" outlineLevel="2">
      <c r="A1170" s="388" t="s">
        <v>26</v>
      </c>
      <c r="B1170" s="350" t="s">
        <v>49</v>
      </c>
      <c r="C1170" s="390"/>
      <c r="D1170" s="391"/>
      <c r="E1170" s="391"/>
      <c r="F1170" s="391"/>
      <c r="G1170" s="391">
        <f>SUBTOTAL(9,G1171:G1192)</f>
        <v>0</v>
      </c>
      <c r="H1170" s="391">
        <f>SUBTOTAL(9,H1171:H1192)</f>
        <v>0</v>
      </c>
      <c r="I1170" s="560"/>
      <c r="J1170" s="410"/>
      <c r="K1170" s="411"/>
      <c r="L1170" s="411"/>
      <c r="M1170" s="411" t="s">
        <v>165</v>
      </c>
      <c r="N1170" s="412"/>
      <c r="P1170" s="414"/>
      <c r="Q1170" s="556" t="s">
        <v>165</v>
      </c>
    </row>
    <row r="1171" spans="1:17" s="413" customFormat="1" ht="14" outlineLevel="3">
      <c r="A1171" s="388">
        <v>1</v>
      </c>
      <c r="B1171" s="350" t="s">
        <v>100</v>
      </c>
      <c r="C1171" s="390"/>
      <c r="D1171" s="391"/>
      <c r="E1171" s="391"/>
      <c r="F1171" s="391"/>
      <c r="G1171" s="391"/>
      <c r="H1171" s="391"/>
      <c r="I1171" s="392"/>
      <c r="J1171" s="410"/>
      <c r="K1171" s="411"/>
      <c r="L1171" s="411"/>
      <c r="M1171" s="411" t="s">
        <v>165</v>
      </c>
      <c r="N1171" s="412"/>
      <c r="P1171" s="414"/>
      <c r="Q1171" s="556" t="s">
        <v>165</v>
      </c>
    </row>
    <row r="1172" spans="1:17" s="416" customFormat="1" ht="14" outlineLevel="3">
      <c r="A1172" s="400" t="s">
        <v>8</v>
      </c>
      <c r="B1172" s="557" t="s">
        <v>290</v>
      </c>
      <c r="C1172" s="397" t="s">
        <v>24</v>
      </c>
      <c r="D1172" s="398"/>
      <c r="E1172" s="398"/>
      <c r="F1172" s="330"/>
      <c r="G1172" s="398">
        <f t="shared" ref="G1172:G1189" si="314">F1172*D1172</f>
        <v>0</v>
      </c>
      <c r="H1172" s="398">
        <f>E1172*F1172</f>
        <v>0</v>
      </c>
      <c r="I1172" s="399"/>
      <c r="J1172" s="410" t="s">
        <v>21</v>
      </c>
      <c r="K1172" s="411" t="s">
        <v>128</v>
      </c>
      <c r="L1172" s="411" t="s">
        <v>112</v>
      </c>
      <c r="M1172" s="411" t="s">
        <v>165</v>
      </c>
      <c r="N1172" s="460"/>
      <c r="P1172" s="417"/>
      <c r="Q1172" s="556" t="s">
        <v>165</v>
      </c>
    </row>
    <row r="1173" spans="1:17" s="416" customFormat="1" ht="14" outlineLevel="3">
      <c r="A1173" s="400" t="s">
        <v>8</v>
      </c>
      <c r="B1173" s="557" t="s">
        <v>291</v>
      </c>
      <c r="C1173" s="397" t="s">
        <v>24</v>
      </c>
      <c r="D1173" s="398"/>
      <c r="E1173" s="398"/>
      <c r="F1173" s="398"/>
      <c r="G1173" s="398">
        <f t="shared" si="314"/>
        <v>0</v>
      </c>
      <c r="H1173" s="398">
        <f t="shared" ref="H1173:H1189" si="315">F1173*E1173</f>
        <v>0</v>
      </c>
      <c r="I1173" s="399"/>
      <c r="J1173" s="410" t="s">
        <v>21</v>
      </c>
      <c r="K1173" s="411" t="s">
        <v>128</v>
      </c>
      <c r="L1173" s="411" t="s">
        <v>112</v>
      </c>
      <c r="M1173" s="411" t="s">
        <v>165</v>
      </c>
      <c r="N1173" s="460"/>
      <c r="P1173" s="417"/>
      <c r="Q1173" s="556" t="s">
        <v>165</v>
      </c>
    </row>
    <row r="1174" spans="1:17" s="416" customFormat="1" ht="14" outlineLevel="3">
      <c r="A1174" s="400" t="s">
        <v>8</v>
      </c>
      <c r="B1174" s="557" t="s">
        <v>292</v>
      </c>
      <c r="C1174" s="397" t="s">
        <v>24</v>
      </c>
      <c r="D1174" s="398"/>
      <c r="E1174" s="398"/>
      <c r="F1174" s="330"/>
      <c r="G1174" s="398">
        <f t="shared" si="314"/>
        <v>0</v>
      </c>
      <c r="H1174" s="398">
        <f t="shared" si="315"/>
        <v>0</v>
      </c>
      <c r="I1174" s="399"/>
      <c r="J1174" s="410" t="s">
        <v>21</v>
      </c>
      <c r="K1174" s="411" t="s">
        <v>128</v>
      </c>
      <c r="L1174" s="411" t="s">
        <v>112</v>
      </c>
      <c r="M1174" s="411" t="s">
        <v>165</v>
      </c>
      <c r="N1174" s="460"/>
      <c r="P1174" s="417"/>
      <c r="Q1174" s="556" t="s">
        <v>165</v>
      </c>
    </row>
    <row r="1175" spans="1:17" s="416" customFormat="1" ht="14" outlineLevel="3">
      <c r="A1175" s="400" t="s">
        <v>8</v>
      </c>
      <c r="B1175" s="557" t="s">
        <v>293</v>
      </c>
      <c r="C1175" s="397" t="s">
        <v>24</v>
      </c>
      <c r="D1175" s="398"/>
      <c r="E1175" s="398"/>
      <c r="F1175" s="398"/>
      <c r="G1175" s="398">
        <f t="shared" si="314"/>
        <v>0</v>
      </c>
      <c r="H1175" s="398">
        <f t="shared" si="315"/>
        <v>0</v>
      </c>
      <c r="I1175" s="399"/>
      <c r="J1175" s="410" t="s">
        <v>21</v>
      </c>
      <c r="K1175" s="411" t="s">
        <v>128</v>
      </c>
      <c r="L1175" s="411" t="s">
        <v>112</v>
      </c>
      <c r="M1175" s="411" t="s">
        <v>165</v>
      </c>
      <c r="N1175" s="460"/>
      <c r="P1175" s="417"/>
      <c r="Q1175" s="556" t="s">
        <v>165</v>
      </c>
    </row>
    <row r="1176" spans="1:17" s="416" customFormat="1" ht="14" outlineLevel="3">
      <c r="A1176" s="400" t="s">
        <v>8</v>
      </c>
      <c r="B1176" s="557" t="s">
        <v>294</v>
      </c>
      <c r="C1176" s="397" t="s">
        <v>24</v>
      </c>
      <c r="D1176" s="398"/>
      <c r="E1176" s="398"/>
      <c r="F1176" s="398"/>
      <c r="G1176" s="398">
        <f t="shared" si="314"/>
        <v>0</v>
      </c>
      <c r="H1176" s="398">
        <f t="shared" si="315"/>
        <v>0</v>
      </c>
      <c r="I1176" s="399"/>
      <c r="J1176" s="410" t="s">
        <v>21</v>
      </c>
      <c r="K1176" s="411" t="s">
        <v>128</v>
      </c>
      <c r="L1176" s="411" t="s">
        <v>112</v>
      </c>
      <c r="M1176" s="411" t="s">
        <v>165</v>
      </c>
      <c r="N1176" s="460"/>
      <c r="P1176" s="417"/>
      <c r="Q1176" s="556" t="s">
        <v>165</v>
      </c>
    </row>
    <row r="1177" spans="1:17" s="416" customFormat="1" ht="14" outlineLevel="3">
      <c r="A1177" s="400" t="s">
        <v>8</v>
      </c>
      <c r="B1177" s="557" t="s">
        <v>295</v>
      </c>
      <c r="C1177" s="397" t="s">
        <v>24</v>
      </c>
      <c r="D1177" s="398"/>
      <c r="E1177" s="398"/>
      <c r="F1177" s="398"/>
      <c r="G1177" s="398">
        <f t="shared" si="314"/>
        <v>0</v>
      </c>
      <c r="H1177" s="398">
        <f t="shared" si="315"/>
        <v>0</v>
      </c>
      <c r="I1177" s="399"/>
      <c r="J1177" s="410" t="s">
        <v>21</v>
      </c>
      <c r="K1177" s="411" t="s">
        <v>128</v>
      </c>
      <c r="L1177" s="411" t="s">
        <v>112</v>
      </c>
      <c r="M1177" s="411" t="s">
        <v>165</v>
      </c>
      <c r="N1177" s="460"/>
      <c r="P1177" s="417"/>
      <c r="Q1177" s="556" t="s">
        <v>165</v>
      </c>
    </row>
    <row r="1178" spans="1:17" s="416" customFormat="1" ht="14" outlineLevel="3">
      <c r="A1178" s="400" t="s">
        <v>8</v>
      </c>
      <c r="B1178" s="557" t="s">
        <v>910</v>
      </c>
      <c r="C1178" s="397" t="s">
        <v>24</v>
      </c>
      <c r="D1178" s="398"/>
      <c r="E1178" s="398"/>
      <c r="F1178" s="330"/>
      <c r="G1178" s="398">
        <f t="shared" si="314"/>
        <v>0</v>
      </c>
      <c r="H1178" s="398">
        <f t="shared" si="315"/>
        <v>0</v>
      </c>
      <c r="I1178" s="399"/>
      <c r="J1178" s="410" t="s">
        <v>21</v>
      </c>
      <c r="K1178" s="411" t="s">
        <v>128</v>
      </c>
      <c r="L1178" s="411" t="s">
        <v>112</v>
      </c>
      <c r="M1178" s="411" t="s">
        <v>165</v>
      </c>
      <c r="N1178" s="460"/>
      <c r="P1178" s="417"/>
      <c r="Q1178" s="556" t="s">
        <v>165</v>
      </c>
    </row>
    <row r="1179" spans="1:17" s="416" customFormat="1" ht="14" outlineLevel="3">
      <c r="A1179" s="400" t="s">
        <v>8</v>
      </c>
      <c r="B1179" s="557" t="s">
        <v>911</v>
      </c>
      <c r="C1179" s="397" t="s">
        <v>24</v>
      </c>
      <c r="D1179" s="398"/>
      <c r="E1179" s="398"/>
      <c r="F1179" s="330"/>
      <c r="G1179" s="398">
        <f t="shared" si="314"/>
        <v>0</v>
      </c>
      <c r="H1179" s="398">
        <f t="shared" si="315"/>
        <v>0</v>
      </c>
      <c r="I1179" s="399"/>
      <c r="J1179" s="410" t="s">
        <v>21</v>
      </c>
      <c r="K1179" s="411" t="s">
        <v>128</v>
      </c>
      <c r="L1179" s="411" t="s">
        <v>112</v>
      </c>
      <c r="M1179" s="411" t="s">
        <v>165</v>
      </c>
      <c r="N1179" s="460"/>
      <c r="P1179" s="417"/>
      <c r="Q1179" s="556" t="s">
        <v>165</v>
      </c>
    </row>
    <row r="1180" spans="1:17" s="416" customFormat="1" ht="14" outlineLevel="3">
      <c r="A1180" s="400" t="s">
        <v>8</v>
      </c>
      <c r="B1180" s="557" t="s">
        <v>296</v>
      </c>
      <c r="C1180" s="397" t="s">
        <v>24</v>
      </c>
      <c r="D1180" s="398"/>
      <c r="E1180" s="398"/>
      <c r="F1180" s="398"/>
      <c r="G1180" s="398">
        <f t="shared" si="314"/>
        <v>0</v>
      </c>
      <c r="H1180" s="398">
        <f t="shared" si="315"/>
        <v>0</v>
      </c>
      <c r="I1180" s="399"/>
      <c r="J1180" s="410" t="s">
        <v>21</v>
      </c>
      <c r="K1180" s="411" t="s">
        <v>128</v>
      </c>
      <c r="L1180" s="411" t="s">
        <v>112</v>
      </c>
      <c r="M1180" s="411" t="s">
        <v>165</v>
      </c>
      <c r="N1180" s="460"/>
      <c r="P1180" s="417"/>
      <c r="Q1180" s="556" t="s">
        <v>165</v>
      </c>
    </row>
    <row r="1181" spans="1:17" s="416" customFormat="1" ht="14" outlineLevel="3">
      <c r="A1181" s="400" t="s">
        <v>8</v>
      </c>
      <c r="B1181" s="349" t="s">
        <v>297</v>
      </c>
      <c r="C1181" s="397" t="s">
        <v>24</v>
      </c>
      <c r="D1181" s="398"/>
      <c r="E1181" s="398"/>
      <c r="F1181" s="330"/>
      <c r="G1181" s="398">
        <f t="shared" si="314"/>
        <v>0</v>
      </c>
      <c r="H1181" s="398">
        <f t="shared" si="315"/>
        <v>0</v>
      </c>
      <c r="I1181" s="399"/>
      <c r="J1181" s="410" t="s">
        <v>21</v>
      </c>
      <c r="K1181" s="411" t="s">
        <v>128</v>
      </c>
      <c r="L1181" s="411" t="s">
        <v>112</v>
      </c>
      <c r="M1181" s="411" t="s">
        <v>165</v>
      </c>
      <c r="N1181" s="460"/>
      <c r="P1181" s="417"/>
      <c r="Q1181" s="556" t="s">
        <v>165</v>
      </c>
    </row>
    <row r="1182" spans="1:17" s="416" customFormat="1" ht="14" outlineLevel="3">
      <c r="A1182" s="400" t="s">
        <v>8</v>
      </c>
      <c r="B1182" s="557" t="s">
        <v>1292</v>
      </c>
      <c r="C1182" s="397" t="s">
        <v>24</v>
      </c>
      <c r="D1182" s="398"/>
      <c r="E1182" s="398"/>
      <c r="F1182" s="398"/>
      <c r="G1182" s="398">
        <f t="shared" si="314"/>
        <v>0</v>
      </c>
      <c r="H1182" s="398">
        <f t="shared" si="315"/>
        <v>0</v>
      </c>
      <c r="I1182" s="399"/>
      <c r="J1182" s="410" t="s">
        <v>21</v>
      </c>
      <c r="K1182" s="411" t="s">
        <v>128</v>
      </c>
      <c r="L1182" s="411" t="s">
        <v>112</v>
      </c>
      <c r="M1182" s="411" t="s">
        <v>165</v>
      </c>
      <c r="N1182" s="460"/>
      <c r="P1182" s="417"/>
      <c r="Q1182" s="556" t="s">
        <v>165</v>
      </c>
    </row>
    <row r="1183" spans="1:17" s="416" customFormat="1" ht="14" outlineLevel="3">
      <c r="A1183" s="400" t="s">
        <v>8</v>
      </c>
      <c r="B1183" s="557" t="s">
        <v>299</v>
      </c>
      <c r="C1183" s="397" t="s">
        <v>24</v>
      </c>
      <c r="D1183" s="398"/>
      <c r="E1183" s="398"/>
      <c r="F1183" s="398"/>
      <c r="G1183" s="398">
        <f t="shared" si="314"/>
        <v>0</v>
      </c>
      <c r="H1183" s="398">
        <f t="shared" si="315"/>
        <v>0</v>
      </c>
      <c r="I1183" s="399"/>
      <c r="J1183" s="410" t="s">
        <v>21</v>
      </c>
      <c r="K1183" s="411" t="s">
        <v>128</v>
      </c>
      <c r="L1183" s="411" t="s">
        <v>112</v>
      </c>
      <c r="M1183" s="411" t="s">
        <v>165</v>
      </c>
      <c r="N1183" s="460"/>
      <c r="P1183" s="417"/>
      <c r="Q1183" s="556" t="s">
        <v>165</v>
      </c>
    </row>
    <row r="1184" spans="1:17" s="416" customFormat="1" ht="14" outlineLevel="3">
      <c r="A1184" s="400" t="s">
        <v>8</v>
      </c>
      <c r="B1184" s="557" t="s">
        <v>300</v>
      </c>
      <c r="C1184" s="397" t="s">
        <v>24</v>
      </c>
      <c r="D1184" s="398"/>
      <c r="E1184" s="398"/>
      <c r="F1184" s="398"/>
      <c r="G1184" s="398">
        <f t="shared" si="314"/>
        <v>0</v>
      </c>
      <c r="H1184" s="398">
        <f t="shared" si="315"/>
        <v>0</v>
      </c>
      <c r="I1184" s="399"/>
      <c r="J1184" s="410" t="s">
        <v>21</v>
      </c>
      <c r="K1184" s="411" t="s">
        <v>128</v>
      </c>
      <c r="L1184" s="411" t="s">
        <v>112</v>
      </c>
      <c r="M1184" s="411" t="s">
        <v>165</v>
      </c>
      <c r="N1184" s="460"/>
      <c r="P1184" s="417"/>
      <c r="Q1184" s="556" t="s">
        <v>165</v>
      </c>
    </row>
    <row r="1185" spans="1:17" s="416" customFormat="1" ht="14" outlineLevel="3">
      <c r="A1185" s="400" t="s">
        <v>8</v>
      </c>
      <c r="B1185" s="557" t="s">
        <v>301</v>
      </c>
      <c r="C1185" s="397" t="s">
        <v>24</v>
      </c>
      <c r="D1185" s="398"/>
      <c r="E1185" s="398"/>
      <c r="F1185" s="398"/>
      <c r="G1185" s="398">
        <f t="shared" si="314"/>
        <v>0</v>
      </c>
      <c r="H1185" s="398">
        <f t="shared" si="315"/>
        <v>0</v>
      </c>
      <c r="I1185" s="399"/>
      <c r="J1185" s="410" t="s">
        <v>21</v>
      </c>
      <c r="K1185" s="411" t="s">
        <v>128</v>
      </c>
      <c r="L1185" s="411" t="s">
        <v>112</v>
      </c>
      <c r="M1185" s="411" t="s">
        <v>165</v>
      </c>
      <c r="N1185" s="460"/>
      <c r="P1185" s="417"/>
      <c r="Q1185" s="556" t="s">
        <v>165</v>
      </c>
    </row>
    <row r="1186" spans="1:17" s="416" customFormat="1" ht="14" outlineLevel="3">
      <c r="A1186" s="400" t="s">
        <v>8</v>
      </c>
      <c r="B1186" s="557" t="s">
        <v>302</v>
      </c>
      <c r="C1186" s="397" t="s">
        <v>11</v>
      </c>
      <c r="D1186" s="398"/>
      <c r="E1186" s="398"/>
      <c r="F1186" s="331"/>
      <c r="G1186" s="398">
        <f t="shared" si="314"/>
        <v>0</v>
      </c>
      <c r="H1186" s="398">
        <f t="shared" si="315"/>
        <v>0</v>
      </c>
      <c r="I1186" s="399"/>
      <c r="J1186" s="410" t="s">
        <v>21</v>
      </c>
      <c r="K1186" s="411" t="s">
        <v>128</v>
      </c>
      <c r="L1186" s="411" t="s">
        <v>112</v>
      </c>
      <c r="M1186" s="411" t="s">
        <v>165</v>
      </c>
      <c r="N1186" s="460"/>
      <c r="P1186" s="417"/>
      <c r="Q1186" s="556" t="s">
        <v>165</v>
      </c>
    </row>
    <row r="1187" spans="1:17" s="416" customFormat="1" ht="14" outlineLevel="3">
      <c r="A1187" s="400" t="s">
        <v>8</v>
      </c>
      <c r="B1187" s="557" t="s">
        <v>303</v>
      </c>
      <c r="C1187" s="397" t="s">
        <v>24</v>
      </c>
      <c r="D1187" s="398"/>
      <c r="E1187" s="398"/>
      <c r="F1187" s="331"/>
      <c r="G1187" s="398">
        <f t="shared" si="314"/>
        <v>0</v>
      </c>
      <c r="H1187" s="398">
        <f t="shared" si="315"/>
        <v>0</v>
      </c>
      <c r="I1187" s="399"/>
      <c r="J1187" s="410" t="s">
        <v>21</v>
      </c>
      <c r="K1187" s="411" t="s">
        <v>128</v>
      </c>
      <c r="L1187" s="411" t="s">
        <v>112</v>
      </c>
      <c r="M1187" s="411" t="s">
        <v>165</v>
      </c>
      <c r="N1187" s="460"/>
      <c r="P1187" s="417"/>
      <c r="Q1187" s="556" t="s">
        <v>165</v>
      </c>
    </row>
    <row r="1188" spans="1:17" s="416" customFormat="1" ht="14" outlineLevel="3">
      <c r="A1188" s="400" t="s">
        <v>8</v>
      </c>
      <c r="B1188" s="557" t="s">
        <v>304</v>
      </c>
      <c r="C1188" s="397" t="s">
        <v>24</v>
      </c>
      <c r="D1188" s="398"/>
      <c r="E1188" s="398"/>
      <c r="F1188" s="398"/>
      <c r="G1188" s="398">
        <f t="shared" si="314"/>
        <v>0</v>
      </c>
      <c r="H1188" s="398">
        <f t="shared" si="315"/>
        <v>0</v>
      </c>
      <c r="I1188" s="399"/>
      <c r="J1188" s="410" t="s">
        <v>21</v>
      </c>
      <c r="K1188" s="411" t="s">
        <v>128</v>
      </c>
      <c r="L1188" s="411" t="s">
        <v>112</v>
      </c>
      <c r="M1188" s="411" t="s">
        <v>165</v>
      </c>
      <c r="N1188" s="460"/>
      <c r="P1188" s="417"/>
      <c r="Q1188" s="556" t="s">
        <v>165</v>
      </c>
    </row>
    <row r="1189" spans="1:17" s="416" customFormat="1" ht="14" outlineLevel="3">
      <c r="A1189" s="400" t="s">
        <v>8</v>
      </c>
      <c r="B1189" s="557" t="s">
        <v>305</v>
      </c>
      <c r="C1189" s="397" t="s">
        <v>24</v>
      </c>
      <c r="D1189" s="398"/>
      <c r="E1189" s="398"/>
      <c r="F1189" s="398"/>
      <c r="G1189" s="398">
        <f t="shared" si="314"/>
        <v>0</v>
      </c>
      <c r="H1189" s="398">
        <f t="shared" si="315"/>
        <v>0</v>
      </c>
      <c r="I1189" s="399"/>
      <c r="J1189" s="410" t="s">
        <v>21</v>
      </c>
      <c r="K1189" s="411" t="s">
        <v>128</v>
      </c>
      <c r="L1189" s="411" t="s">
        <v>112</v>
      </c>
      <c r="M1189" s="411" t="s">
        <v>165</v>
      </c>
      <c r="N1189" s="460"/>
      <c r="P1189" s="417"/>
      <c r="Q1189" s="556" t="s">
        <v>165</v>
      </c>
    </row>
    <row r="1190" spans="1:17" s="413" customFormat="1" ht="14" outlineLevel="3">
      <c r="A1190" s="388">
        <v>2</v>
      </c>
      <c r="B1190" s="350" t="s">
        <v>909</v>
      </c>
      <c r="C1190" s="390"/>
      <c r="D1190" s="391"/>
      <c r="E1190" s="391"/>
      <c r="F1190" s="391"/>
      <c r="G1190" s="391"/>
      <c r="H1190" s="391"/>
      <c r="I1190" s="392"/>
      <c r="J1190" s="410"/>
      <c r="K1190" s="411"/>
      <c r="L1190" s="411"/>
      <c r="M1190" s="411" t="s">
        <v>165</v>
      </c>
      <c r="N1190" s="412"/>
      <c r="P1190" s="414"/>
      <c r="Q1190" s="556" t="s">
        <v>165</v>
      </c>
    </row>
    <row r="1191" spans="1:17" s="416" customFormat="1" ht="14" outlineLevel="3">
      <c r="A1191" s="400" t="s">
        <v>8</v>
      </c>
      <c r="B1191" s="415" t="s">
        <v>894</v>
      </c>
      <c r="C1191" s="397" t="s">
        <v>50</v>
      </c>
      <c r="D1191" s="398"/>
      <c r="E1191" s="398"/>
      <c r="F1191" s="330"/>
      <c r="G1191" s="398">
        <f t="shared" ref="G1191:G1192" si="316">F1191*D1191</f>
        <v>0</v>
      </c>
      <c r="H1191" s="398">
        <f t="shared" ref="H1191:H1192" si="317">F1191*E1191</f>
        <v>0</v>
      </c>
      <c r="I1191" s="399"/>
      <c r="J1191" s="410" t="s">
        <v>21</v>
      </c>
      <c r="K1191" s="411" t="s">
        <v>128</v>
      </c>
      <c r="L1191" s="411" t="s">
        <v>112</v>
      </c>
      <c r="M1191" s="411" t="s">
        <v>165</v>
      </c>
      <c r="N1191" s="460"/>
      <c r="P1191" s="417"/>
      <c r="Q1191" s="556" t="s">
        <v>165</v>
      </c>
    </row>
    <row r="1192" spans="1:17" s="416" customFormat="1" ht="14" outlineLevel="3">
      <c r="A1192" s="400" t="s">
        <v>8</v>
      </c>
      <c r="B1192" s="415" t="s">
        <v>52</v>
      </c>
      <c r="C1192" s="397" t="s">
        <v>50</v>
      </c>
      <c r="D1192" s="398"/>
      <c r="E1192" s="398"/>
      <c r="F1192" s="398"/>
      <c r="G1192" s="398">
        <f t="shared" si="316"/>
        <v>0</v>
      </c>
      <c r="H1192" s="398">
        <f t="shared" si="317"/>
        <v>0</v>
      </c>
      <c r="I1192" s="399"/>
      <c r="J1192" s="410" t="s">
        <v>21</v>
      </c>
      <c r="K1192" s="411" t="s">
        <v>128</v>
      </c>
      <c r="L1192" s="411" t="s">
        <v>112</v>
      </c>
      <c r="M1192" s="411" t="s">
        <v>165</v>
      </c>
      <c r="N1192" s="460"/>
      <c r="P1192" s="417"/>
      <c r="Q1192" s="556" t="s">
        <v>165</v>
      </c>
    </row>
    <row r="1193" spans="1:17" s="416" customFormat="1" ht="14" outlineLevel="2">
      <c r="A1193" s="388" t="s">
        <v>37</v>
      </c>
      <c r="B1193" s="389" t="s">
        <v>306</v>
      </c>
      <c r="C1193" s="549"/>
      <c r="D1193" s="479"/>
      <c r="E1193" s="479"/>
      <c r="F1193" s="479"/>
      <c r="G1193" s="479">
        <f>SUBTOTAL(9,G1194:G1219)</f>
        <v>0</v>
      </c>
      <c r="H1193" s="479">
        <f>SUBTOTAL(9,H1194:H1219)</f>
        <v>0</v>
      </c>
      <c r="I1193" s="392"/>
      <c r="J1193" s="411"/>
      <c r="K1193" s="411"/>
      <c r="L1193" s="411"/>
      <c r="M1193" s="411" t="s">
        <v>165</v>
      </c>
      <c r="N1193" s="411"/>
      <c r="P1193" s="417"/>
    </row>
    <row r="1194" spans="1:17" s="416" customFormat="1" ht="14" outlineLevel="3">
      <c r="A1194" s="388">
        <v>1</v>
      </c>
      <c r="B1194" s="389" t="s">
        <v>914</v>
      </c>
      <c r="C1194" s="566"/>
      <c r="D1194" s="567"/>
      <c r="E1194" s="567"/>
      <c r="F1194" s="568"/>
      <c r="G1194" s="479"/>
      <c r="H1194" s="479"/>
      <c r="I1194" s="399"/>
      <c r="J1194" s="411"/>
      <c r="K1194" s="411"/>
      <c r="L1194" s="411"/>
      <c r="M1194" s="411" t="s">
        <v>165</v>
      </c>
      <c r="N1194" s="411"/>
      <c r="O1194" s="463"/>
      <c r="P1194" s="417"/>
    </row>
    <row r="1195" spans="1:17" s="416" customFormat="1" ht="14" outlineLevel="4">
      <c r="A1195" s="405" t="s">
        <v>149</v>
      </c>
      <c r="B1195" s="569" t="s">
        <v>915</v>
      </c>
      <c r="C1195" s="397" t="s">
        <v>263</v>
      </c>
      <c r="D1195" s="398"/>
      <c r="E1195" s="398"/>
      <c r="F1195" s="398"/>
      <c r="G1195" s="398">
        <f t="shared" ref="G1195" si="318">F1195*D1195</f>
        <v>0</v>
      </c>
      <c r="H1195" s="398">
        <f t="shared" ref="H1195" si="319">F1195*E1195</f>
        <v>0</v>
      </c>
      <c r="I1195" s="399"/>
      <c r="J1195" s="411" t="s">
        <v>21</v>
      </c>
      <c r="K1195" s="449" t="s">
        <v>151</v>
      </c>
      <c r="L1195" s="411" t="s">
        <v>112</v>
      </c>
      <c r="M1195" s="411" t="s">
        <v>165</v>
      </c>
      <c r="N1195" s="460"/>
      <c r="O1195" s="463"/>
      <c r="P1195" s="417"/>
    </row>
    <row r="1196" spans="1:17" s="416" customFormat="1" ht="14" outlineLevel="4">
      <c r="A1196" s="405" t="s">
        <v>149</v>
      </c>
      <c r="B1196" s="569" t="s">
        <v>916</v>
      </c>
      <c r="C1196" s="397" t="s">
        <v>922</v>
      </c>
      <c r="D1196" s="398"/>
      <c r="E1196" s="398"/>
      <c r="F1196" s="398"/>
      <c r="G1196" s="398">
        <f t="shared" ref="G1196:G1198" si="320">F1196*D1196</f>
        <v>0</v>
      </c>
      <c r="H1196" s="398">
        <f t="shared" ref="H1196:H1198" si="321">F1196*E1196</f>
        <v>0</v>
      </c>
      <c r="I1196" s="399"/>
      <c r="J1196" s="411" t="s">
        <v>21</v>
      </c>
      <c r="K1196" s="449" t="s">
        <v>151</v>
      </c>
      <c r="L1196" s="411" t="s">
        <v>112</v>
      </c>
      <c r="M1196" s="411" t="s">
        <v>165</v>
      </c>
      <c r="N1196" s="460"/>
      <c r="O1196" s="463"/>
      <c r="P1196" s="417"/>
    </row>
    <row r="1197" spans="1:17" s="416" customFormat="1" ht="14" outlineLevel="4">
      <c r="A1197" s="405" t="s">
        <v>149</v>
      </c>
      <c r="B1197" s="569" t="s">
        <v>917</v>
      </c>
      <c r="C1197" s="397" t="s">
        <v>263</v>
      </c>
      <c r="D1197" s="398"/>
      <c r="E1197" s="398"/>
      <c r="F1197" s="398"/>
      <c r="G1197" s="398">
        <f t="shared" si="320"/>
        <v>0</v>
      </c>
      <c r="H1197" s="398">
        <f t="shared" si="321"/>
        <v>0</v>
      </c>
      <c r="I1197" s="399"/>
      <c r="J1197" s="411" t="s">
        <v>21</v>
      </c>
      <c r="K1197" s="449" t="s">
        <v>151</v>
      </c>
      <c r="L1197" s="411" t="s">
        <v>112</v>
      </c>
      <c r="M1197" s="411" t="s">
        <v>165</v>
      </c>
      <c r="N1197" s="460"/>
      <c r="O1197" s="463"/>
      <c r="P1197" s="417"/>
    </row>
    <row r="1198" spans="1:17" s="416" customFormat="1" ht="14" outlineLevel="4">
      <c r="A1198" s="388" t="s">
        <v>149</v>
      </c>
      <c r="B1198" s="569" t="s">
        <v>918</v>
      </c>
      <c r="C1198" s="397" t="s">
        <v>923</v>
      </c>
      <c r="D1198" s="398"/>
      <c r="E1198" s="398"/>
      <c r="F1198" s="568"/>
      <c r="G1198" s="398">
        <f t="shared" si="320"/>
        <v>0</v>
      </c>
      <c r="H1198" s="398">
        <f t="shared" si="321"/>
        <v>0</v>
      </c>
      <c r="I1198" s="399"/>
      <c r="J1198" s="411" t="s">
        <v>21</v>
      </c>
      <c r="K1198" s="449" t="s">
        <v>151</v>
      </c>
      <c r="L1198" s="411" t="s">
        <v>112</v>
      </c>
      <c r="M1198" s="411" t="s">
        <v>165</v>
      </c>
      <c r="N1198" s="460"/>
      <c r="O1198" s="463"/>
      <c r="P1198" s="417"/>
    </row>
    <row r="1199" spans="1:17" s="416" customFormat="1" ht="14" outlineLevel="4">
      <c r="A1199" s="405" t="s">
        <v>149</v>
      </c>
      <c r="B1199" s="569" t="s">
        <v>919</v>
      </c>
      <c r="C1199" s="397" t="s">
        <v>923</v>
      </c>
      <c r="D1199" s="398"/>
      <c r="E1199" s="398"/>
      <c r="F1199" s="398"/>
      <c r="G1199" s="398">
        <f t="shared" ref="G1199" si="322">F1199*D1199</f>
        <v>0</v>
      </c>
      <c r="H1199" s="398">
        <f t="shared" ref="H1199" si="323">F1199*E1199</f>
        <v>0</v>
      </c>
      <c r="I1199" s="399"/>
      <c r="J1199" s="411" t="s">
        <v>21</v>
      </c>
      <c r="K1199" s="449" t="s">
        <v>151</v>
      </c>
      <c r="L1199" s="411" t="s">
        <v>112</v>
      </c>
      <c r="M1199" s="411" t="s">
        <v>165</v>
      </c>
      <c r="N1199" s="460"/>
      <c r="O1199" s="463"/>
      <c r="P1199" s="417"/>
    </row>
    <row r="1200" spans="1:17" s="416" customFormat="1" ht="14" outlineLevel="4">
      <c r="A1200" s="405" t="s">
        <v>149</v>
      </c>
      <c r="B1200" s="569" t="s">
        <v>920</v>
      </c>
      <c r="C1200" s="397" t="s">
        <v>923</v>
      </c>
      <c r="D1200" s="398"/>
      <c r="E1200" s="398"/>
      <c r="F1200" s="398"/>
      <c r="G1200" s="398">
        <f t="shared" ref="G1200:G1201" si="324">F1200*D1200</f>
        <v>0</v>
      </c>
      <c r="H1200" s="398">
        <f t="shared" ref="H1200:H1201" si="325">F1200*E1200</f>
        <v>0</v>
      </c>
      <c r="I1200" s="399"/>
      <c r="J1200" s="411" t="s">
        <v>21</v>
      </c>
      <c r="K1200" s="449" t="s">
        <v>151</v>
      </c>
      <c r="L1200" s="411" t="s">
        <v>112</v>
      </c>
      <c r="M1200" s="411" t="s">
        <v>165</v>
      </c>
      <c r="N1200" s="460"/>
      <c r="O1200" s="463"/>
      <c r="P1200" s="417"/>
    </row>
    <row r="1201" spans="1:16" s="416" customFormat="1" ht="14" outlineLevel="4">
      <c r="A1201" s="388" t="s">
        <v>149</v>
      </c>
      <c r="B1201" s="569" t="s">
        <v>921</v>
      </c>
      <c r="C1201" s="397" t="s">
        <v>923</v>
      </c>
      <c r="D1201" s="398"/>
      <c r="E1201" s="398"/>
      <c r="F1201" s="568"/>
      <c r="G1201" s="398">
        <f t="shared" si="324"/>
        <v>0</v>
      </c>
      <c r="H1201" s="398">
        <f t="shared" si="325"/>
        <v>0</v>
      </c>
      <c r="I1201" s="399"/>
      <c r="J1201" s="411" t="s">
        <v>21</v>
      </c>
      <c r="K1201" s="449" t="s">
        <v>151</v>
      </c>
      <c r="L1201" s="411" t="s">
        <v>112</v>
      </c>
      <c r="M1201" s="411" t="s">
        <v>165</v>
      </c>
      <c r="N1201" s="460"/>
      <c r="O1201" s="463"/>
      <c r="P1201" s="417"/>
    </row>
    <row r="1202" spans="1:16" s="413" customFormat="1" ht="14" outlineLevel="3">
      <c r="A1202" s="388">
        <v>2</v>
      </c>
      <c r="B1202" s="570" t="s">
        <v>924</v>
      </c>
      <c r="C1202" s="390"/>
      <c r="D1202" s="391"/>
      <c r="E1202" s="391"/>
      <c r="F1202" s="391"/>
      <c r="G1202" s="391"/>
      <c r="H1202" s="391"/>
      <c r="I1202" s="392"/>
      <c r="J1202" s="412"/>
      <c r="K1202" s="412"/>
      <c r="L1202" s="412"/>
      <c r="M1202" s="411" t="s">
        <v>165</v>
      </c>
      <c r="N1202" s="412"/>
      <c r="O1202" s="467"/>
      <c r="P1202" s="414"/>
    </row>
    <row r="1203" spans="1:16" s="416" customFormat="1" ht="14" outlineLevel="4">
      <c r="A1203" s="405" t="s">
        <v>8</v>
      </c>
      <c r="B1203" s="571" t="s">
        <v>915</v>
      </c>
      <c r="C1203" s="397" t="s">
        <v>263</v>
      </c>
      <c r="D1203" s="398"/>
      <c r="E1203" s="398"/>
      <c r="F1203" s="398"/>
      <c r="G1203" s="398">
        <f t="shared" ref="G1203:G1204" si="326">F1203*D1203</f>
        <v>0</v>
      </c>
      <c r="H1203" s="398">
        <f t="shared" ref="H1203:H1204" si="327">F1203*E1203</f>
        <v>0</v>
      </c>
      <c r="I1203" s="399"/>
      <c r="J1203" s="411" t="s">
        <v>21</v>
      </c>
      <c r="K1203" s="449" t="s">
        <v>151</v>
      </c>
      <c r="L1203" s="411" t="s">
        <v>112</v>
      </c>
      <c r="M1203" s="411" t="s">
        <v>165</v>
      </c>
      <c r="N1203" s="460"/>
      <c r="O1203" s="463"/>
      <c r="P1203" s="417"/>
    </row>
    <row r="1204" spans="1:16" s="416" customFormat="1" ht="14" outlineLevel="4">
      <c r="A1204" s="405" t="s">
        <v>8</v>
      </c>
      <c r="B1204" s="571" t="s">
        <v>925</v>
      </c>
      <c r="C1204" s="397" t="s">
        <v>923</v>
      </c>
      <c r="D1204" s="398"/>
      <c r="E1204" s="398"/>
      <c r="F1204" s="568"/>
      <c r="G1204" s="398">
        <f t="shared" si="326"/>
        <v>0</v>
      </c>
      <c r="H1204" s="398">
        <f t="shared" si="327"/>
        <v>0</v>
      </c>
      <c r="I1204" s="399"/>
      <c r="J1204" s="411" t="s">
        <v>21</v>
      </c>
      <c r="K1204" s="449" t="s">
        <v>151</v>
      </c>
      <c r="L1204" s="411" t="s">
        <v>112</v>
      </c>
      <c r="M1204" s="411" t="s">
        <v>165</v>
      </c>
      <c r="N1204" s="460"/>
      <c r="P1204" s="417"/>
    </row>
    <row r="1205" spans="1:16" s="416" customFormat="1" ht="14" outlineLevel="4">
      <c r="A1205" s="405" t="s">
        <v>8</v>
      </c>
      <c r="B1205" s="571" t="s">
        <v>926</v>
      </c>
      <c r="C1205" s="397" t="s">
        <v>923</v>
      </c>
      <c r="D1205" s="398"/>
      <c r="E1205" s="398"/>
      <c r="F1205" s="398"/>
      <c r="G1205" s="398">
        <f t="shared" ref="G1205:G1206" si="328">F1205*D1205</f>
        <v>0</v>
      </c>
      <c r="H1205" s="398">
        <f t="shared" ref="H1205:H1206" si="329">F1205*E1205</f>
        <v>0</v>
      </c>
      <c r="I1205" s="399"/>
      <c r="J1205" s="411" t="s">
        <v>21</v>
      </c>
      <c r="K1205" s="449" t="s">
        <v>151</v>
      </c>
      <c r="L1205" s="411" t="s">
        <v>112</v>
      </c>
      <c r="M1205" s="411" t="s">
        <v>165</v>
      </c>
      <c r="N1205" s="460"/>
      <c r="O1205" s="463"/>
      <c r="P1205" s="417"/>
    </row>
    <row r="1206" spans="1:16" s="416" customFormat="1" ht="14" outlineLevel="4">
      <c r="A1206" s="405" t="s">
        <v>8</v>
      </c>
      <c r="B1206" s="571" t="s">
        <v>927</v>
      </c>
      <c r="C1206" s="397" t="s">
        <v>923</v>
      </c>
      <c r="D1206" s="398"/>
      <c r="E1206" s="398"/>
      <c r="F1206" s="568"/>
      <c r="G1206" s="398">
        <f t="shared" si="328"/>
        <v>0</v>
      </c>
      <c r="H1206" s="398">
        <f t="shared" si="329"/>
        <v>0</v>
      </c>
      <c r="I1206" s="399"/>
      <c r="J1206" s="411" t="s">
        <v>21</v>
      </c>
      <c r="K1206" s="449" t="s">
        <v>151</v>
      </c>
      <c r="L1206" s="411" t="s">
        <v>112</v>
      </c>
      <c r="M1206" s="411" t="s">
        <v>165</v>
      </c>
      <c r="N1206" s="460"/>
      <c r="P1206" s="417"/>
    </row>
    <row r="1207" spans="1:16" s="413" customFormat="1" ht="14" outlineLevel="3">
      <c r="A1207" s="388">
        <v>3</v>
      </c>
      <c r="B1207" s="570" t="s">
        <v>928</v>
      </c>
      <c r="C1207" s="390"/>
      <c r="D1207" s="391"/>
      <c r="E1207" s="391"/>
      <c r="F1207" s="391"/>
      <c r="G1207" s="391"/>
      <c r="H1207" s="391"/>
      <c r="I1207" s="392"/>
      <c r="J1207" s="412"/>
      <c r="K1207" s="412"/>
      <c r="L1207" s="412"/>
      <c r="M1207" s="411" t="s">
        <v>165</v>
      </c>
      <c r="N1207" s="412"/>
      <c r="O1207" s="467"/>
      <c r="P1207" s="414"/>
    </row>
    <row r="1208" spans="1:16" s="416" customFormat="1" ht="14" outlineLevel="4">
      <c r="A1208" s="405" t="s">
        <v>8</v>
      </c>
      <c r="B1208" s="571" t="s">
        <v>915</v>
      </c>
      <c r="C1208" s="397" t="s">
        <v>263</v>
      </c>
      <c r="D1208" s="398"/>
      <c r="E1208" s="398"/>
      <c r="F1208" s="398"/>
      <c r="G1208" s="398">
        <f t="shared" ref="G1208:G1210" si="330">F1208*D1208</f>
        <v>0</v>
      </c>
      <c r="H1208" s="398">
        <f t="shared" ref="H1208:H1210" si="331">F1208*E1208</f>
        <v>0</v>
      </c>
      <c r="I1208" s="399"/>
      <c r="J1208" s="411" t="s">
        <v>21</v>
      </c>
      <c r="K1208" s="449" t="s">
        <v>151</v>
      </c>
      <c r="L1208" s="411" t="s">
        <v>112</v>
      </c>
      <c r="M1208" s="411" t="s">
        <v>165</v>
      </c>
      <c r="N1208" s="460"/>
      <c r="O1208" s="463"/>
      <c r="P1208" s="417"/>
    </row>
    <row r="1209" spans="1:16" s="416" customFormat="1" ht="14" outlineLevel="4">
      <c r="A1209" s="405" t="s">
        <v>8</v>
      </c>
      <c r="B1209" s="571" t="s">
        <v>929</v>
      </c>
      <c r="C1209" s="397" t="s">
        <v>263</v>
      </c>
      <c r="D1209" s="398"/>
      <c r="E1209" s="398"/>
      <c r="F1209" s="398"/>
      <c r="G1209" s="398">
        <f t="shared" si="330"/>
        <v>0</v>
      </c>
      <c r="H1209" s="398">
        <f t="shared" si="331"/>
        <v>0</v>
      </c>
      <c r="I1209" s="399"/>
      <c r="J1209" s="411" t="s">
        <v>21</v>
      </c>
      <c r="K1209" s="449" t="s">
        <v>151</v>
      </c>
      <c r="L1209" s="411" t="s">
        <v>112</v>
      </c>
      <c r="M1209" s="411" t="s">
        <v>165</v>
      </c>
      <c r="N1209" s="460"/>
      <c r="O1209" s="463"/>
      <c r="P1209" s="417"/>
    </row>
    <row r="1210" spans="1:16" s="416" customFormat="1" ht="14" outlineLevel="4">
      <c r="A1210" s="405" t="s">
        <v>8</v>
      </c>
      <c r="B1210" s="571" t="s">
        <v>916</v>
      </c>
      <c r="C1210" s="397" t="s">
        <v>922</v>
      </c>
      <c r="D1210" s="398"/>
      <c r="E1210" s="398"/>
      <c r="F1210" s="398"/>
      <c r="G1210" s="398">
        <f t="shared" si="330"/>
        <v>0</v>
      </c>
      <c r="H1210" s="398">
        <f t="shared" si="331"/>
        <v>0</v>
      </c>
      <c r="I1210" s="399"/>
      <c r="J1210" s="411" t="s">
        <v>21</v>
      </c>
      <c r="K1210" s="449" t="s">
        <v>151</v>
      </c>
      <c r="L1210" s="411" t="s">
        <v>112</v>
      </c>
      <c r="M1210" s="411" t="s">
        <v>165</v>
      </c>
      <c r="N1210" s="460"/>
      <c r="O1210" s="463"/>
      <c r="P1210" s="417"/>
    </row>
    <row r="1211" spans="1:16" s="416" customFormat="1" ht="14" outlineLevel="4">
      <c r="A1211" s="405" t="s">
        <v>8</v>
      </c>
      <c r="B1211" s="571" t="s">
        <v>930</v>
      </c>
      <c r="C1211" s="397" t="s">
        <v>923</v>
      </c>
      <c r="D1211" s="398"/>
      <c r="E1211" s="398"/>
      <c r="F1211" s="398"/>
      <c r="G1211" s="398">
        <f t="shared" ref="G1211:G1212" si="332">F1211*D1211</f>
        <v>0</v>
      </c>
      <c r="H1211" s="398">
        <f t="shared" ref="H1211:H1212" si="333">F1211*E1211</f>
        <v>0</v>
      </c>
      <c r="I1211" s="399"/>
      <c r="J1211" s="411" t="s">
        <v>21</v>
      </c>
      <c r="K1211" s="449" t="s">
        <v>151</v>
      </c>
      <c r="L1211" s="411" t="s">
        <v>112</v>
      </c>
      <c r="M1211" s="411" t="s">
        <v>165</v>
      </c>
      <c r="N1211" s="460"/>
      <c r="O1211" s="463"/>
      <c r="P1211" s="417"/>
    </row>
    <row r="1212" spans="1:16" s="416" customFormat="1" ht="14" outlineLevel="4">
      <c r="A1212" s="405" t="s">
        <v>8</v>
      </c>
      <c r="B1212" s="571" t="s">
        <v>925</v>
      </c>
      <c r="C1212" s="397" t="s">
        <v>923</v>
      </c>
      <c r="D1212" s="398"/>
      <c r="E1212" s="398"/>
      <c r="F1212" s="398"/>
      <c r="G1212" s="398">
        <f t="shared" si="332"/>
        <v>0</v>
      </c>
      <c r="H1212" s="398">
        <f t="shared" si="333"/>
        <v>0</v>
      </c>
      <c r="I1212" s="399"/>
      <c r="J1212" s="411" t="s">
        <v>21</v>
      </c>
      <c r="K1212" s="449" t="s">
        <v>151</v>
      </c>
      <c r="L1212" s="411" t="s">
        <v>112</v>
      </c>
      <c r="M1212" s="411" t="s">
        <v>165</v>
      </c>
      <c r="N1212" s="460"/>
      <c r="O1212" s="463"/>
      <c r="P1212" s="417"/>
    </row>
    <row r="1213" spans="1:16" s="416" customFormat="1" ht="14" outlineLevel="4">
      <c r="A1213" s="405" t="s">
        <v>8</v>
      </c>
      <c r="B1213" s="571" t="s">
        <v>931</v>
      </c>
      <c r="C1213" s="397" t="s">
        <v>923</v>
      </c>
      <c r="D1213" s="398"/>
      <c r="E1213" s="398"/>
      <c r="F1213" s="398"/>
      <c r="G1213" s="398">
        <f t="shared" ref="G1213" si="334">F1213*D1213</f>
        <v>0</v>
      </c>
      <c r="H1213" s="398">
        <f t="shared" ref="H1213" si="335">F1213*E1213</f>
        <v>0</v>
      </c>
      <c r="I1213" s="399"/>
      <c r="J1213" s="411" t="s">
        <v>21</v>
      </c>
      <c r="K1213" s="449" t="s">
        <v>151</v>
      </c>
      <c r="L1213" s="411" t="s">
        <v>112</v>
      </c>
      <c r="M1213" s="411" t="s">
        <v>165</v>
      </c>
      <c r="N1213" s="460"/>
      <c r="O1213" s="463"/>
      <c r="P1213" s="417"/>
    </row>
    <row r="1214" spans="1:16" s="416" customFormat="1" ht="14" outlineLevel="3">
      <c r="A1214" s="388">
        <v>6</v>
      </c>
      <c r="B1214" s="389" t="s">
        <v>167</v>
      </c>
      <c r="C1214" s="549"/>
      <c r="D1214" s="398"/>
      <c r="E1214" s="398"/>
      <c r="F1214" s="479"/>
      <c r="G1214" s="479">
        <f>SUBTOTAL(9,G1215:G1216)</f>
        <v>0</v>
      </c>
      <c r="H1214" s="479">
        <f t="shared" ref="H1214" si="336">SUBTOTAL(9,H1215:H1216)</f>
        <v>0</v>
      </c>
      <c r="I1214" s="392"/>
      <c r="J1214" s="411"/>
      <c r="K1214" s="411"/>
      <c r="L1214" s="411"/>
      <c r="M1214" s="411" t="s">
        <v>165</v>
      </c>
      <c r="N1214" s="411"/>
      <c r="P1214" s="417"/>
    </row>
    <row r="1215" spans="1:16" s="416" customFormat="1" ht="26.25" customHeight="1" outlineLevel="4">
      <c r="A1215" s="405" t="s">
        <v>8</v>
      </c>
      <c r="B1215" s="572" t="s">
        <v>168</v>
      </c>
      <c r="C1215" s="397" t="s">
        <v>9</v>
      </c>
      <c r="D1215" s="398"/>
      <c r="E1215" s="398"/>
      <c r="F1215" s="398"/>
      <c r="G1215" s="398">
        <f t="shared" ref="G1215:G1216" si="337">F1215*D1215</f>
        <v>0</v>
      </c>
      <c r="H1215" s="398">
        <f t="shared" ref="H1215:H1216" si="338">F1215*E1215</f>
        <v>0</v>
      </c>
      <c r="I1215" s="399"/>
      <c r="J1215" s="411" t="s">
        <v>21</v>
      </c>
      <c r="K1215" s="411" t="s">
        <v>93</v>
      </c>
      <c r="L1215" s="411" t="s">
        <v>112</v>
      </c>
      <c r="M1215" s="411" t="s">
        <v>165</v>
      </c>
      <c r="N1215" s="460"/>
      <c r="P1215" s="417"/>
    </row>
    <row r="1216" spans="1:16" s="416" customFormat="1" ht="14" outlineLevel="4">
      <c r="A1216" s="405" t="s">
        <v>8</v>
      </c>
      <c r="B1216" s="572" t="s">
        <v>169</v>
      </c>
      <c r="C1216" s="397" t="s">
        <v>9</v>
      </c>
      <c r="D1216" s="398"/>
      <c r="E1216" s="398"/>
      <c r="F1216" s="568"/>
      <c r="G1216" s="398">
        <f t="shared" si="337"/>
        <v>0</v>
      </c>
      <c r="H1216" s="398">
        <f t="shared" si="338"/>
        <v>0</v>
      </c>
      <c r="I1216" s="399"/>
      <c r="J1216" s="411" t="s">
        <v>21</v>
      </c>
      <c r="K1216" s="411" t="s">
        <v>93</v>
      </c>
      <c r="L1216" s="411" t="s">
        <v>112</v>
      </c>
      <c r="M1216" s="411" t="s">
        <v>165</v>
      </c>
      <c r="N1216" s="460"/>
      <c r="O1216" s="463"/>
      <c r="P1216" s="417"/>
    </row>
    <row r="1217" spans="1:16" s="416" customFormat="1" ht="14" outlineLevel="3">
      <c r="A1217" s="388">
        <v>7</v>
      </c>
      <c r="B1217" s="389" t="s">
        <v>185</v>
      </c>
      <c r="C1217" s="549"/>
      <c r="D1217" s="398"/>
      <c r="E1217" s="398"/>
      <c r="F1217" s="479"/>
      <c r="G1217" s="479">
        <f>SUBTOTAL(9,G1218:G1219)</f>
        <v>0</v>
      </c>
      <c r="H1217" s="479">
        <f t="shared" ref="H1217" si="339">SUBTOTAL(9,H1218:H1219)</f>
        <v>0</v>
      </c>
      <c r="I1217" s="392"/>
      <c r="J1217" s="411"/>
      <c r="K1217" s="411"/>
      <c r="L1217" s="411"/>
      <c r="M1217" s="411" t="s">
        <v>165</v>
      </c>
      <c r="N1217" s="411"/>
      <c r="P1217" s="417"/>
    </row>
    <row r="1218" spans="1:16" s="416" customFormat="1" ht="14" outlineLevel="4">
      <c r="A1218" s="405" t="s">
        <v>8</v>
      </c>
      <c r="B1218" s="572" t="s">
        <v>186</v>
      </c>
      <c r="C1218" s="397" t="s">
        <v>9</v>
      </c>
      <c r="D1218" s="398"/>
      <c r="E1218" s="398"/>
      <c r="F1218" s="398"/>
      <c r="G1218" s="398">
        <f t="shared" ref="G1218:G1219" si="340">F1218*D1218</f>
        <v>0</v>
      </c>
      <c r="H1218" s="398">
        <f t="shared" ref="H1218:H1219" si="341">F1218*E1218</f>
        <v>0</v>
      </c>
      <c r="I1218" s="399"/>
      <c r="J1218" s="411" t="s">
        <v>21</v>
      </c>
      <c r="K1218" s="411" t="s">
        <v>93</v>
      </c>
      <c r="L1218" s="411" t="s">
        <v>112</v>
      </c>
      <c r="M1218" s="411" t="s">
        <v>165</v>
      </c>
      <c r="N1218" s="460"/>
      <c r="P1218" s="417"/>
    </row>
    <row r="1219" spans="1:16" s="416" customFormat="1" ht="14" outlineLevel="4">
      <c r="A1219" s="405" t="s">
        <v>8</v>
      </c>
      <c r="B1219" s="572" t="s">
        <v>187</v>
      </c>
      <c r="C1219" s="397" t="s">
        <v>9</v>
      </c>
      <c r="D1219" s="398"/>
      <c r="E1219" s="398"/>
      <c r="F1219" s="398"/>
      <c r="G1219" s="398">
        <f t="shared" si="340"/>
        <v>0</v>
      </c>
      <c r="H1219" s="398">
        <f t="shared" si="341"/>
        <v>0</v>
      </c>
      <c r="I1219" s="399"/>
      <c r="J1219" s="411" t="s">
        <v>21</v>
      </c>
      <c r="K1219" s="411" t="s">
        <v>93</v>
      </c>
      <c r="L1219" s="411" t="s">
        <v>112</v>
      </c>
      <c r="M1219" s="411" t="s">
        <v>165</v>
      </c>
      <c r="N1219" s="460"/>
      <c r="O1219" s="463"/>
      <c r="P1219" s="417"/>
    </row>
    <row r="1220" spans="1:16" s="413" customFormat="1" ht="14" outlineLevel="1">
      <c r="A1220" s="388" t="s">
        <v>314</v>
      </c>
      <c r="B1220" s="350" t="s">
        <v>188</v>
      </c>
      <c r="C1220" s="549"/>
      <c r="D1220" s="479"/>
      <c r="E1220" s="479"/>
      <c r="F1220" s="479"/>
      <c r="G1220" s="479">
        <f>SUBTOTAL(9,G1221:G1275)</f>
        <v>1174866.9285714286</v>
      </c>
      <c r="H1220" s="479">
        <f>SUBTOTAL(9,H1221:H1275)</f>
        <v>62714</v>
      </c>
      <c r="I1220" s="479"/>
      <c r="J1220" s="411"/>
      <c r="K1220" s="411"/>
      <c r="L1220" s="411"/>
      <c r="M1220" s="412"/>
      <c r="N1220" s="412"/>
      <c r="P1220" s="414"/>
    </row>
    <row r="1221" spans="1:16" s="413" customFormat="1" ht="14" outlineLevel="2">
      <c r="A1221" s="388" t="s">
        <v>4</v>
      </c>
      <c r="B1221" s="389" t="s">
        <v>32</v>
      </c>
      <c r="C1221" s="549"/>
      <c r="D1221" s="479"/>
      <c r="E1221" s="479"/>
      <c r="F1221" s="479"/>
      <c r="G1221" s="479">
        <f>SUBTOTAL(9,G1222:G1237)</f>
        <v>912270</v>
      </c>
      <c r="H1221" s="479">
        <f>SUBTOTAL(9,H1222:H1237)</f>
        <v>62714</v>
      </c>
      <c r="I1221" s="479"/>
      <c r="J1221" s="411"/>
      <c r="K1221" s="411"/>
      <c r="L1221" s="411"/>
      <c r="M1221" s="412"/>
      <c r="N1221" s="412"/>
      <c r="P1221" s="709" t="s">
        <v>1453</v>
      </c>
    </row>
    <row r="1222" spans="1:16" s="416" customFormat="1" ht="14" outlineLevel="4">
      <c r="A1222" s="466">
        <v>1</v>
      </c>
      <c r="B1222" s="573" t="s">
        <v>1327</v>
      </c>
      <c r="C1222" s="397"/>
      <c r="D1222" s="398"/>
      <c r="E1222" s="398"/>
      <c r="F1222" s="398"/>
      <c r="G1222" s="398"/>
      <c r="H1222" s="398"/>
      <c r="I1222" s="399"/>
      <c r="J1222" s="411"/>
      <c r="K1222" s="411"/>
      <c r="L1222" s="411"/>
      <c r="M1222" s="411"/>
      <c r="N1222" s="411"/>
      <c r="P1222" s="417"/>
    </row>
    <row r="1223" spans="1:16" s="416" customFormat="1" ht="154" outlineLevel="4">
      <c r="A1223" s="400" t="s">
        <v>8</v>
      </c>
      <c r="B1223" s="415" t="s">
        <v>1328</v>
      </c>
      <c r="C1223" s="397" t="s">
        <v>24</v>
      </c>
      <c r="D1223" s="398">
        <v>2</v>
      </c>
      <c r="E1223" s="398"/>
      <c r="F1223" s="398">
        <v>130927</v>
      </c>
      <c r="G1223" s="398">
        <f t="shared" ref="G1223:G1229" si="342">F1223*D1223</f>
        <v>261854</v>
      </c>
      <c r="H1223" s="398">
        <f t="shared" ref="H1223:H1229" si="343">F1223*E1223</f>
        <v>0</v>
      </c>
      <c r="I1223" s="399"/>
      <c r="J1223" s="411" t="s">
        <v>21</v>
      </c>
      <c r="K1223" s="574" t="s">
        <v>124</v>
      </c>
      <c r="L1223" s="411" t="s">
        <v>112</v>
      </c>
      <c r="M1223" s="411" t="s">
        <v>32</v>
      </c>
      <c r="N1223" s="460"/>
      <c r="P1223" s="417"/>
    </row>
    <row r="1224" spans="1:16" s="416" customFormat="1" ht="14" outlineLevel="4">
      <c r="A1224" s="400" t="s">
        <v>8</v>
      </c>
      <c r="B1224" s="415" t="s">
        <v>1329</v>
      </c>
      <c r="C1224" s="397" t="s">
        <v>23</v>
      </c>
      <c r="D1224" s="398"/>
      <c r="E1224" s="398">
        <v>2</v>
      </c>
      <c r="F1224" s="398">
        <v>29117</v>
      </c>
      <c r="G1224" s="398">
        <f t="shared" si="342"/>
        <v>0</v>
      </c>
      <c r="H1224" s="398">
        <f t="shared" si="343"/>
        <v>58234</v>
      </c>
      <c r="I1224" s="399"/>
      <c r="J1224" s="411" t="s">
        <v>21</v>
      </c>
      <c r="K1224" s="574" t="s">
        <v>124</v>
      </c>
      <c r="L1224" s="411" t="s">
        <v>112</v>
      </c>
      <c r="M1224" s="411" t="s">
        <v>32</v>
      </c>
      <c r="N1224" s="460"/>
      <c r="P1224" s="417"/>
    </row>
    <row r="1225" spans="1:16" s="416" customFormat="1" ht="14" outlineLevel="4">
      <c r="A1225" s="400" t="s">
        <v>8</v>
      </c>
      <c r="B1225" s="415" t="s">
        <v>1330</v>
      </c>
      <c r="C1225" s="397" t="s">
        <v>166</v>
      </c>
      <c r="D1225" s="398"/>
      <c r="E1225" s="398">
        <v>8</v>
      </c>
      <c r="F1225" s="398">
        <v>560</v>
      </c>
      <c r="G1225" s="398">
        <f t="shared" si="342"/>
        <v>0</v>
      </c>
      <c r="H1225" s="398">
        <f t="shared" si="343"/>
        <v>4480</v>
      </c>
      <c r="I1225" s="399"/>
      <c r="J1225" s="411" t="s">
        <v>21</v>
      </c>
      <c r="K1225" s="574" t="s">
        <v>124</v>
      </c>
      <c r="L1225" s="411" t="s">
        <v>112</v>
      </c>
      <c r="M1225" s="411" t="s">
        <v>32</v>
      </c>
      <c r="N1225" s="460"/>
      <c r="P1225" s="417"/>
    </row>
    <row r="1226" spans="1:16" s="416" customFormat="1" ht="140" outlineLevel="4">
      <c r="A1226" s="400" t="s">
        <v>8</v>
      </c>
      <c r="B1226" s="415" t="s">
        <v>1331</v>
      </c>
      <c r="C1226" s="397" t="s">
        <v>24</v>
      </c>
      <c r="D1226" s="398">
        <v>2</v>
      </c>
      <c r="E1226" s="398"/>
      <c r="F1226" s="398">
        <v>108929</v>
      </c>
      <c r="G1226" s="398">
        <f t="shared" si="342"/>
        <v>217858</v>
      </c>
      <c r="H1226" s="398">
        <f t="shared" si="343"/>
        <v>0</v>
      </c>
      <c r="I1226" s="399"/>
      <c r="J1226" s="411" t="s">
        <v>21</v>
      </c>
      <c r="K1226" s="574" t="s">
        <v>124</v>
      </c>
      <c r="L1226" s="411" t="s">
        <v>112</v>
      </c>
      <c r="M1226" s="411" t="s">
        <v>32</v>
      </c>
      <c r="N1226" s="460"/>
      <c r="P1226" s="417"/>
    </row>
    <row r="1227" spans="1:16" s="416" customFormat="1" ht="126" outlineLevel="4">
      <c r="A1227" s="400" t="s">
        <v>8</v>
      </c>
      <c r="B1227" s="415" t="s">
        <v>1332</v>
      </c>
      <c r="C1227" s="397" t="s">
        <v>24</v>
      </c>
      <c r="D1227" s="398">
        <v>2</v>
      </c>
      <c r="E1227" s="398"/>
      <c r="F1227" s="398">
        <v>65494</v>
      </c>
      <c r="G1227" s="398">
        <f t="shared" si="342"/>
        <v>130988</v>
      </c>
      <c r="H1227" s="398">
        <f t="shared" si="343"/>
        <v>0</v>
      </c>
      <c r="I1227" s="399"/>
      <c r="J1227" s="411" t="s">
        <v>21</v>
      </c>
      <c r="K1227" s="574" t="s">
        <v>124</v>
      </c>
      <c r="L1227" s="411" t="s">
        <v>112</v>
      </c>
      <c r="M1227" s="411" t="s">
        <v>32</v>
      </c>
      <c r="N1227" s="460"/>
      <c r="P1227" s="417"/>
    </row>
    <row r="1228" spans="1:16" s="416" customFormat="1" ht="14" outlineLevel="4">
      <c r="A1228" s="400" t="s">
        <v>8</v>
      </c>
      <c r="B1228" s="415" t="s">
        <v>1333</v>
      </c>
      <c r="C1228" s="397" t="s">
        <v>24</v>
      </c>
      <c r="D1228" s="398">
        <v>2</v>
      </c>
      <c r="E1228" s="398"/>
      <c r="F1228" s="398">
        <v>7000</v>
      </c>
      <c r="G1228" s="398">
        <f t="shared" si="342"/>
        <v>14000</v>
      </c>
      <c r="H1228" s="398">
        <f t="shared" si="343"/>
        <v>0</v>
      </c>
      <c r="I1228" s="399"/>
      <c r="J1228" s="411" t="s">
        <v>21</v>
      </c>
      <c r="K1228" s="574" t="s">
        <v>124</v>
      </c>
      <c r="L1228" s="411" t="s">
        <v>112</v>
      </c>
      <c r="M1228" s="411" t="s">
        <v>32</v>
      </c>
      <c r="N1228" s="460"/>
      <c r="P1228" s="417"/>
    </row>
    <row r="1229" spans="1:16" s="416" customFormat="1" ht="14" outlineLevel="4">
      <c r="A1229" s="400" t="s">
        <v>8</v>
      </c>
      <c r="B1229" s="415" t="s">
        <v>1334</v>
      </c>
      <c r="C1229" s="397" t="s">
        <v>166</v>
      </c>
      <c r="D1229" s="398">
        <v>8</v>
      </c>
      <c r="E1229" s="398"/>
      <c r="F1229" s="398">
        <v>100</v>
      </c>
      <c r="G1229" s="398">
        <f t="shared" si="342"/>
        <v>800</v>
      </c>
      <c r="H1229" s="398">
        <f t="shared" si="343"/>
        <v>0</v>
      </c>
      <c r="I1229" s="399"/>
      <c r="J1229" s="411" t="s">
        <v>21</v>
      </c>
      <c r="K1229" s="574" t="s">
        <v>124</v>
      </c>
      <c r="L1229" s="411" t="s">
        <v>112</v>
      </c>
      <c r="M1229" s="411" t="s">
        <v>32</v>
      </c>
      <c r="N1229" s="460"/>
      <c r="P1229" s="417"/>
    </row>
    <row r="1230" spans="1:16" s="416" customFormat="1" ht="14" outlineLevel="4">
      <c r="A1230" s="400" t="s">
        <v>8</v>
      </c>
      <c r="B1230" s="415" t="s">
        <v>1335</v>
      </c>
      <c r="C1230" s="397" t="s">
        <v>166</v>
      </c>
      <c r="D1230" s="398">
        <v>88</v>
      </c>
      <c r="E1230" s="398"/>
      <c r="F1230" s="398">
        <v>60</v>
      </c>
      <c r="G1230" s="398">
        <f t="shared" ref="G1230:G1237" si="344">F1230*D1230</f>
        <v>5280</v>
      </c>
      <c r="H1230" s="398">
        <f t="shared" ref="H1230:H1237" si="345">F1230*E1230</f>
        <v>0</v>
      </c>
      <c r="I1230" s="399"/>
      <c r="J1230" s="411" t="s">
        <v>21</v>
      </c>
      <c r="K1230" s="574" t="s">
        <v>124</v>
      </c>
      <c r="L1230" s="411" t="s">
        <v>112</v>
      </c>
      <c r="M1230" s="411" t="s">
        <v>32</v>
      </c>
      <c r="N1230" s="460"/>
      <c r="P1230" s="417"/>
    </row>
    <row r="1231" spans="1:16" s="416" customFormat="1" ht="14" outlineLevel="4">
      <c r="A1231" s="400" t="s">
        <v>8</v>
      </c>
      <c r="B1231" s="415" t="s">
        <v>1336</v>
      </c>
      <c r="C1231" s="397" t="s">
        <v>24</v>
      </c>
      <c r="D1231" s="398">
        <v>4</v>
      </c>
      <c r="E1231" s="398"/>
      <c r="F1231" s="398">
        <v>7000</v>
      </c>
      <c r="G1231" s="398">
        <f t="shared" si="344"/>
        <v>28000</v>
      </c>
      <c r="H1231" s="398">
        <f t="shared" si="345"/>
        <v>0</v>
      </c>
      <c r="I1231" s="399"/>
      <c r="J1231" s="411" t="s">
        <v>21</v>
      </c>
      <c r="K1231" s="574" t="s">
        <v>124</v>
      </c>
      <c r="L1231" s="411" t="s">
        <v>112</v>
      </c>
      <c r="M1231" s="411" t="s">
        <v>32</v>
      </c>
      <c r="N1231" s="460"/>
      <c r="P1231" s="417"/>
    </row>
    <row r="1232" spans="1:16" s="416" customFormat="1" ht="14" outlineLevel="4">
      <c r="A1232" s="400" t="s">
        <v>8</v>
      </c>
      <c r="B1232" s="415" t="s">
        <v>1325</v>
      </c>
      <c r="C1232" s="397" t="s">
        <v>166</v>
      </c>
      <c r="D1232" s="398">
        <v>60</v>
      </c>
      <c r="E1232" s="398"/>
      <c r="F1232" s="398">
        <v>25</v>
      </c>
      <c r="G1232" s="398">
        <f t="shared" si="344"/>
        <v>1500</v>
      </c>
      <c r="H1232" s="398">
        <f t="shared" si="345"/>
        <v>0</v>
      </c>
      <c r="I1232" s="399"/>
      <c r="J1232" s="411" t="s">
        <v>21</v>
      </c>
      <c r="K1232" s="574" t="s">
        <v>124</v>
      </c>
      <c r="L1232" s="411" t="s">
        <v>112</v>
      </c>
      <c r="M1232" s="411" t="s">
        <v>32</v>
      </c>
      <c r="N1232" s="460"/>
      <c r="P1232" s="417"/>
    </row>
    <row r="1233" spans="1:17" s="416" customFormat="1" ht="14" outlineLevel="4">
      <c r="A1233" s="400" t="s">
        <v>8</v>
      </c>
      <c r="B1233" s="415" t="s">
        <v>1326</v>
      </c>
      <c r="C1233" s="397" t="s">
        <v>166</v>
      </c>
      <c r="D1233" s="398">
        <v>20</v>
      </c>
      <c r="E1233" s="398"/>
      <c r="F1233" s="398">
        <v>25</v>
      </c>
      <c r="G1233" s="398">
        <f t="shared" si="344"/>
        <v>500</v>
      </c>
      <c r="H1233" s="398">
        <f t="shared" si="345"/>
        <v>0</v>
      </c>
      <c r="I1233" s="399"/>
      <c r="J1233" s="411" t="s">
        <v>21</v>
      </c>
      <c r="K1233" s="574" t="s">
        <v>124</v>
      </c>
      <c r="L1233" s="411" t="s">
        <v>112</v>
      </c>
      <c r="M1233" s="411" t="s">
        <v>32</v>
      </c>
      <c r="N1233" s="460"/>
      <c r="P1233" s="417"/>
    </row>
    <row r="1234" spans="1:17" s="416" customFormat="1" ht="14" outlineLevel="4">
      <c r="A1234" s="400" t="s">
        <v>8</v>
      </c>
      <c r="B1234" s="415" t="s">
        <v>1337</v>
      </c>
      <c r="C1234" s="397" t="s">
        <v>166</v>
      </c>
      <c r="D1234" s="398">
        <v>112</v>
      </c>
      <c r="E1234" s="398"/>
      <c r="F1234" s="398">
        <v>60</v>
      </c>
      <c r="G1234" s="398">
        <f t="shared" si="344"/>
        <v>6720</v>
      </c>
      <c r="H1234" s="398">
        <f t="shared" si="345"/>
        <v>0</v>
      </c>
      <c r="I1234" s="399"/>
      <c r="J1234" s="411" t="s">
        <v>21</v>
      </c>
      <c r="K1234" s="574" t="s">
        <v>124</v>
      </c>
      <c r="L1234" s="411" t="s">
        <v>112</v>
      </c>
      <c r="M1234" s="411" t="s">
        <v>32</v>
      </c>
      <c r="N1234" s="460"/>
      <c r="P1234" s="417"/>
    </row>
    <row r="1235" spans="1:17" s="416" customFormat="1" ht="14" outlineLevel="4">
      <c r="A1235" s="400" t="s">
        <v>8</v>
      </c>
      <c r="B1235" s="415" t="s">
        <v>1319</v>
      </c>
      <c r="C1235" s="397" t="s">
        <v>1003</v>
      </c>
      <c r="D1235" s="398">
        <v>456</v>
      </c>
      <c r="E1235" s="398"/>
      <c r="F1235" s="398">
        <v>4</v>
      </c>
      <c r="G1235" s="398">
        <f t="shared" si="344"/>
        <v>1824</v>
      </c>
      <c r="H1235" s="398">
        <f t="shared" si="345"/>
        <v>0</v>
      </c>
      <c r="I1235" s="399"/>
      <c r="J1235" s="411" t="s">
        <v>21</v>
      </c>
      <c r="K1235" s="574" t="s">
        <v>124</v>
      </c>
      <c r="L1235" s="411" t="s">
        <v>112</v>
      </c>
      <c r="M1235" s="411" t="s">
        <v>32</v>
      </c>
      <c r="N1235" s="460"/>
      <c r="P1235" s="417"/>
    </row>
    <row r="1236" spans="1:17" s="416" customFormat="1" ht="126" outlineLevel="4">
      <c r="A1236" s="400" t="s">
        <v>8</v>
      </c>
      <c r="B1236" s="415" t="s">
        <v>1338</v>
      </c>
      <c r="C1236" s="397" t="s">
        <v>24</v>
      </c>
      <c r="D1236" s="398">
        <v>2</v>
      </c>
      <c r="E1236" s="398"/>
      <c r="F1236" s="398">
        <v>96473</v>
      </c>
      <c r="G1236" s="398">
        <f t="shared" si="344"/>
        <v>192946</v>
      </c>
      <c r="H1236" s="398">
        <f t="shared" si="345"/>
        <v>0</v>
      </c>
      <c r="I1236" s="399"/>
      <c r="J1236" s="411" t="s">
        <v>21</v>
      </c>
      <c r="K1236" s="574" t="s">
        <v>124</v>
      </c>
      <c r="L1236" s="411" t="s">
        <v>112</v>
      </c>
      <c r="M1236" s="411" t="s">
        <v>32</v>
      </c>
      <c r="N1236" s="460"/>
      <c r="P1236" s="417"/>
    </row>
    <row r="1237" spans="1:17" s="416" customFormat="1" ht="28" outlineLevel="4">
      <c r="A1237" s="400" t="s">
        <v>8</v>
      </c>
      <c r="B1237" s="415" t="s">
        <v>1339</v>
      </c>
      <c r="C1237" s="397" t="s">
        <v>24</v>
      </c>
      <c r="D1237" s="398">
        <v>2</v>
      </c>
      <c r="E1237" s="398"/>
      <c r="F1237" s="398">
        <v>25000</v>
      </c>
      <c r="G1237" s="398">
        <f t="shared" si="344"/>
        <v>50000</v>
      </c>
      <c r="H1237" s="398">
        <f t="shared" si="345"/>
        <v>0</v>
      </c>
      <c r="I1237" s="399"/>
      <c r="J1237" s="411" t="s">
        <v>21</v>
      </c>
      <c r="K1237" s="574" t="s">
        <v>124</v>
      </c>
      <c r="L1237" s="411" t="s">
        <v>112</v>
      </c>
      <c r="M1237" s="411" t="s">
        <v>32</v>
      </c>
      <c r="N1237" s="460"/>
      <c r="P1237" s="417"/>
    </row>
    <row r="1238" spans="1:17" s="413" customFormat="1" ht="26" outlineLevel="2">
      <c r="A1238" s="388" t="s">
        <v>12</v>
      </c>
      <c r="B1238" s="350" t="s">
        <v>74</v>
      </c>
      <c r="C1238" s="397"/>
      <c r="D1238" s="398"/>
      <c r="E1238" s="398"/>
      <c r="F1238" s="398"/>
      <c r="G1238" s="391">
        <f>SUBTOTAL(9,G1239:G1275)</f>
        <v>262596.92857142858</v>
      </c>
      <c r="H1238" s="391">
        <f>SUBTOTAL(9,H1239:H1275)</f>
        <v>0</v>
      </c>
      <c r="I1238" s="392"/>
      <c r="J1238" s="410"/>
      <c r="K1238" s="411"/>
      <c r="L1238" s="411"/>
      <c r="M1238" s="412"/>
      <c r="N1238" s="412"/>
      <c r="P1238" s="710" t="s">
        <v>1452</v>
      </c>
      <c r="Q1238" s="556" t="s">
        <v>165</v>
      </c>
    </row>
    <row r="1239" spans="1:17" s="413" customFormat="1" ht="14" outlineLevel="2">
      <c r="A1239" s="388">
        <v>1</v>
      </c>
      <c r="B1239" s="350" t="s">
        <v>1295</v>
      </c>
      <c r="C1239" s="397"/>
      <c r="D1239" s="398"/>
      <c r="E1239" s="398"/>
      <c r="F1239" s="398"/>
      <c r="G1239" s="391">
        <f>SUBTOTAL(9,G1240:G1251)</f>
        <v>183300</v>
      </c>
      <c r="H1239" s="391">
        <f>SUBTOTAL(9,H1240:H1251)</f>
        <v>0</v>
      </c>
      <c r="I1239" s="392"/>
      <c r="J1239" s="410"/>
      <c r="K1239" s="411"/>
      <c r="L1239" s="411"/>
      <c r="M1239" s="411" t="s">
        <v>165</v>
      </c>
      <c r="N1239" s="412"/>
      <c r="P1239" s="414"/>
      <c r="Q1239" s="556" t="s">
        <v>165</v>
      </c>
    </row>
    <row r="1240" spans="1:17" s="416" customFormat="1" ht="14" outlineLevel="3">
      <c r="A1240" s="400" t="s">
        <v>8</v>
      </c>
      <c r="B1240" s="415" t="s">
        <v>53</v>
      </c>
      <c r="C1240" s="397"/>
      <c r="D1240" s="398"/>
      <c r="E1240" s="398"/>
      <c r="F1240" s="398"/>
      <c r="G1240" s="398">
        <f t="shared" ref="G1240:G1250" si="346">F1240*D1240</f>
        <v>0</v>
      </c>
      <c r="H1240" s="398">
        <f t="shared" ref="H1240:H1250" si="347">F1240*E1240</f>
        <v>0</v>
      </c>
      <c r="I1240" s="399"/>
      <c r="J1240" s="410" t="s">
        <v>21</v>
      </c>
      <c r="K1240" s="574" t="s">
        <v>124</v>
      </c>
      <c r="L1240" s="411" t="s">
        <v>112</v>
      </c>
      <c r="M1240" s="411" t="s">
        <v>165</v>
      </c>
      <c r="N1240" s="411"/>
      <c r="P1240" s="417"/>
      <c r="Q1240" s="556" t="s">
        <v>165</v>
      </c>
    </row>
    <row r="1241" spans="1:17" s="416" customFormat="1" ht="14" outlineLevel="3">
      <c r="A1241" s="400" t="s">
        <v>8</v>
      </c>
      <c r="B1241" s="557" t="s">
        <v>283</v>
      </c>
      <c r="C1241" s="397" t="s">
        <v>25</v>
      </c>
      <c r="D1241" s="398"/>
      <c r="E1241" s="398"/>
      <c r="F1241" s="398"/>
      <c r="G1241" s="398">
        <f t="shared" si="346"/>
        <v>0</v>
      </c>
      <c r="H1241" s="398">
        <f t="shared" si="347"/>
        <v>0</v>
      </c>
      <c r="I1241" s="399"/>
      <c r="J1241" s="410" t="s">
        <v>21</v>
      </c>
      <c r="K1241" s="574" t="s">
        <v>124</v>
      </c>
      <c r="L1241" s="411" t="s">
        <v>112</v>
      </c>
      <c r="M1241" s="411" t="s">
        <v>165</v>
      </c>
      <c r="N1241" s="460"/>
      <c r="P1241" s="417"/>
      <c r="Q1241" s="556" t="s">
        <v>165</v>
      </c>
    </row>
    <row r="1242" spans="1:17" s="416" customFormat="1" ht="14" outlineLevel="3">
      <c r="A1242" s="400" t="s">
        <v>8</v>
      </c>
      <c r="B1242" s="557" t="s">
        <v>1296</v>
      </c>
      <c r="C1242" s="397" t="s">
        <v>25</v>
      </c>
      <c r="D1242" s="398">
        <v>39</v>
      </c>
      <c r="E1242" s="398"/>
      <c r="F1242" s="398">
        <v>3100</v>
      </c>
      <c r="G1242" s="398">
        <f t="shared" si="346"/>
        <v>120900</v>
      </c>
      <c r="H1242" s="398">
        <f t="shared" si="347"/>
        <v>0</v>
      </c>
      <c r="I1242" s="399"/>
      <c r="J1242" s="410" t="s">
        <v>21</v>
      </c>
      <c r="K1242" s="574" t="s">
        <v>124</v>
      </c>
      <c r="L1242" s="411" t="s">
        <v>112</v>
      </c>
      <c r="M1242" s="411" t="s">
        <v>165</v>
      </c>
      <c r="N1242" s="460"/>
      <c r="P1242" s="417"/>
      <c r="Q1242" s="556" t="s">
        <v>165</v>
      </c>
    </row>
    <row r="1243" spans="1:17" s="416" customFormat="1" ht="14" outlineLevel="3">
      <c r="A1243" s="400" t="s">
        <v>8</v>
      </c>
      <c r="B1243" s="557" t="s">
        <v>48</v>
      </c>
      <c r="C1243" s="397"/>
      <c r="D1243" s="398"/>
      <c r="E1243" s="398"/>
      <c r="F1243" s="398"/>
      <c r="G1243" s="398">
        <f t="shared" si="346"/>
        <v>0</v>
      </c>
      <c r="H1243" s="398">
        <f t="shared" si="347"/>
        <v>0</v>
      </c>
      <c r="I1243" s="399"/>
      <c r="J1243" s="410" t="s">
        <v>21</v>
      </c>
      <c r="K1243" s="574" t="s">
        <v>124</v>
      </c>
      <c r="L1243" s="411" t="s">
        <v>112</v>
      </c>
      <c r="M1243" s="411" t="s">
        <v>165</v>
      </c>
      <c r="N1243" s="460"/>
      <c r="P1243" s="417"/>
      <c r="Q1243" s="556" t="s">
        <v>165</v>
      </c>
    </row>
    <row r="1244" spans="1:17" s="416" customFormat="1" ht="14" outlineLevel="3">
      <c r="A1244" s="400" t="s">
        <v>8</v>
      </c>
      <c r="B1244" s="557" t="s">
        <v>140</v>
      </c>
      <c r="C1244" s="397" t="s">
        <v>25</v>
      </c>
      <c r="D1244" s="398"/>
      <c r="E1244" s="398"/>
      <c r="F1244" s="398"/>
      <c r="G1244" s="398">
        <f t="shared" si="346"/>
        <v>0</v>
      </c>
      <c r="H1244" s="398">
        <f t="shared" si="347"/>
        <v>0</v>
      </c>
      <c r="I1244" s="399"/>
      <c r="J1244" s="410" t="s">
        <v>21</v>
      </c>
      <c r="K1244" s="574" t="s">
        <v>124</v>
      </c>
      <c r="L1244" s="411" t="s">
        <v>112</v>
      </c>
      <c r="M1244" s="411" t="s">
        <v>165</v>
      </c>
      <c r="N1244" s="460"/>
      <c r="P1244" s="417"/>
      <c r="Q1244" s="556" t="s">
        <v>165</v>
      </c>
    </row>
    <row r="1245" spans="1:17" s="416" customFormat="1" ht="14" outlineLevel="3">
      <c r="A1245" s="400" t="s">
        <v>8</v>
      </c>
      <c r="B1245" s="557" t="s">
        <v>285</v>
      </c>
      <c r="C1245" s="397" t="s">
        <v>25</v>
      </c>
      <c r="D1245" s="398"/>
      <c r="E1245" s="398"/>
      <c r="F1245" s="398"/>
      <c r="G1245" s="398">
        <f t="shared" si="346"/>
        <v>0</v>
      </c>
      <c r="H1245" s="398">
        <f t="shared" si="347"/>
        <v>0</v>
      </c>
      <c r="I1245" s="399"/>
      <c r="J1245" s="410" t="s">
        <v>21</v>
      </c>
      <c r="K1245" s="574" t="s">
        <v>124</v>
      </c>
      <c r="L1245" s="411" t="s">
        <v>112</v>
      </c>
      <c r="M1245" s="411" t="s">
        <v>165</v>
      </c>
      <c r="N1245" s="460"/>
      <c r="P1245" s="417"/>
      <c r="Q1245" s="556" t="s">
        <v>165</v>
      </c>
    </row>
    <row r="1246" spans="1:17" s="416" customFormat="1" ht="14" outlineLevel="3">
      <c r="A1246" s="400" t="s">
        <v>8</v>
      </c>
      <c r="B1246" s="558" t="s">
        <v>1297</v>
      </c>
      <c r="C1246" s="397" t="s">
        <v>25</v>
      </c>
      <c r="D1246" s="398">
        <v>39</v>
      </c>
      <c r="E1246" s="398"/>
      <c r="F1246" s="330">
        <v>1600</v>
      </c>
      <c r="G1246" s="398">
        <f t="shared" si="346"/>
        <v>62400</v>
      </c>
      <c r="H1246" s="398">
        <f t="shared" si="347"/>
        <v>0</v>
      </c>
      <c r="I1246" s="399"/>
      <c r="J1246" s="410" t="s">
        <v>21</v>
      </c>
      <c r="K1246" s="574" t="s">
        <v>124</v>
      </c>
      <c r="L1246" s="411" t="s">
        <v>112</v>
      </c>
      <c r="M1246" s="411" t="s">
        <v>165</v>
      </c>
      <c r="N1246" s="460"/>
      <c r="P1246" s="417"/>
      <c r="Q1246" s="556" t="s">
        <v>165</v>
      </c>
    </row>
    <row r="1247" spans="1:17" s="416" customFormat="1" ht="14" outlineLevel="3">
      <c r="A1247" s="400" t="s">
        <v>8</v>
      </c>
      <c r="B1247" s="557" t="s">
        <v>286</v>
      </c>
      <c r="C1247" s="397" t="s">
        <v>25</v>
      </c>
      <c r="D1247" s="398"/>
      <c r="E1247" s="398"/>
      <c r="F1247" s="398"/>
      <c r="G1247" s="398">
        <f t="shared" si="346"/>
        <v>0</v>
      </c>
      <c r="H1247" s="398">
        <f t="shared" si="347"/>
        <v>0</v>
      </c>
      <c r="I1247" s="399"/>
      <c r="J1247" s="410" t="s">
        <v>21</v>
      </c>
      <c r="K1247" s="574" t="s">
        <v>124</v>
      </c>
      <c r="L1247" s="411" t="s">
        <v>112</v>
      </c>
      <c r="M1247" s="411" t="s">
        <v>165</v>
      </c>
      <c r="N1247" s="460"/>
      <c r="P1247" s="417"/>
      <c r="Q1247" s="556" t="s">
        <v>165</v>
      </c>
    </row>
    <row r="1248" spans="1:17" s="416" customFormat="1" ht="14" outlineLevel="3">
      <c r="A1248" s="400" t="s">
        <v>8</v>
      </c>
      <c r="B1248" s="557" t="s">
        <v>287</v>
      </c>
      <c r="C1248" s="397" t="s">
        <v>25</v>
      </c>
      <c r="D1248" s="398"/>
      <c r="E1248" s="398"/>
      <c r="F1248" s="398"/>
      <c r="G1248" s="398">
        <f t="shared" si="346"/>
        <v>0</v>
      </c>
      <c r="H1248" s="398">
        <f t="shared" si="347"/>
        <v>0</v>
      </c>
      <c r="I1248" s="399"/>
      <c r="J1248" s="410" t="s">
        <v>21</v>
      </c>
      <c r="K1248" s="574" t="s">
        <v>124</v>
      </c>
      <c r="L1248" s="411" t="s">
        <v>112</v>
      </c>
      <c r="M1248" s="411" t="s">
        <v>165</v>
      </c>
      <c r="N1248" s="460"/>
      <c r="P1248" s="417"/>
      <c r="Q1248" s="556" t="s">
        <v>165</v>
      </c>
    </row>
    <row r="1249" spans="1:17" s="416" customFormat="1" ht="14" outlineLevel="3">
      <c r="A1249" s="400" t="s">
        <v>8</v>
      </c>
      <c r="B1249" s="557" t="s">
        <v>288</v>
      </c>
      <c r="C1249" s="397" t="s">
        <v>25</v>
      </c>
      <c r="D1249" s="398"/>
      <c r="E1249" s="398"/>
      <c r="F1249" s="398"/>
      <c r="G1249" s="398">
        <f t="shared" si="346"/>
        <v>0</v>
      </c>
      <c r="H1249" s="398">
        <f t="shared" si="347"/>
        <v>0</v>
      </c>
      <c r="I1249" s="399"/>
      <c r="J1249" s="410" t="s">
        <v>21</v>
      </c>
      <c r="K1249" s="574" t="s">
        <v>124</v>
      </c>
      <c r="L1249" s="411" t="s">
        <v>112</v>
      </c>
      <c r="M1249" s="411" t="s">
        <v>165</v>
      </c>
      <c r="N1249" s="460"/>
      <c r="P1249" s="417"/>
      <c r="Q1249" s="556" t="s">
        <v>165</v>
      </c>
    </row>
    <row r="1250" spans="1:17" s="416" customFormat="1" ht="14" outlineLevel="3">
      <c r="A1250" s="400" t="s">
        <v>8</v>
      </c>
      <c r="B1250" s="557" t="s">
        <v>289</v>
      </c>
      <c r="C1250" s="397" t="s">
        <v>25</v>
      </c>
      <c r="D1250" s="398"/>
      <c r="E1250" s="398"/>
      <c r="F1250" s="398"/>
      <c r="G1250" s="398">
        <f t="shared" si="346"/>
        <v>0</v>
      </c>
      <c r="H1250" s="398">
        <f t="shared" si="347"/>
        <v>0</v>
      </c>
      <c r="I1250" s="399"/>
      <c r="J1250" s="410" t="s">
        <v>21</v>
      </c>
      <c r="K1250" s="574" t="s">
        <v>124</v>
      </c>
      <c r="L1250" s="411" t="s">
        <v>112</v>
      </c>
      <c r="M1250" s="411" t="s">
        <v>165</v>
      </c>
      <c r="N1250" s="460"/>
      <c r="P1250" s="417"/>
      <c r="Q1250" s="556" t="s">
        <v>165</v>
      </c>
    </row>
    <row r="1251" spans="1:17" s="413" customFormat="1" ht="14" outlineLevel="2">
      <c r="A1251" s="388">
        <v>2</v>
      </c>
      <c r="B1251" s="350" t="s">
        <v>907</v>
      </c>
      <c r="C1251" s="397"/>
      <c r="D1251" s="398"/>
      <c r="E1251" s="398"/>
      <c r="F1251" s="398"/>
      <c r="G1251" s="391">
        <f>SUBTOTAL(9,G1252:G1252)</f>
        <v>0</v>
      </c>
      <c r="H1251" s="391">
        <f>SUBTOTAL(9,H1252:H1252)</f>
        <v>0</v>
      </c>
      <c r="I1251" s="392"/>
      <c r="J1251" s="410"/>
      <c r="K1251" s="411"/>
      <c r="L1251" s="411"/>
      <c r="M1251" s="411" t="s">
        <v>165</v>
      </c>
      <c r="N1251" s="412"/>
      <c r="P1251" s="414"/>
      <c r="Q1251" s="556" t="s">
        <v>165</v>
      </c>
    </row>
    <row r="1252" spans="1:17" s="416" customFormat="1" ht="14" outlineLevel="3">
      <c r="A1252" s="400" t="s">
        <v>8</v>
      </c>
      <c r="B1252" s="559" t="s">
        <v>907</v>
      </c>
      <c r="C1252" s="397" t="s">
        <v>908</v>
      </c>
      <c r="D1252" s="398"/>
      <c r="E1252" s="398"/>
      <c r="F1252" s="398"/>
      <c r="G1252" s="398">
        <f t="shared" ref="G1252" si="348">F1252*D1252</f>
        <v>0</v>
      </c>
      <c r="H1252" s="398">
        <f t="shared" ref="H1252" si="349">F1252*E1252</f>
        <v>0</v>
      </c>
      <c r="I1252" s="399"/>
      <c r="J1252" s="410" t="s">
        <v>21</v>
      </c>
      <c r="K1252" s="574" t="s">
        <v>124</v>
      </c>
      <c r="L1252" s="411" t="s">
        <v>112</v>
      </c>
      <c r="M1252" s="411" t="s">
        <v>165</v>
      </c>
      <c r="N1252" s="460"/>
      <c r="P1252" s="417"/>
      <c r="Q1252" s="556" t="s">
        <v>165</v>
      </c>
    </row>
    <row r="1253" spans="1:17" s="413" customFormat="1" ht="14" outlineLevel="2">
      <c r="A1253" s="388">
        <v>3</v>
      </c>
      <c r="B1253" s="350" t="s">
        <v>49</v>
      </c>
      <c r="C1253" s="390"/>
      <c r="D1253" s="391"/>
      <c r="E1253" s="391"/>
      <c r="F1253" s="391"/>
      <c r="G1253" s="391">
        <f>SUBTOTAL(9,G1254:G1275)</f>
        <v>79296.928571428565</v>
      </c>
      <c r="H1253" s="391">
        <f>SUBTOTAL(9,H1254:H1275)</f>
        <v>0</v>
      </c>
      <c r="I1253" s="560"/>
      <c r="J1253" s="410"/>
      <c r="K1253" s="411"/>
      <c r="L1253" s="411"/>
      <c r="M1253" s="411" t="s">
        <v>165</v>
      </c>
      <c r="N1253" s="412"/>
      <c r="P1253" s="414"/>
      <c r="Q1253" s="556" t="s">
        <v>165</v>
      </c>
    </row>
    <row r="1254" spans="1:17" s="413" customFormat="1" ht="14" outlineLevel="3">
      <c r="A1254" s="388">
        <v>3.1</v>
      </c>
      <c r="B1254" s="350" t="s">
        <v>100</v>
      </c>
      <c r="C1254" s="390"/>
      <c r="D1254" s="391"/>
      <c r="E1254" s="391"/>
      <c r="F1254" s="391"/>
      <c r="G1254" s="391"/>
      <c r="H1254" s="391"/>
      <c r="I1254" s="392"/>
      <c r="J1254" s="410"/>
      <c r="K1254" s="411"/>
      <c r="L1254" s="411"/>
      <c r="M1254" s="411" t="s">
        <v>165</v>
      </c>
      <c r="N1254" s="412"/>
      <c r="P1254" s="414"/>
      <c r="Q1254" s="556" t="s">
        <v>165</v>
      </c>
    </row>
    <row r="1255" spans="1:17" s="416" customFormat="1" ht="14" outlineLevel="3">
      <c r="A1255" s="400" t="s">
        <v>8</v>
      </c>
      <c r="B1255" s="557" t="s">
        <v>290</v>
      </c>
      <c r="C1255" s="397" t="s">
        <v>24</v>
      </c>
      <c r="D1255" s="398">
        <v>450</v>
      </c>
      <c r="E1255" s="398"/>
      <c r="F1255" s="330">
        <v>7</v>
      </c>
      <c r="G1255" s="398">
        <f t="shared" ref="G1255:G1272" si="350">F1255*D1255</f>
        <v>3150</v>
      </c>
      <c r="H1255" s="398">
        <f>E1255*F1255</f>
        <v>0</v>
      </c>
      <c r="I1255" s="399"/>
      <c r="J1255" s="410" t="s">
        <v>21</v>
      </c>
      <c r="K1255" s="574" t="s">
        <v>124</v>
      </c>
      <c r="L1255" s="411" t="s">
        <v>112</v>
      </c>
      <c r="M1255" s="411" t="s">
        <v>165</v>
      </c>
      <c r="N1255" s="460"/>
      <c r="P1255" s="417"/>
      <c r="Q1255" s="556" t="s">
        <v>165</v>
      </c>
    </row>
    <row r="1256" spans="1:17" s="416" customFormat="1" ht="14" outlineLevel="3">
      <c r="A1256" s="400" t="s">
        <v>8</v>
      </c>
      <c r="B1256" s="557" t="s">
        <v>291</v>
      </c>
      <c r="C1256" s="397" t="s">
        <v>24</v>
      </c>
      <c r="D1256" s="398"/>
      <c r="E1256" s="398"/>
      <c r="F1256" s="398"/>
      <c r="G1256" s="398">
        <f t="shared" si="350"/>
        <v>0</v>
      </c>
      <c r="H1256" s="398">
        <f t="shared" ref="H1256:H1272" si="351">F1256*E1256</f>
        <v>0</v>
      </c>
      <c r="I1256" s="399"/>
      <c r="J1256" s="410" t="s">
        <v>21</v>
      </c>
      <c r="K1256" s="574" t="s">
        <v>124</v>
      </c>
      <c r="L1256" s="411" t="s">
        <v>112</v>
      </c>
      <c r="M1256" s="411" t="s">
        <v>165</v>
      </c>
      <c r="N1256" s="460"/>
      <c r="P1256" s="417"/>
      <c r="Q1256" s="556" t="s">
        <v>165</v>
      </c>
    </row>
    <row r="1257" spans="1:17" s="416" customFormat="1" ht="14" outlineLevel="3">
      <c r="A1257" s="400" t="s">
        <v>8</v>
      </c>
      <c r="B1257" s="557" t="s">
        <v>292</v>
      </c>
      <c r="C1257" s="397" t="s">
        <v>24</v>
      </c>
      <c r="D1257" s="398">
        <v>150</v>
      </c>
      <c r="E1257" s="398"/>
      <c r="F1257" s="330">
        <v>7</v>
      </c>
      <c r="G1257" s="398">
        <f t="shared" si="350"/>
        <v>1050</v>
      </c>
      <c r="H1257" s="398">
        <f t="shared" si="351"/>
        <v>0</v>
      </c>
      <c r="I1257" s="399"/>
      <c r="J1257" s="410" t="s">
        <v>21</v>
      </c>
      <c r="K1257" s="574" t="s">
        <v>124</v>
      </c>
      <c r="L1257" s="411" t="s">
        <v>112</v>
      </c>
      <c r="M1257" s="411" t="s">
        <v>165</v>
      </c>
      <c r="N1257" s="460"/>
      <c r="P1257" s="417"/>
      <c r="Q1257" s="556" t="s">
        <v>165</v>
      </c>
    </row>
    <row r="1258" spans="1:17" s="416" customFormat="1" ht="14" outlineLevel="3">
      <c r="A1258" s="400" t="s">
        <v>8</v>
      </c>
      <c r="B1258" s="557" t="s">
        <v>293</v>
      </c>
      <c r="C1258" s="397" t="s">
        <v>24</v>
      </c>
      <c r="D1258" s="398"/>
      <c r="E1258" s="398"/>
      <c r="F1258" s="398"/>
      <c r="G1258" s="398">
        <f t="shared" si="350"/>
        <v>0</v>
      </c>
      <c r="H1258" s="398">
        <f t="shared" si="351"/>
        <v>0</v>
      </c>
      <c r="I1258" s="399"/>
      <c r="J1258" s="410" t="s">
        <v>21</v>
      </c>
      <c r="K1258" s="574" t="s">
        <v>124</v>
      </c>
      <c r="L1258" s="411" t="s">
        <v>112</v>
      </c>
      <c r="M1258" s="411" t="s">
        <v>165</v>
      </c>
      <c r="N1258" s="460"/>
      <c r="P1258" s="417"/>
      <c r="Q1258" s="556" t="s">
        <v>165</v>
      </c>
    </row>
    <row r="1259" spans="1:17" s="416" customFormat="1" ht="14" outlineLevel="3">
      <c r="A1259" s="400" t="s">
        <v>8</v>
      </c>
      <c r="B1259" s="557" t="s">
        <v>294</v>
      </c>
      <c r="C1259" s="397" t="s">
        <v>24</v>
      </c>
      <c r="D1259" s="398"/>
      <c r="E1259" s="398"/>
      <c r="F1259" s="398"/>
      <c r="G1259" s="398">
        <f t="shared" si="350"/>
        <v>0</v>
      </c>
      <c r="H1259" s="398">
        <f t="shared" si="351"/>
        <v>0</v>
      </c>
      <c r="I1259" s="399"/>
      <c r="J1259" s="410" t="s">
        <v>21</v>
      </c>
      <c r="K1259" s="574" t="s">
        <v>124</v>
      </c>
      <c r="L1259" s="411" t="s">
        <v>112</v>
      </c>
      <c r="M1259" s="411" t="s">
        <v>165</v>
      </c>
      <c r="N1259" s="460"/>
      <c r="P1259" s="417"/>
      <c r="Q1259" s="556" t="s">
        <v>165</v>
      </c>
    </row>
    <row r="1260" spans="1:17" s="416" customFormat="1" ht="14" outlineLevel="3">
      <c r="A1260" s="400" t="s">
        <v>8</v>
      </c>
      <c r="B1260" s="557" t="s">
        <v>320</v>
      </c>
      <c r="C1260" s="397" t="s">
        <v>24</v>
      </c>
      <c r="D1260" s="398">
        <v>13.928571428571429</v>
      </c>
      <c r="E1260" s="398"/>
      <c r="F1260" s="398">
        <v>18</v>
      </c>
      <c r="G1260" s="398">
        <f t="shared" si="350"/>
        <v>250.71428571428572</v>
      </c>
      <c r="H1260" s="398">
        <f t="shared" si="351"/>
        <v>0</v>
      </c>
      <c r="I1260" s="399"/>
      <c r="J1260" s="410" t="s">
        <v>21</v>
      </c>
      <c r="K1260" s="574" t="s">
        <v>124</v>
      </c>
      <c r="L1260" s="411" t="s">
        <v>112</v>
      </c>
      <c r="M1260" s="411" t="s">
        <v>165</v>
      </c>
      <c r="N1260" s="460"/>
      <c r="P1260" s="417"/>
      <c r="Q1260" s="556" t="s">
        <v>165</v>
      </c>
    </row>
    <row r="1261" spans="1:17" s="416" customFormat="1" ht="14" outlineLevel="3">
      <c r="A1261" s="400" t="s">
        <v>8</v>
      </c>
      <c r="B1261" s="557" t="s">
        <v>1298</v>
      </c>
      <c r="C1261" s="397" t="s">
        <v>24</v>
      </c>
      <c r="D1261" s="398">
        <v>13.928571428571429</v>
      </c>
      <c r="E1261" s="398"/>
      <c r="F1261" s="330">
        <v>25</v>
      </c>
      <c r="G1261" s="398">
        <f t="shared" si="350"/>
        <v>348.21428571428572</v>
      </c>
      <c r="H1261" s="398">
        <f t="shared" si="351"/>
        <v>0</v>
      </c>
      <c r="I1261" s="399"/>
      <c r="J1261" s="410" t="s">
        <v>21</v>
      </c>
      <c r="K1261" s="574" t="s">
        <v>124</v>
      </c>
      <c r="L1261" s="411" t="s">
        <v>112</v>
      </c>
      <c r="M1261" s="411" t="s">
        <v>165</v>
      </c>
      <c r="N1261" s="460"/>
      <c r="P1261" s="417"/>
      <c r="Q1261" s="556" t="s">
        <v>165</v>
      </c>
    </row>
    <row r="1262" spans="1:17" s="416" customFormat="1" ht="14" outlineLevel="3">
      <c r="A1262" s="400" t="s">
        <v>8</v>
      </c>
      <c r="B1262" s="557" t="s">
        <v>1309</v>
      </c>
      <c r="C1262" s="397" t="s">
        <v>24</v>
      </c>
      <c r="D1262" s="398">
        <v>14</v>
      </c>
      <c r="E1262" s="398"/>
      <c r="F1262" s="330">
        <v>7</v>
      </c>
      <c r="G1262" s="398">
        <f t="shared" si="350"/>
        <v>98</v>
      </c>
      <c r="H1262" s="398">
        <f t="shared" si="351"/>
        <v>0</v>
      </c>
      <c r="I1262" s="399"/>
      <c r="J1262" s="410" t="s">
        <v>21</v>
      </c>
      <c r="K1262" s="574" t="s">
        <v>124</v>
      </c>
      <c r="L1262" s="411" t="s">
        <v>112</v>
      </c>
      <c r="M1262" s="411" t="s">
        <v>165</v>
      </c>
      <c r="N1262" s="460"/>
      <c r="P1262" s="417"/>
      <c r="Q1262" s="556" t="s">
        <v>165</v>
      </c>
    </row>
    <row r="1263" spans="1:17" s="416" customFormat="1" ht="14" outlineLevel="3">
      <c r="A1263" s="400" t="s">
        <v>8</v>
      </c>
      <c r="B1263" s="685" t="s">
        <v>1299</v>
      </c>
      <c r="C1263" s="397" t="s">
        <v>24</v>
      </c>
      <c r="D1263" s="398">
        <v>8</v>
      </c>
      <c r="E1263" s="398"/>
      <c r="F1263" s="398">
        <v>120</v>
      </c>
      <c r="G1263" s="398">
        <f t="shared" si="350"/>
        <v>960</v>
      </c>
      <c r="H1263" s="398">
        <f t="shared" si="351"/>
        <v>0</v>
      </c>
      <c r="I1263" s="399"/>
      <c r="J1263" s="410" t="s">
        <v>21</v>
      </c>
      <c r="K1263" s="574" t="s">
        <v>124</v>
      </c>
      <c r="L1263" s="411" t="s">
        <v>112</v>
      </c>
      <c r="M1263" s="411" t="s">
        <v>165</v>
      </c>
      <c r="N1263" s="460"/>
      <c r="P1263" s="417"/>
      <c r="Q1263" s="556" t="s">
        <v>165</v>
      </c>
    </row>
    <row r="1264" spans="1:17" s="416" customFormat="1" ht="14" outlineLevel="3">
      <c r="A1264" s="400" t="s">
        <v>8</v>
      </c>
      <c r="B1264" s="349" t="s">
        <v>1300</v>
      </c>
      <c r="C1264" s="397" t="s">
        <v>24</v>
      </c>
      <c r="D1264" s="398">
        <v>8</v>
      </c>
      <c r="E1264" s="398"/>
      <c r="F1264" s="330">
        <v>30</v>
      </c>
      <c r="G1264" s="398">
        <f t="shared" si="350"/>
        <v>240</v>
      </c>
      <c r="H1264" s="398">
        <f t="shared" si="351"/>
        <v>0</v>
      </c>
      <c r="I1264" s="399"/>
      <c r="J1264" s="410" t="s">
        <v>21</v>
      </c>
      <c r="K1264" s="574" t="s">
        <v>124</v>
      </c>
      <c r="L1264" s="411" t="s">
        <v>112</v>
      </c>
      <c r="M1264" s="411" t="s">
        <v>165</v>
      </c>
      <c r="N1264" s="460"/>
      <c r="P1264" s="417"/>
      <c r="Q1264" s="556" t="s">
        <v>165</v>
      </c>
    </row>
    <row r="1265" spans="1:17" s="416" customFormat="1" ht="14" outlineLevel="3">
      <c r="A1265" s="400" t="s">
        <v>8</v>
      </c>
      <c r="B1265" s="557" t="s">
        <v>1292</v>
      </c>
      <c r="C1265" s="397" t="s">
        <v>24</v>
      </c>
      <c r="D1265" s="398">
        <v>600</v>
      </c>
      <c r="E1265" s="398"/>
      <c r="F1265" s="398">
        <v>4</v>
      </c>
      <c r="G1265" s="398">
        <f t="shared" si="350"/>
        <v>2400</v>
      </c>
      <c r="H1265" s="398">
        <f t="shared" si="351"/>
        <v>0</v>
      </c>
      <c r="I1265" s="399"/>
      <c r="J1265" s="410" t="s">
        <v>21</v>
      </c>
      <c r="K1265" s="574" t="s">
        <v>124</v>
      </c>
      <c r="L1265" s="411" t="s">
        <v>112</v>
      </c>
      <c r="M1265" s="411" t="s">
        <v>165</v>
      </c>
      <c r="N1265" s="460"/>
      <c r="P1265" s="417"/>
      <c r="Q1265" s="556" t="s">
        <v>165</v>
      </c>
    </row>
    <row r="1266" spans="1:17" s="416" customFormat="1" ht="14" outlineLevel="3">
      <c r="A1266" s="400" t="s">
        <v>8</v>
      </c>
      <c r="B1266" s="557" t="s">
        <v>299</v>
      </c>
      <c r="C1266" s="397" t="s">
        <v>24</v>
      </c>
      <c r="D1266" s="398"/>
      <c r="E1266" s="398"/>
      <c r="F1266" s="398"/>
      <c r="G1266" s="398">
        <f t="shared" si="350"/>
        <v>0</v>
      </c>
      <c r="H1266" s="398">
        <f t="shared" si="351"/>
        <v>0</v>
      </c>
      <c r="I1266" s="399"/>
      <c r="J1266" s="410" t="s">
        <v>21</v>
      </c>
      <c r="K1266" s="574" t="s">
        <v>124</v>
      </c>
      <c r="L1266" s="411" t="s">
        <v>112</v>
      </c>
      <c r="M1266" s="411" t="s">
        <v>165</v>
      </c>
      <c r="N1266" s="460"/>
      <c r="P1266" s="417"/>
      <c r="Q1266" s="556" t="s">
        <v>165</v>
      </c>
    </row>
    <row r="1267" spans="1:17" s="416" customFormat="1" ht="14" outlineLevel="3">
      <c r="A1267" s="400" t="s">
        <v>8</v>
      </c>
      <c r="B1267" s="557" t="s">
        <v>300</v>
      </c>
      <c r="C1267" s="397" t="s">
        <v>24</v>
      </c>
      <c r="D1267" s="398"/>
      <c r="E1267" s="398"/>
      <c r="F1267" s="398"/>
      <c r="G1267" s="398">
        <f t="shared" si="350"/>
        <v>0</v>
      </c>
      <c r="H1267" s="398">
        <f t="shared" si="351"/>
        <v>0</v>
      </c>
      <c r="I1267" s="399"/>
      <c r="J1267" s="410" t="s">
        <v>21</v>
      </c>
      <c r="K1267" s="574" t="s">
        <v>124</v>
      </c>
      <c r="L1267" s="411" t="s">
        <v>112</v>
      </c>
      <c r="M1267" s="411" t="s">
        <v>165</v>
      </c>
      <c r="N1267" s="460"/>
      <c r="P1267" s="417"/>
      <c r="Q1267" s="556" t="s">
        <v>165</v>
      </c>
    </row>
    <row r="1268" spans="1:17" s="416" customFormat="1" ht="14" outlineLevel="3">
      <c r="A1268" s="400" t="s">
        <v>8</v>
      </c>
      <c r="B1268" s="557" t="s">
        <v>301</v>
      </c>
      <c r="C1268" s="397" t="s">
        <v>24</v>
      </c>
      <c r="D1268" s="398"/>
      <c r="E1268" s="398"/>
      <c r="F1268" s="398"/>
      <c r="G1268" s="398">
        <f t="shared" si="350"/>
        <v>0</v>
      </c>
      <c r="H1268" s="398">
        <f t="shared" si="351"/>
        <v>0</v>
      </c>
      <c r="I1268" s="399"/>
      <c r="J1268" s="410" t="s">
        <v>21</v>
      </c>
      <c r="K1268" s="574" t="s">
        <v>124</v>
      </c>
      <c r="L1268" s="411" t="s">
        <v>112</v>
      </c>
      <c r="M1268" s="411" t="s">
        <v>165</v>
      </c>
      <c r="N1268" s="460"/>
      <c r="P1268" s="417"/>
      <c r="Q1268" s="556" t="s">
        <v>165</v>
      </c>
    </row>
    <row r="1269" spans="1:17" s="416" customFormat="1" ht="14" outlineLevel="3">
      <c r="A1269" s="400" t="s">
        <v>8</v>
      </c>
      <c r="B1269" s="557" t="s">
        <v>302</v>
      </c>
      <c r="C1269" s="397" t="s">
        <v>11</v>
      </c>
      <c r="D1269" s="398"/>
      <c r="E1269" s="398"/>
      <c r="F1269" s="331"/>
      <c r="G1269" s="398">
        <f t="shared" si="350"/>
        <v>0</v>
      </c>
      <c r="H1269" s="398">
        <f t="shared" si="351"/>
        <v>0</v>
      </c>
      <c r="I1269" s="399"/>
      <c r="J1269" s="410" t="s">
        <v>21</v>
      </c>
      <c r="K1269" s="574" t="s">
        <v>124</v>
      </c>
      <c r="L1269" s="411" t="s">
        <v>112</v>
      </c>
      <c r="M1269" s="411" t="s">
        <v>165</v>
      </c>
      <c r="N1269" s="460"/>
      <c r="P1269" s="417"/>
      <c r="Q1269" s="556" t="s">
        <v>165</v>
      </c>
    </row>
    <row r="1270" spans="1:17" s="416" customFormat="1" ht="14" outlineLevel="3">
      <c r="A1270" s="400" t="s">
        <v>8</v>
      </c>
      <c r="B1270" s="557" t="s">
        <v>303</v>
      </c>
      <c r="C1270" s="397" t="s">
        <v>24</v>
      </c>
      <c r="D1270" s="398"/>
      <c r="E1270" s="398"/>
      <c r="F1270" s="331"/>
      <c r="G1270" s="398">
        <f t="shared" si="350"/>
        <v>0</v>
      </c>
      <c r="H1270" s="398">
        <f t="shared" si="351"/>
        <v>0</v>
      </c>
      <c r="I1270" s="399"/>
      <c r="J1270" s="410" t="s">
        <v>21</v>
      </c>
      <c r="K1270" s="574" t="s">
        <v>124</v>
      </c>
      <c r="L1270" s="411" t="s">
        <v>112</v>
      </c>
      <c r="M1270" s="411" t="s">
        <v>165</v>
      </c>
      <c r="N1270" s="460"/>
      <c r="P1270" s="417"/>
      <c r="Q1270" s="556" t="s">
        <v>165</v>
      </c>
    </row>
    <row r="1271" spans="1:17" s="416" customFormat="1" ht="14" outlineLevel="3">
      <c r="A1271" s="400" t="s">
        <v>8</v>
      </c>
      <c r="B1271" s="557" t="s">
        <v>304</v>
      </c>
      <c r="C1271" s="397" t="s">
        <v>24</v>
      </c>
      <c r="D1271" s="398"/>
      <c r="E1271" s="398"/>
      <c r="F1271" s="398"/>
      <c r="G1271" s="398">
        <f t="shared" si="350"/>
        <v>0</v>
      </c>
      <c r="H1271" s="398">
        <f t="shared" si="351"/>
        <v>0</v>
      </c>
      <c r="I1271" s="399"/>
      <c r="J1271" s="410" t="s">
        <v>21</v>
      </c>
      <c r="K1271" s="574" t="s">
        <v>124</v>
      </c>
      <c r="L1271" s="411" t="s">
        <v>112</v>
      </c>
      <c r="M1271" s="411" t="s">
        <v>165</v>
      </c>
      <c r="N1271" s="460"/>
      <c r="P1271" s="417"/>
      <c r="Q1271" s="556" t="s">
        <v>165</v>
      </c>
    </row>
    <row r="1272" spans="1:17" s="416" customFormat="1" ht="14" outlineLevel="3">
      <c r="A1272" s="400" t="s">
        <v>8</v>
      </c>
      <c r="B1272" s="557" t="s">
        <v>305</v>
      </c>
      <c r="C1272" s="397" t="s">
        <v>24</v>
      </c>
      <c r="D1272" s="398"/>
      <c r="E1272" s="398"/>
      <c r="F1272" s="398"/>
      <c r="G1272" s="398">
        <f t="shared" si="350"/>
        <v>0</v>
      </c>
      <c r="H1272" s="398">
        <f t="shared" si="351"/>
        <v>0</v>
      </c>
      <c r="I1272" s="399"/>
      <c r="J1272" s="410" t="s">
        <v>21</v>
      </c>
      <c r="K1272" s="574" t="s">
        <v>124</v>
      </c>
      <c r="L1272" s="411" t="s">
        <v>112</v>
      </c>
      <c r="M1272" s="411" t="s">
        <v>165</v>
      </c>
      <c r="N1272" s="460"/>
      <c r="P1272" s="417"/>
      <c r="Q1272" s="556" t="s">
        <v>165</v>
      </c>
    </row>
    <row r="1273" spans="1:17" s="413" customFormat="1" ht="14" outlineLevel="3">
      <c r="A1273" s="388">
        <v>3.2</v>
      </c>
      <c r="B1273" s="350" t="s">
        <v>909</v>
      </c>
      <c r="C1273" s="390"/>
      <c r="D1273" s="391"/>
      <c r="E1273" s="391"/>
      <c r="F1273" s="391"/>
      <c r="G1273" s="391"/>
      <c r="H1273" s="391"/>
      <c r="I1273" s="392"/>
      <c r="J1273" s="410"/>
      <c r="K1273" s="411"/>
      <c r="L1273" s="411"/>
      <c r="M1273" s="411" t="s">
        <v>165</v>
      </c>
      <c r="N1273" s="412"/>
      <c r="P1273" s="414"/>
      <c r="Q1273" s="556" t="s">
        <v>165</v>
      </c>
    </row>
    <row r="1274" spans="1:17" s="416" customFormat="1" ht="14" outlineLevel="3">
      <c r="A1274" s="400" t="s">
        <v>8</v>
      </c>
      <c r="B1274" s="415" t="s">
        <v>894</v>
      </c>
      <c r="C1274" s="397" t="s">
        <v>50</v>
      </c>
      <c r="D1274" s="398">
        <v>600</v>
      </c>
      <c r="E1274" s="398"/>
      <c r="F1274" s="330">
        <v>118</v>
      </c>
      <c r="G1274" s="398">
        <f t="shared" ref="G1274:G1275" si="352">F1274*D1274</f>
        <v>70800</v>
      </c>
      <c r="H1274" s="398">
        <f t="shared" ref="H1274:H1275" si="353">F1274*E1274</f>
        <v>0</v>
      </c>
      <c r="I1274" s="399"/>
      <c r="J1274" s="410" t="s">
        <v>21</v>
      </c>
      <c r="K1274" s="574" t="s">
        <v>124</v>
      </c>
      <c r="L1274" s="411" t="s">
        <v>112</v>
      </c>
      <c r="M1274" s="411" t="s">
        <v>165</v>
      </c>
      <c r="N1274" s="460"/>
      <c r="P1274" s="417"/>
      <c r="Q1274" s="556" t="s">
        <v>165</v>
      </c>
    </row>
    <row r="1275" spans="1:17" s="416" customFormat="1" ht="14" outlineLevel="3">
      <c r="A1275" s="400" t="s">
        <v>8</v>
      </c>
      <c r="B1275" s="415" t="s">
        <v>52</v>
      </c>
      <c r="C1275" s="397" t="s">
        <v>50</v>
      </c>
      <c r="D1275" s="398"/>
      <c r="E1275" s="398"/>
      <c r="F1275" s="398"/>
      <c r="G1275" s="398">
        <f t="shared" si="352"/>
        <v>0</v>
      </c>
      <c r="H1275" s="398">
        <f t="shared" si="353"/>
        <v>0</v>
      </c>
      <c r="I1275" s="399"/>
      <c r="J1275" s="410" t="s">
        <v>21</v>
      </c>
      <c r="K1275" s="574" t="s">
        <v>124</v>
      </c>
      <c r="L1275" s="411" t="s">
        <v>112</v>
      </c>
      <c r="M1275" s="411" t="s">
        <v>165</v>
      </c>
      <c r="N1275" s="460"/>
      <c r="P1275" s="417"/>
      <c r="Q1275" s="556" t="s">
        <v>165</v>
      </c>
    </row>
    <row r="1276" spans="1:17" s="413" customFormat="1" ht="14" outlineLevel="1">
      <c r="A1276" s="388" t="s">
        <v>315</v>
      </c>
      <c r="B1276" s="350" t="s">
        <v>316</v>
      </c>
      <c r="C1276" s="549"/>
      <c r="D1276" s="479"/>
      <c r="E1276" s="479"/>
      <c r="F1276" s="479"/>
      <c r="G1276" s="479">
        <f>SUBTOTAL(9,G1277:G1457)</f>
        <v>0</v>
      </c>
      <c r="H1276" s="479">
        <f>SUBTOTAL(9,H1277:H1457)</f>
        <v>0</v>
      </c>
      <c r="I1276" s="392"/>
      <c r="J1276" s="411"/>
      <c r="K1276" s="411"/>
      <c r="L1276" s="411"/>
      <c r="M1276" s="412"/>
      <c r="N1276" s="412"/>
      <c r="P1276" s="414"/>
    </row>
    <row r="1277" spans="1:17" s="413" customFormat="1" ht="14" outlineLevel="2">
      <c r="A1277" s="388" t="s">
        <v>4</v>
      </c>
      <c r="B1277" s="389" t="s">
        <v>32</v>
      </c>
      <c r="C1277" s="549"/>
      <c r="D1277" s="479"/>
      <c r="E1277" s="479"/>
      <c r="F1277" s="479"/>
      <c r="G1277" s="479">
        <f>SUBTOTAL(9,G1278:G1457)</f>
        <v>0</v>
      </c>
      <c r="H1277" s="479">
        <f>SUBTOTAL(9,H1278:H1457)</f>
        <v>0</v>
      </c>
      <c r="I1277" s="392"/>
      <c r="J1277" s="411"/>
      <c r="K1277" s="411"/>
      <c r="L1277" s="411"/>
      <c r="M1277" s="412"/>
      <c r="N1277" s="412"/>
      <c r="P1277" s="414"/>
    </row>
    <row r="1278" spans="1:17" s="413" customFormat="1" ht="14" outlineLevel="3">
      <c r="A1278" s="388">
        <v>1</v>
      </c>
      <c r="B1278" s="389" t="s">
        <v>307</v>
      </c>
      <c r="C1278" s="549"/>
      <c r="D1278" s="479"/>
      <c r="E1278" s="479"/>
      <c r="F1278" s="479"/>
      <c r="G1278" s="479">
        <f>SUBTOTAL(9,G1279:G1332)</f>
        <v>0</v>
      </c>
      <c r="H1278" s="479">
        <f>SUBTOTAL(9,H1279:H1332)</f>
        <v>0</v>
      </c>
      <c r="I1278" s="392"/>
      <c r="J1278" s="411"/>
      <c r="K1278" s="411"/>
      <c r="L1278" s="411"/>
      <c r="M1278" s="412"/>
      <c r="N1278" s="412"/>
      <c r="P1278" s="414"/>
    </row>
    <row r="1279" spans="1:17" s="413" customFormat="1" ht="14" outlineLevel="3">
      <c r="A1279" s="388">
        <v>1.1000000000000001</v>
      </c>
      <c r="B1279" s="532" t="s">
        <v>1023</v>
      </c>
      <c r="C1279" s="549"/>
      <c r="D1279" s="479"/>
      <c r="E1279" s="479"/>
      <c r="F1279" s="479"/>
      <c r="G1279" s="479">
        <f>SUBTOTAL(9,G1280:G1305)</f>
        <v>0</v>
      </c>
      <c r="H1279" s="479">
        <f>SUBTOTAL(9,H1280:H1305)</f>
        <v>0</v>
      </c>
      <c r="I1279" s="561"/>
      <c r="J1279" s="411"/>
      <c r="K1279" s="411"/>
      <c r="L1279" s="411"/>
      <c r="M1279" s="412"/>
      <c r="N1279" s="412"/>
      <c r="P1279" s="414"/>
    </row>
    <row r="1280" spans="1:17" s="416" customFormat="1" ht="14" outlineLevel="4">
      <c r="A1280" s="400" t="s">
        <v>8</v>
      </c>
      <c r="B1280" s="415" t="s">
        <v>1024</v>
      </c>
      <c r="C1280" s="397" t="s">
        <v>166</v>
      </c>
      <c r="D1280" s="398"/>
      <c r="E1280" s="398"/>
      <c r="F1280" s="398"/>
      <c r="G1280" s="398">
        <f t="shared" ref="G1280:G1305" si="354">F1280*D1280</f>
        <v>0</v>
      </c>
      <c r="H1280" s="398">
        <f t="shared" ref="H1280:H1305" si="355">F1280*E1280</f>
        <v>0</v>
      </c>
      <c r="I1280" s="399"/>
      <c r="J1280" s="411" t="s">
        <v>21</v>
      </c>
      <c r="K1280" s="575" t="s">
        <v>145</v>
      </c>
      <c r="L1280" s="411" t="s">
        <v>112</v>
      </c>
      <c r="M1280" s="411" t="s">
        <v>32</v>
      </c>
      <c r="N1280" s="460"/>
      <c r="P1280" s="417"/>
    </row>
    <row r="1281" spans="1:16" s="416" customFormat="1" ht="14" outlineLevel="4">
      <c r="A1281" s="400" t="s">
        <v>8</v>
      </c>
      <c r="B1281" s="415" t="s">
        <v>1025</v>
      </c>
      <c r="C1281" s="397" t="s">
        <v>166</v>
      </c>
      <c r="D1281" s="398"/>
      <c r="E1281" s="398"/>
      <c r="F1281" s="398"/>
      <c r="G1281" s="398">
        <f t="shared" si="354"/>
        <v>0</v>
      </c>
      <c r="H1281" s="398">
        <f t="shared" si="355"/>
        <v>0</v>
      </c>
      <c r="I1281" s="399"/>
      <c r="J1281" s="411" t="s">
        <v>21</v>
      </c>
      <c r="K1281" s="575" t="s">
        <v>145</v>
      </c>
      <c r="L1281" s="411" t="s">
        <v>112</v>
      </c>
      <c r="M1281" s="411" t="s">
        <v>32</v>
      </c>
      <c r="N1281" s="460"/>
      <c r="P1281" s="417"/>
    </row>
    <row r="1282" spans="1:16" s="416" customFormat="1" ht="14" outlineLevel="4">
      <c r="A1282" s="400" t="s">
        <v>8</v>
      </c>
      <c r="B1282" s="415" t="s">
        <v>1026</v>
      </c>
      <c r="C1282" s="397" t="s">
        <v>166</v>
      </c>
      <c r="D1282" s="398"/>
      <c r="E1282" s="398"/>
      <c r="F1282" s="398"/>
      <c r="G1282" s="398">
        <f t="shared" si="354"/>
        <v>0</v>
      </c>
      <c r="H1282" s="398">
        <f t="shared" si="355"/>
        <v>0</v>
      </c>
      <c r="I1282" s="399"/>
      <c r="J1282" s="411" t="s">
        <v>21</v>
      </c>
      <c r="K1282" s="575" t="s">
        <v>145</v>
      </c>
      <c r="L1282" s="411" t="s">
        <v>112</v>
      </c>
      <c r="M1282" s="411" t="s">
        <v>32</v>
      </c>
      <c r="N1282" s="460"/>
      <c r="P1282" s="417"/>
    </row>
    <row r="1283" spans="1:16" s="416" customFormat="1" ht="14" outlineLevel="4">
      <c r="A1283" s="400" t="s">
        <v>8</v>
      </c>
      <c r="B1283" s="415" t="s">
        <v>1027</v>
      </c>
      <c r="C1283" s="397" t="s">
        <v>23</v>
      </c>
      <c r="D1283" s="398"/>
      <c r="E1283" s="398"/>
      <c r="F1283" s="398"/>
      <c r="G1283" s="398">
        <f t="shared" si="354"/>
        <v>0</v>
      </c>
      <c r="H1283" s="398">
        <f t="shared" si="355"/>
        <v>0</v>
      </c>
      <c r="I1283" s="399"/>
      <c r="J1283" s="411" t="s">
        <v>21</v>
      </c>
      <c r="K1283" s="575" t="s">
        <v>145</v>
      </c>
      <c r="L1283" s="411" t="s">
        <v>112</v>
      </c>
      <c r="M1283" s="411" t="s">
        <v>32</v>
      </c>
      <c r="N1283" s="460"/>
      <c r="P1283" s="417"/>
    </row>
    <row r="1284" spans="1:16" s="416" customFormat="1" ht="14" outlineLevel="4">
      <c r="A1284" s="400" t="s">
        <v>8</v>
      </c>
      <c r="B1284" s="415" t="s">
        <v>1028</v>
      </c>
      <c r="C1284" s="397" t="s">
        <v>166</v>
      </c>
      <c r="D1284" s="398"/>
      <c r="E1284" s="398"/>
      <c r="F1284" s="398"/>
      <c r="G1284" s="398">
        <f t="shared" si="354"/>
        <v>0</v>
      </c>
      <c r="H1284" s="398">
        <f t="shared" si="355"/>
        <v>0</v>
      </c>
      <c r="I1284" s="399"/>
      <c r="J1284" s="411" t="s">
        <v>21</v>
      </c>
      <c r="K1284" s="575" t="s">
        <v>145</v>
      </c>
      <c r="L1284" s="411" t="s">
        <v>112</v>
      </c>
      <c r="M1284" s="411" t="s">
        <v>32</v>
      </c>
      <c r="N1284" s="460"/>
      <c r="P1284" s="417"/>
    </row>
    <row r="1285" spans="1:16" s="416" customFormat="1" ht="14" outlineLevel="4">
      <c r="A1285" s="400" t="s">
        <v>8</v>
      </c>
      <c r="B1285" s="415" t="s">
        <v>1029</v>
      </c>
      <c r="C1285" s="397" t="s">
        <v>166</v>
      </c>
      <c r="D1285" s="398"/>
      <c r="E1285" s="398"/>
      <c r="F1285" s="398"/>
      <c r="G1285" s="398">
        <f t="shared" si="354"/>
        <v>0</v>
      </c>
      <c r="H1285" s="398">
        <f t="shared" si="355"/>
        <v>0</v>
      </c>
      <c r="I1285" s="399"/>
      <c r="J1285" s="411" t="s">
        <v>21</v>
      </c>
      <c r="K1285" s="575" t="s">
        <v>145</v>
      </c>
      <c r="L1285" s="411" t="s">
        <v>112</v>
      </c>
      <c r="M1285" s="411" t="s">
        <v>32</v>
      </c>
      <c r="N1285" s="460"/>
      <c r="P1285" s="417"/>
    </row>
    <row r="1286" spans="1:16" s="416" customFormat="1" ht="14" outlineLevel="4">
      <c r="A1286" s="400" t="s">
        <v>8</v>
      </c>
      <c r="B1286" s="415" t="s">
        <v>1030</v>
      </c>
      <c r="C1286" s="397" t="s">
        <v>166</v>
      </c>
      <c r="D1286" s="398"/>
      <c r="E1286" s="398"/>
      <c r="F1286" s="398"/>
      <c r="G1286" s="398">
        <f t="shared" si="354"/>
        <v>0</v>
      </c>
      <c r="H1286" s="398">
        <f t="shared" si="355"/>
        <v>0</v>
      </c>
      <c r="I1286" s="399"/>
      <c r="J1286" s="411" t="s">
        <v>21</v>
      </c>
      <c r="K1286" s="575" t="s">
        <v>145</v>
      </c>
      <c r="L1286" s="411" t="s">
        <v>112</v>
      </c>
      <c r="M1286" s="411" t="s">
        <v>32</v>
      </c>
      <c r="N1286" s="460"/>
      <c r="P1286" s="417"/>
    </row>
    <row r="1287" spans="1:16" s="416" customFormat="1" ht="14" outlineLevel="4">
      <c r="A1287" s="400" t="s">
        <v>8</v>
      </c>
      <c r="B1287" s="415" t="s">
        <v>1031</v>
      </c>
      <c r="C1287" s="397" t="s">
        <v>166</v>
      </c>
      <c r="D1287" s="398"/>
      <c r="E1287" s="398"/>
      <c r="F1287" s="398"/>
      <c r="G1287" s="398">
        <f t="shared" si="354"/>
        <v>0</v>
      </c>
      <c r="H1287" s="398">
        <f t="shared" si="355"/>
        <v>0</v>
      </c>
      <c r="I1287" s="399"/>
      <c r="J1287" s="411" t="s">
        <v>21</v>
      </c>
      <c r="K1287" s="575" t="s">
        <v>145</v>
      </c>
      <c r="L1287" s="411" t="s">
        <v>112</v>
      </c>
      <c r="M1287" s="411" t="s">
        <v>32</v>
      </c>
      <c r="N1287" s="460"/>
      <c r="P1287" s="417"/>
    </row>
    <row r="1288" spans="1:16" s="416" customFormat="1" ht="14" outlineLevel="4">
      <c r="A1288" s="400" t="s">
        <v>8</v>
      </c>
      <c r="B1288" s="415" t="s">
        <v>1032</v>
      </c>
      <c r="C1288" s="397" t="s">
        <v>1064</v>
      </c>
      <c r="D1288" s="398"/>
      <c r="E1288" s="398"/>
      <c r="F1288" s="398"/>
      <c r="G1288" s="398">
        <f t="shared" si="354"/>
        <v>0</v>
      </c>
      <c r="H1288" s="398">
        <f t="shared" si="355"/>
        <v>0</v>
      </c>
      <c r="I1288" s="399"/>
      <c r="J1288" s="411" t="s">
        <v>21</v>
      </c>
      <c r="K1288" s="575" t="s">
        <v>145</v>
      </c>
      <c r="L1288" s="411" t="s">
        <v>112</v>
      </c>
      <c r="M1288" s="411" t="s">
        <v>32</v>
      </c>
      <c r="N1288" s="460"/>
      <c r="P1288" s="417"/>
    </row>
    <row r="1289" spans="1:16" s="416" customFormat="1" ht="14" outlineLevel="4">
      <c r="A1289" s="400" t="s">
        <v>8</v>
      </c>
      <c r="B1289" s="415" t="s">
        <v>1103</v>
      </c>
      <c r="C1289" s="397" t="s">
        <v>1063</v>
      </c>
      <c r="D1289" s="398"/>
      <c r="E1289" s="398"/>
      <c r="F1289" s="398"/>
      <c r="G1289" s="398">
        <f t="shared" si="354"/>
        <v>0</v>
      </c>
      <c r="H1289" s="398">
        <f t="shared" si="355"/>
        <v>0</v>
      </c>
      <c r="I1289" s="399"/>
      <c r="J1289" s="411" t="s">
        <v>21</v>
      </c>
      <c r="K1289" s="575" t="s">
        <v>145</v>
      </c>
      <c r="L1289" s="411" t="s">
        <v>112</v>
      </c>
      <c r="M1289" s="411" t="s">
        <v>32</v>
      </c>
      <c r="N1289" s="460"/>
      <c r="P1289" s="417"/>
    </row>
    <row r="1290" spans="1:16" s="416" customFormat="1" ht="14" outlineLevel="4">
      <c r="A1290" s="400" t="s">
        <v>8</v>
      </c>
      <c r="B1290" s="415" t="s">
        <v>1091</v>
      </c>
      <c r="C1290" s="397" t="s">
        <v>166</v>
      </c>
      <c r="D1290" s="398"/>
      <c r="E1290" s="398"/>
      <c r="F1290" s="398"/>
      <c r="G1290" s="398">
        <f t="shared" si="354"/>
        <v>0</v>
      </c>
      <c r="H1290" s="398">
        <f t="shared" si="355"/>
        <v>0</v>
      </c>
      <c r="I1290" s="399"/>
      <c r="J1290" s="411" t="s">
        <v>21</v>
      </c>
      <c r="K1290" s="575" t="s">
        <v>145</v>
      </c>
      <c r="L1290" s="411" t="s">
        <v>112</v>
      </c>
      <c r="M1290" s="411" t="s">
        <v>32</v>
      </c>
      <c r="N1290" s="460"/>
      <c r="P1290" s="417"/>
    </row>
    <row r="1291" spans="1:16" s="416" customFormat="1" ht="14" outlineLevel="4">
      <c r="A1291" s="400" t="s">
        <v>8</v>
      </c>
      <c r="B1291" s="415" t="s">
        <v>1092</v>
      </c>
      <c r="C1291" s="397" t="s">
        <v>166</v>
      </c>
      <c r="D1291" s="398"/>
      <c r="E1291" s="398"/>
      <c r="F1291" s="398"/>
      <c r="G1291" s="398">
        <f t="shared" si="354"/>
        <v>0</v>
      </c>
      <c r="H1291" s="398">
        <f t="shared" si="355"/>
        <v>0</v>
      </c>
      <c r="I1291" s="399"/>
      <c r="J1291" s="411" t="s">
        <v>21</v>
      </c>
      <c r="K1291" s="575" t="s">
        <v>145</v>
      </c>
      <c r="L1291" s="411" t="s">
        <v>112</v>
      </c>
      <c r="M1291" s="411" t="s">
        <v>32</v>
      </c>
      <c r="N1291" s="460"/>
      <c r="P1291" s="417"/>
    </row>
    <row r="1292" spans="1:16" s="416" customFormat="1" ht="14" outlineLevel="4">
      <c r="A1292" s="400" t="s">
        <v>8</v>
      </c>
      <c r="B1292" s="415" t="s">
        <v>1093</v>
      </c>
      <c r="C1292" s="397" t="s">
        <v>166</v>
      </c>
      <c r="D1292" s="398"/>
      <c r="E1292" s="398"/>
      <c r="F1292" s="398"/>
      <c r="G1292" s="398">
        <f t="shared" si="354"/>
        <v>0</v>
      </c>
      <c r="H1292" s="398">
        <f t="shared" si="355"/>
        <v>0</v>
      </c>
      <c r="I1292" s="399"/>
      <c r="J1292" s="411" t="s">
        <v>21</v>
      </c>
      <c r="K1292" s="575" t="s">
        <v>145</v>
      </c>
      <c r="L1292" s="411" t="s">
        <v>112</v>
      </c>
      <c r="M1292" s="411" t="s">
        <v>32</v>
      </c>
      <c r="N1292" s="460"/>
      <c r="P1292" s="417"/>
    </row>
    <row r="1293" spans="1:16" s="416" customFormat="1" ht="14" outlineLevel="4">
      <c r="A1293" s="400" t="s">
        <v>8</v>
      </c>
      <c r="B1293" s="415" t="s">
        <v>1094</v>
      </c>
      <c r="C1293" s="397" t="s">
        <v>166</v>
      </c>
      <c r="D1293" s="398"/>
      <c r="E1293" s="398"/>
      <c r="F1293" s="398"/>
      <c r="G1293" s="398">
        <f t="shared" si="354"/>
        <v>0</v>
      </c>
      <c r="H1293" s="398">
        <f t="shared" si="355"/>
        <v>0</v>
      </c>
      <c r="I1293" s="399"/>
      <c r="J1293" s="411" t="s">
        <v>21</v>
      </c>
      <c r="K1293" s="575" t="s">
        <v>145</v>
      </c>
      <c r="L1293" s="411" t="s">
        <v>112</v>
      </c>
      <c r="M1293" s="411" t="s">
        <v>32</v>
      </c>
      <c r="N1293" s="460"/>
      <c r="P1293" s="417"/>
    </row>
    <row r="1294" spans="1:16" s="416" customFormat="1" ht="14" outlineLevel="4">
      <c r="A1294" s="400" t="s">
        <v>8</v>
      </c>
      <c r="B1294" s="415" t="s">
        <v>1095</v>
      </c>
      <c r="C1294" s="397" t="s">
        <v>166</v>
      </c>
      <c r="D1294" s="398"/>
      <c r="E1294" s="398"/>
      <c r="F1294" s="398"/>
      <c r="G1294" s="398">
        <f t="shared" si="354"/>
        <v>0</v>
      </c>
      <c r="H1294" s="398">
        <f t="shared" si="355"/>
        <v>0</v>
      </c>
      <c r="I1294" s="399"/>
      <c r="J1294" s="411" t="s">
        <v>21</v>
      </c>
      <c r="K1294" s="575" t="s">
        <v>145</v>
      </c>
      <c r="L1294" s="411" t="s">
        <v>112</v>
      </c>
      <c r="M1294" s="411" t="s">
        <v>32</v>
      </c>
      <c r="N1294" s="460"/>
      <c r="P1294" s="417"/>
    </row>
    <row r="1295" spans="1:16" s="416" customFormat="1" ht="14" outlineLevel="4">
      <c r="A1295" s="400" t="s">
        <v>8</v>
      </c>
      <c r="B1295" s="415" t="s">
        <v>1020</v>
      </c>
      <c r="C1295" s="397" t="s">
        <v>166</v>
      </c>
      <c r="D1295" s="398"/>
      <c r="E1295" s="398"/>
      <c r="F1295" s="398"/>
      <c r="G1295" s="398">
        <f t="shared" si="354"/>
        <v>0</v>
      </c>
      <c r="H1295" s="398">
        <f t="shared" si="355"/>
        <v>0</v>
      </c>
      <c r="I1295" s="399"/>
      <c r="J1295" s="411" t="s">
        <v>21</v>
      </c>
      <c r="K1295" s="575" t="s">
        <v>145</v>
      </c>
      <c r="L1295" s="411" t="s">
        <v>112</v>
      </c>
      <c r="M1295" s="411" t="s">
        <v>32</v>
      </c>
      <c r="N1295" s="460"/>
      <c r="P1295" s="417"/>
    </row>
    <row r="1296" spans="1:16" s="416" customFormat="1" ht="14" outlineLevel="4">
      <c r="A1296" s="400" t="s">
        <v>8</v>
      </c>
      <c r="B1296" s="415" t="s">
        <v>1021</v>
      </c>
      <c r="C1296" s="397" t="s">
        <v>166</v>
      </c>
      <c r="D1296" s="398"/>
      <c r="E1296" s="398"/>
      <c r="F1296" s="398"/>
      <c r="G1296" s="398">
        <f t="shared" si="354"/>
        <v>0</v>
      </c>
      <c r="H1296" s="398">
        <f t="shared" si="355"/>
        <v>0</v>
      </c>
      <c r="I1296" s="399"/>
      <c r="J1296" s="411" t="s">
        <v>21</v>
      </c>
      <c r="K1296" s="575" t="s">
        <v>145</v>
      </c>
      <c r="L1296" s="411" t="s">
        <v>112</v>
      </c>
      <c r="M1296" s="411" t="s">
        <v>32</v>
      </c>
      <c r="N1296" s="460"/>
      <c r="P1296" s="417"/>
    </row>
    <row r="1297" spans="1:16" s="416" customFormat="1" ht="14" outlineLevel="4">
      <c r="A1297" s="400" t="s">
        <v>8</v>
      </c>
      <c r="B1297" s="415" t="s">
        <v>1022</v>
      </c>
      <c r="C1297" s="397" t="s">
        <v>166</v>
      </c>
      <c r="D1297" s="398"/>
      <c r="E1297" s="398"/>
      <c r="F1297" s="398"/>
      <c r="G1297" s="398">
        <f t="shared" si="354"/>
        <v>0</v>
      </c>
      <c r="H1297" s="398">
        <f t="shared" si="355"/>
        <v>0</v>
      </c>
      <c r="I1297" s="399"/>
      <c r="J1297" s="411" t="s">
        <v>21</v>
      </c>
      <c r="K1297" s="575" t="s">
        <v>145</v>
      </c>
      <c r="L1297" s="411" t="s">
        <v>112</v>
      </c>
      <c r="M1297" s="411" t="s">
        <v>32</v>
      </c>
      <c r="N1297" s="460"/>
      <c r="P1297" s="417"/>
    </row>
    <row r="1298" spans="1:16" s="416" customFormat="1" ht="14" outlineLevel="4">
      <c r="A1298" s="400" t="s">
        <v>8</v>
      </c>
      <c r="B1298" s="415" t="s">
        <v>1096</v>
      </c>
      <c r="C1298" s="397" t="s">
        <v>166</v>
      </c>
      <c r="D1298" s="398"/>
      <c r="E1298" s="398"/>
      <c r="F1298" s="398"/>
      <c r="G1298" s="398">
        <f t="shared" si="354"/>
        <v>0</v>
      </c>
      <c r="H1298" s="398">
        <f t="shared" si="355"/>
        <v>0</v>
      </c>
      <c r="I1298" s="399"/>
      <c r="J1298" s="411" t="s">
        <v>21</v>
      </c>
      <c r="K1298" s="575" t="s">
        <v>145</v>
      </c>
      <c r="L1298" s="411" t="s">
        <v>112</v>
      </c>
      <c r="M1298" s="411" t="s">
        <v>32</v>
      </c>
      <c r="N1298" s="460"/>
      <c r="P1298" s="417"/>
    </row>
    <row r="1299" spans="1:16" s="416" customFormat="1" ht="14" outlineLevel="4">
      <c r="A1299" s="400" t="s">
        <v>8</v>
      </c>
      <c r="B1299" s="415" t="s">
        <v>1097</v>
      </c>
      <c r="C1299" s="397" t="s">
        <v>166</v>
      </c>
      <c r="D1299" s="398"/>
      <c r="E1299" s="398"/>
      <c r="F1299" s="398"/>
      <c r="G1299" s="398">
        <f t="shared" si="354"/>
        <v>0</v>
      </c>
      <c r="H1299" s="398">
        <f t="shared" si="355"/>
        <v>0</v>
      </c>
      <c r="I1299" s="399"/>
      <c r="J1299" s="411" t="s">
        <v>21</v>
      </c>
      <c r="K1299" s="575" t="s">
        <v>145</v>
      </c>
      <c r="L1299" s="411" t="s">
        <v>112</v>
      </c>
      <c r="M1299" s="411" t="s">
        <v>32</v>
      </c>
      <c r="N1299" s="460"/>
      <c r="P1299" s="417"/>
    </row>
    <row r="1300" spans="1:16" s="416" customFormat="1" ht="14" outlineLevel="4">
      <c r="A1300" s="400" t="s">
        <v>8</v>
      </c>
      <c r="B1300" s="415" t="s">
        <v>1098</v>
      </c>
      <c r="C1300" s="397" t="s">
        <v>166</v>
      </c>
      <c r="D1300" s="398"/>
      <c r="E1300" s="398"/>
      <c r="F1300" s="398"/>
      <c r="G1300" s="398">
        <f t="shared" si="354"/>
        <v>0</v>
      </c>
      <c r="H1300" s="398">
        <f t="shared" si="355"/>
        <v>0</v>
      </c>
      <c r="I1300" s="399"/>
      <c r="J1300" s="411" t="s">
        <v>21</v>
      </c>
      <c r="K1300" s="575" t="s">
        <v>145</v>
      </c>
      <c r="L1300" s="411" t="s">
        <v>112</v>
      </c>
      <c r="M1300" s="411" t="s">
        <v>32</v>
      </c>
      <c r="N1300" s="460"/>
      <c r="P1300" s="417"/>
    </row>
    <row r="1301" spans="1:16" s="416" customFormat="1" ht="14" outlineLevel="4">
      <c r="A1301" s="400" t="s">
        <v>8</v>
      </c>
      <c r="B1301" s="415" t="s">
        <v>1099</v>
      </c>
      <c r="C1301" s="397" t="s">
        <v>166</v>
      </c>
      <c r="D1301" s="398"/>
      <c r="E1301" s="398"/>
      <c r="F1301" s="398"/>
      <c r="G1301" s="398">
        <f t="shared" si="354"/>
        <v>0</v>
      </c>
      <c r="H1301" s="398">
        <f t="shared" si="355"/>
        <v>0</v>
      </c>
      <c r="I1301" s="399"/>
      <c r="J1301" s="411" t="s">
        <v>21</v>
      </c>
      <c r="K1301" s="575" t="s">
        <v>145</v>
      </c>
      <c r="L1301" s="411" t="s">
        <v>112</v>
      </c>
      <c r="M1301" s="411" t="s">
        <v>32</v>
      </c>
      <c r="N1301" s="460"/>
      <c r="P1301" s="417"/>
    </row>
    <row r="1302" spans="1:16" s="416" customFormat="1" ht="14" outlineLevel="4">
      <c r="A1302" s="400" t="s">
        <v>8</v>
      </c>
      <c r="B1302" s="415" t="s">
        <v>1100</v>
      </c>
      <c r="C1302" s="397" t="s">
        <v>166</v>
      </c>
      <c r="D1302" s="398"/>
      <c r="E1302" s="398"/>
      <c r="F1302" s="398"/>
      <c r="G1302" s="398">
        <f t="shared" si="354"/>
        <v>0</v>
      </c>
      <c r="H1302" s="398">
        <f t="shared" si="355"/>
        <v>0</v>
      </c>
      <c r="I1302" s="399"/>
      <c r="J1302" s="411" t="s">
        <v>21</v>
      </c>
      <c r="K1302" s="575" t="s">
        <v>145</v>
      </c>
      <c r="L1302" s="411" t="s">
        <v>112</v>
      </c>
      <c r="M1302" s="411" t="s">
        <v>32</v>
      </c>
      <c r="N1302" s="460"/>
      <c r="P1302" s="417"/>
    </row>
    <row r="1303" spans="1:16" s="416" customFormat="1" ht="14" outlineLevel="4">
      <c r="A1303" s="400" t="s">
        <v>8</v>
      </c>
      <c r="B1303" s="415" t="s">
        <v>1101</v>
      </c>
      <c r="C1303" s="397" t="s">
        <v>166</v>
      </c>
      <c r="D1303" s="398"/>
      <c r="E1303" s="398"/>
      <c r="F1303" s="398"/>
      <c r="G1303" s="398">
        <f t="shared" si="354"/>
        <v>0</v>
      </c>
      <c r="H1303" s="398">
        <f t="shared" si="355"/>
        <v>0</v>
      </c>
      <c r="I1303" s="399"/>
      <c r="J1303" s="411" t="s">
        <v>21</v>
      </c>
      <c r="K1303" s="575" t="s">
        <v>145</v>
      </c>
      <c r="L1303" s="411" t="s">
        <v>112</v>
      </c>
      <c r="M1303" s="411" t="s">
        <v>32</v>
      </c>
      <c r="N1303" s="460"/>
      <c r="P1303" s="417"/>
    </row>
    <row r="1304" spans="1:16" s="416" customFormat="1" ht="14" outlineLevel="4">
      <c r="A1304" s="400" t="s">
        <v>8</v>
      </c>
      <c r="B1304" s="415" t="s">
        <v>1102</v>
      </c>
      <c r="C1304" s="397" t="s">
        <v>166</v>
      </c>
      <c r="D1304" s="398"/>
      <c r="E1304" s="398"/>
      <c r="F1304" s="398"/>
      <c r="G1304" s="398">
        <f t="shared" si="354"/>
        <v>0</v>
      </c>
      <c r="H1304" s="398">
        <f t="shared" si="355"/>
        <v>0</v>
      </c>
      <c r="I1304" s="399"/>
      <c r="J1304" s="411" t="s">
        <v>21</v>
      </c>
      <c r="K1304" s="575" t="s">
        <v>145</v>
      </c>
      <c r="L1304" s="411" t="s">
        <v>112</v>
      </c>
      <c r="M1304" s="411" t="s">
        <v>32</v>
      </c>
      <c r="N1304" s="460"/>
      <c r="P1304" s="417"/>
    </row>
    <row r="1305" spans="1:16" s="416" customFormat="1" ht="14" outlineLevel="4">
      <c r="A1305" s="400" t="s">
        <v>8</v>
      </c>
      <c r="B1305" s="415" t="s">
        <v>1032</v>
      </c>
      <c r="C1305" s="397" t="s">
        <v>1064</v>
      </c>
      <c r="D1305" s="398"/>
      <c r="E1305" s="398"/>
      <c r="F1305" s="398"/>
      <c r="G1305" s="398">
        <f t="shared" si="354"/>
        <v>0</v>
      </c>
      <c r="H1305" s="398">
        <f t="shared" si="355"/>
        <v>0</v>
      </c>
      <c r="I1305" s="399"/>
      <c r="J1305" s="411" t="s">
        <v>21</v>
      </c>
      <c r="K1305" s="575" t="s">
        <v>145</v>
      </c>
      <c r="L1305" s="411" t="s">
        <v>112</v>
      </c>
      <c r="M1305" s="411" t="s">
        <v>32</v>
      </c>
      <c r="N1305" s="460"/>
      <c r="P1305" s="417"/>
    </row>
    <row r="1306" spans="1:16" s="413" customFormat="1" ht="14" outlineLevel="3">
      <c r="A1306" s="388">
        <v>1.2</v>
      </c>
      <c r="B1306" s="532" t="s">
        <v>1033</v>
      </c>
      <c r="C1306" s="549"/>
      <c r="D1306" s="479"/>
      <c r="E1306" s="479"/>
      <c r="F1306" s="479"/>
      <c r="G1306" s="479">
        <f>SUBTOTAL(9,G1307:G1332)</f>
        <v>0</v>
      </c>
      <c r="H1306" s="479">
        <f>SUBTOTAL(9,H1307:H1332)</f>
        <v>0</v>
      </c>
      <c r="I1306" s="561"/>
      <c r="J1306" s="411"/>
      <c r="K1306" s="411"/>
      <c r="L1306" s="411"/>
      <c r="M1306" s="412"/>
      <c r="N1306" s="412"/>
      <c r="P1306" s="414"/>
    </row>
    <row r="1307" spans="1:16" s="416" customFormat="1" ht="14" outlineLevel="4">
      <c r="A1307" s="400" t="s">
        <v>8</v>
      </c>
      <c r="B1307" s="415" t="s">
        <v>1034</v>
      </c>
      <c r="C1307" s="397" t="s">
        <v>1063</v>
      </c>
      <c r="D1307" s="398"/>
      <c r="E1307" s="398"/>
      <c r="F1307" s="398"/>
      <c r="G1307" s="398">
        <f t="shared" ref="G1307:G1332" si="356">F1307*D1307</f>
        <v>0</v>
      </c>
      <c r="H1307" s="398">
        <f t="shared" ref="H1307:H1332" si="357">F1307*E1307</f>
        <v>0</v>
      </c>
      <c r="I1307" s="399"/>
      <c r="J1307" s="411" t="s">
        <v>21</v>
      </c>
      <c r="K1307" s="575" t="s">
        <v>145</v>
      </c>
      <c r="L1307" s="411" t="s">
        <v>112</v>
      </c>
      <c r="M1307" s="411" t="s">
        <v>32</v>
      </c>
      <c r="N1307" s="460"/>
      <c r="P1307" s="417"/>
    </row>
    <row r="1308" spans="1:16" s="416" customFormat="1" ht="14" outlineLevel="4">
      <c r="A1308" s="400" t="s">
        <v>8</v>
      </c>
      <c r="B1308" s="415" t="s">
        <v>1035</v>
      </c>
      <c r="C1308" s="397" t="s">
        <v>166</v>
      </c>
      <c r="D1308" s="398"/>
      <c r="E1308" s="398"/>
      <c r="F1308" s="398"/>
      <c r="G1308" s="398">
        <f t="shared" si="356"/>
        <v>0</v>
      </c>
      <c r="H1308" s="398">
        <f t="shared" si="357"/>
        <v>0</v>
      </c>
      <c r="I1308" s="399"/>
      <c r="J1308" s="411" t="s">
        <v>21</v>
      </c>
      <c r="K1308" s="575" t="s">
        <v>145</v>
      </c>
      <c r="L1308" s="411" t="s">
        <v>112</v>
      </c>
      <c r="M1308" s="411" t="s">
        <v>32</v>
      </c>
      <c r="N1308" s="460"/>
      <c r="P1308" s="417"/>
    </row>
    <row r="1309" spans="1:16" s="416" customFormat="1" ht="14" outlineLevel="4">
      <c r="A1309" s="400" t="s">
        <v>8</v>
      </c>
      <c r="B1309" s="415" t="s">
        <v>1036</v>
      </c>
      <c r="C1309" s="397" t="s">
        <v>166</v>
      </c>
      <c r="D1309" s="398"/>
      <c r="E1309" s="398"/>
      <c r="F1309" s="398"/>
      <c r="G1309" s="398">
        <f t="shared" si="356"/>
        <v>0</v>
      </c>
      <c r="H1309" s="398">
        <f t="shared" si="357"/>
        <v>0</v>
      </c>
      <c r="I1309" s="399"/>
      <c r="J1309" s="411" t="s">
        <v>21</v>
      </c>
      <c r="K1309" s="575" t="s">
        <v>145</v>
      </c>
      <c r="L1309" s="411" t="s">
        <v>112</v>
      </c>
      <c r="M1309" s="411" t="s">
        <v>32</v>
      </c>
      <c r="N1309" s="460"/>
      <c r="P1309" s="417"/>
    </row>
    <row r="1310" spans="1:16" s="416" customFormat="1" ht="14" outlineLevel="4">
      <c r="A1310" s="400" t="s">
        <v>8</v>
      </c>
      <c r="B1310" s="415" t="s">
        <v>1037</v>
      </c>
      <c r="C1310" s="397" t="s">
        <v>166</v>
      </c>
      <c r="D1310" s="398"/>
      <c r="E1310" s="398"/>
      <c r="F1310" s="398"/>
      <c r="G1310" s="398">
        <f t="shared" si="356"/>
        <v>0</v>
      </c>
      <c r="H1310" s="398">
        <f t="shared" si="357"/>
        <v>0</v>
      </c>
      <c r="I1310" s="399"/>
      <c r="J1310" s="411" t="s">
        <v>21</v>
      </c>
      <c r="K1310" s="575" t="s">
        <v>145</v>
      </c>
      <c r="L1310" s="411" t="s">
        <v>112</v>
      </c>
      <c r="M1310" s="411" t="s">
        <v>32</v>
      </c>
      <c r="N1310" s="460"/>
      <c r="P1310" s="417"/>
    </row>
    <row r="1311" spans="1:16" s="416" customFormat="1" ht="14" outlineLevel="4">
      <c r="A1311" s="400" t="s">
        <v>8</v>
      </c>
      <c r="B1311" s="415" t="s">
        <v>1038</v>
      </c>
      <c r="C1311" s="397" t="s">
        <v>166</v>
      </c>
      <c r="D1311" s="398"/>
      <c r="E1311" s="398"/>
      <c r="F1311" s="398"/>
      <c r="G1311" s="398">
        <f t="shared" si="356"/>
        <v>0</v>
      </c>
      <c r="H1311" s="398">
        <f t="shared" si="357"/>
        <v>0</v>
      </c>
      <c r="I1311" s="399"/>
      <c r="J1311" s="411" t="s">
        <v>21</v>
      </c>
      <c r="K1311" s="575" t="s">
        <v>145</v>
      </c>
      <c r="L1311" s="411" t="s">
        <v>112</v>
      </c>
      <c r="M1311" s="411" t="s">
        <v>32</v>
      </c>
      <c r="N1311" s="460"/>
      <c r="P1311" s="417"/>
    </row>
    <row r="1312" spans="1:16" s="416" customFormat="1" ht="14" outlineLevel="4">
      <c r="A1312" s="400" t="s">
        <v>8</v>
      </c>
      <c r="B1312" s="415" t="s">
        <v>1039</v>
      </c>
      <c r="C1312" s="397" t="s">
        <v>166</v>
      </c>
      <c r="D1312" s="398"/>
      <c r="E1312" s="398"/>
      <c r="F1312" s="398"/>
      <c r="G1312" s="398">
        <f t="shared" si="356"/>
        <v>0</v>
      </c>
      <c r="H1312" s="398">
        <f t="shared" si="357"/>
        <v>0</v>
      </c>
      <c r="I1312" s="399"/>
      <c r="J1312" s="411" t="s">
        <v>21</v>
      </c>
      <c r="K1312" s="575" t="s">
        <v>145</v>
      </c>
      <c r="L1312" s="411" t="s">
        <v>112</v>
      </c>
      <c r="M1312" s="411" t="s">
        <v>32</v>
      </c>
      <c r="N1312" s="460"/>
      <c r="P1312" s="417"/>
    </row>
    <row r="1313" spans="1:16" s="416" customFormat="1" ht="14" outlineLevel="4">
      <c r="A1313" s="400" t="s">
        <v>8</v>
      </c>
      <c r="B1313" s="415" t="s">
        <v>1040</v>
      </c>
      <c r="C1313" s="397" t="s">
        <v>166</v>
      </c>
      <c r="D1313" s="398"/>
      <c r="E1313" s="398"/>
      <c r="F1313" s="398"/>
      <c r="G1313" s="398">
        <f t="shared" si="356"/>
        <v>0</v>
      </c>
      <c r="H1313" s="398">
        <f t="shared" si="357"/>
        <v>0</v>
      </c>
      <c r="I1313" s="399"/>
      <c r="J1313" s="411" t="s">
        <v>21</v>
      </c>
      <c r="K1313" s="575" t="s">
        <v>145</v>
      </c>
      <c r="L1313" s="411" t="s">
        <v>112</v>
      </c>
      <c r="M1313" s="411" t="s">
        <v>32</v>
      </c>
      <c r="N1313" s="460"/>
      <c r="P1313" s="417"/>
    </row>
    <row r="1314" spans="1:16" s="416" customFormat="1" ht="14" outlineLevel="4">
      <c r="A1314" s="400" t="s">
        <v>8</v>
      </c>
      <c r="B1314" s="415" t="s">
        <v>1041</v>
      </c>
      <c r="C1314" s="397" t="s">
        <v>166</v>
      </c>
      <c r="D1314" s="398"/>
      <c r="E1314" s="398"/>
      <c r="F1314" s="398"/>
      <c r="G1314" s="398">
        <f t="shared" si="356"/>
        <v>0</v>
      </c>
      <c r="H1314" s="398">
        <f t="shared" si="357"/>
        <v>0</v>
      </c>
      <c r="I1314" s="399"/>
      <c r="J1314" s="411" t="s">
        <v>21</v>
      </c>
      <c r="K1314" s="575" t="s">
        <v>145</v>
      </c>
      <c r="L1314" s="411" t="s">
        <v>112</v>
      </c>
      <c r="M1314" s="411" t="s">
        <v>32</v>
      </c>
      <c r="N1314" s="460"/>
      <c r="P1314" s="417"/>
    </row>
    <row r="1315" spans="1:16" s="416" customFormat="1" ht="14" outlineLevel="4">
      <c r="A1315" s="400" t="s">
        <v>8</v>
      </c>
      <c r="B1315" s="415" t="s">
        <v>1042</v>
      </c>
      <c r="C1315" s="397" t="s">
        <v>166</v>
      </c>
      <c r="D1315" s="398"/>
      <c r="E1315" s="398"/>
      <c r="F1315" s="398"/>
      <c r="G1315" s="398">
        <f t="shared" si="356"/>
        <v>0</v>
      </c>
      <c r="H1315" s="398">
        <f t="shared" si="357"/>
        <v>0</v>
      </c>
      <c r="I1315" s="399"/>
      <c r="J1315" s="411" t="s">
        <v>21</v>
      </c>
      <c r="K1315" s="575" t="s">
        <v>145</v>
      </c>
      <c r="L1315" s="411" t="s">
        <v>112</v>
      </c>
      <c r="M1315" s="411" t="s">
        <v>32</v>
      </c>
      <c r="N1315" s="460"/>
      <c r="P1315" s="417"/>
    </row>
    <row r="1316" spans="1:16" s="416" customFormat="1" ht="14" outlineLevel="4">
      <c r="A1316" s="400" t="s">
        <v>8</v>
      </c>
      <c r="B1316" s="415" t="s">
        <v>1032</v>
      </c>
      <c r="C1316" s="397" t="s">
        <v>1064</v>
      </c>
      <c r="D1316" s="398"/>
      <c r="E1316" s="398"/>
      <c r="F1316" s="398"/>
      <c r="G1316" s="398">
        <f t="shared" si="356"/>
        <v>0</v>
      </c>
      <c r="H1316" s="398">
        <f t="shared" si="357"/>
        <v>0</v>
      </c>
      <c r="I1316" s="399"/>
      <c r="J1316" s="411" t="s">
        <v>21</v>
      </c>
      <c r="K1316" s="575" t="s">
        <v>145</v>
      </c>
      <c r="L1316" s="411" t="s">
        <v>112</v>
      </c>
      <c r="M1316" s="411" t="s">
        <v>32</v>
      </c>
      <c r="N1316" s="460"/>
      <c r="P1316" s="417"/>
    </row>
    <row r="1317" spans="1:16" s="416" customFormat="1" ht="14" outlineLevel="4">
      <c r="A1317" s="400" t="s">
        <v>8</v>
      </c>
      <c r="B1317" s="415" t="s">
        <v>1104</v>
      </c>
      <c r="C1317" s="397" t="s">
        <v>1063</v>
      </c>
      <c r="D1317" s="398"/>
      <c r="E1317" s="398"/>
      <c r="F1317" s="398"/>
      <c r="G1317" s="398">
        <f t="shared" si="356"/>
        <v>0</v>
      </c>
      <c r="H1317" s="398">
        <f t="shared" si="357"/>
        <v>0</v>
      </c>
      <c r="I1317" s="399"/>
      <c r="J1317" s="411" t="s">
        <v>21</v>
      </c>
      <c r="K1317" s="575" t="s">
        <v>145</v>
      </c>
      <c r="L1317" s="411" t="s">
        <v>112</v>
      </c>
      <c r="M1317" s="411" t="s">
        <v>32</v>
      </c>
      <c r="N1317" s="460"/>
      <c r="P1317" s="417"/>
    </row>
    <row r="1318" spans="1:16" s="416" customFormat="1" ht="14" outlineLevel="4">
      <c r="A1318" s="400" t="s">
        <v>8</v>
      </c>
      <c r="B1318" s="415" t="s">
        <v>1105</v>
      </c>
      <c r="C1318" s="397" t="s">
        <v>166</v>
      </c>
      <c r="D1318" s="398"/>
      <c r="E1318" s="398"/>
      <c r="F1318" s="398"/>
      <c r="G1318" s="398">
        <f t="shared" si="356"/>
        <v>0</v>
      </c>
      <c r="H1318" s="398">
        <f t="shared" si="357"/>
        <v>0</v>
      </c>
      <c r="I1318" s="399"/>
      <c r="J1318" s="411" t="s">
        <v>21</v>
      </c>
      <c r="K1318" s="575" t="s">
        <v>145</v>
      </c>
      <c r="L1318" s="411" t="s">
        <v>112</v>
      </c>
      <c r="M1318" s="411" t="s">
        <v>32</v>
      </c>
      <c r="N1318" s="460"/>
      <c r="P1318" s="417"/>
    </row>
    <row r="1319" spans="1:16" s="416" customFormat="1" ht="14" outlineLevel="4">
      <c r="A1319" s="400" t="s">
        <v>8</v>
      </c>
      <c r="B1319" s="415" t="s">
        <v>1106</v>
      </c>
      <c r="C1319" s="397" t="s">
        <v>166</v>
      </c>
      <c r="D1319" s="398"/>
      <c r="E1319" s="398"/>
      <c r="F1319" s="398"/>
      <c r="G1319" s="398">
        <f t="shared" si="356"/>
        <v>0</v>
      </c>
      <c r="H1319" s="398">
        <f t="shared" si="357"/>
        <v>0</v>
      </c>
      <c r="I1319" s="399"/>
      <c r="J1319" s="411" t="s">
        <v>21</v>
      </c>
      <c r="K1319" s="575" t="s">
        <v>145</v>
      </c>
      <c r="L1319" s="411" t="s">
        <v>112</v>
      </c>
      <c r="M1319" s="411" t="s">
        <v>32</v>
      </c>
      <c r="N1319" s="460"/>
      <c r="P1319" s="417"/>
    </row>
    <row r="1320" spans="1:16" s="416" customFormat="1" ht="14" outlineLevel="4">
      <c r="A1320" s="400" t="s">
        <v>8</v>
      </c>
      <c r="B1320" s="415" t="s">
        <v>1107</v>
      </c>
      <c r="C1320" s="397" t="s">
        <v>166</v>
      </c>
      <c r="D1320" s="398"/>
      <c r="E1320" s="398"/>
      <c r="F1320" s="398"/>
      <c r="G1320" s="398">
        <f t="shared" si="356"/>
        <v>0</v>
      </c>
      <c r="H1320" s="398">
        <f t="shared" si="357"/>
        <v>0</v>
      </c>
      <c r="I1320" s="399"/>
      <c r="J1320" s="411" t="s">
        <v>21</v>
      </c>
      <c r="K1320" s="575" t="s">
        <v>145</v>
      </c>
      <c r="L1320" s="411" t="s">
        <v>112</v>
      </c>
      <c r="M1320" s="411" t="s">
        <v>32</v>
      </c>
      <c r="N1320" s="460"/>
      <c r="P1320" s="417"/>
    </row>
    <row r="1321" spans="1:16" s="416" customFormat="1" ht="14" outlineLevel="4">
      <c r="A1321" s="400" t="s">
        <v>8</v>
      </c>
      <c r="B1321" s="415" t="s">
        <v>1108</v>
      </c>
      <c r="C1321" s="397" t="s">
        <v>166</v>
      </c>
      <c r="D1321" s="398"/>
      <c r="E1321" s="398"/>
      <c r="F1321" s="398"/>
      <c r="G1321" s="398">
        <f t="shared" si="356"/>
        <v>0</v>
      </c>
      <c r="H1321" s="398">
        <f t="shared" si="357"/>
        <v>0</v>
      </c>
      <c r="I1321" s="399"/>
      <c r="J1321" s="411" t="s">
        <v>21</v>
      </c>
      <c r="K1321" s="575" t="s">
        <v>145</v>
      </c>
      <c r="L1321" s="411" t="s">
        <v>112</v>
      </c>
      <c r="M1321" s="411" t="s">
        <v>32</v>
      </c>
      <c r="N1321" s="460"/>
      <c r="P1321" s="417"/>
    </row>
    <row r="1322" spans="1:16" s="416" customFormat="1" ht="14" outlineLevel="4">
      <c r="A1322" s="400" t="s">
        <v>8</v>
      </c>
      <c r="B1322" s="415" t="s">
        <v>1109</v>
      </c>
      <c r="C1322" s="397" t="s">
        <v>166</v>
      </c>
      <c r="D1322" s="562"/>
      <c r="E1322" s="398"/>
      <c r="F1322" s="398"/>
      <c r="G1322" s="398">
        <f t="shared" si="356"/>
        <v>0</v>
      </c>
      <c r="H1322" s="398">
        <f t="shared" si="357"/>
        <v>0</v>
      </c>
      <c r="I1322" s="399"/>
      <c r="J1322" s="411" t="s">
        <v>21</v>
      </c>
      <c r="K1322" s="575" t="s">
        <v>145</v>
      </c>
      <c r="L1322" s="411" t="s">
        <v>112</v>
      </c>
      <c r="M1322" s="411" t="s">
        <v>32</v>
      </c>
      <c r="N1322" s="460"/>
      <c r="P1322" s="417"/>
    </row>
    <row r="1323" spans="1:16" s="416" customFormat="1" ht="14" outlineLevel="4">
      <c r="A1323" s="400" t="s">
        <v>8</v>
      </c>
      <c r="B1323" s="415" t="s">
        <v>1110</v>
      </c>
      <c r="C1323" s="397" t="s">
        <v>166</v>
      </c>
      <c r="D1323" s="398"/>
      <c r="E1323" s="398"/>
      <c r="F1323" s="398"/>
      <c r="G1323" s="398">
        <f t="shared" si="356"/>
        <v>0</v>
      </c>
      <c r="H1323" s="398">
        <f t="shared" si="357"/>
        <v>0</v>
      </c>
      <c r="I1323" s="399"/>
      <c r="J1323" s="411" t="s">
        <v>21</v>
      </c>
      <c r="K1323" s="575" t="s">
        <v>145</v>
      </c>
      <c r="L1323" s="411" t="s">
        <v>112</v>
      </c>
      <c r="M1323" s="411" t="s">
        <v>32</v>
      </c>
      <c r="N1323" s="460"/>
      <c r="P1323" s="417"/>
    </row>
    <row r="1324" spans="1:16" s="416" customFormat="1" ht="14" outlineLevel="4">
      <c r="A1324" s="400" t="s">
        <v>8</v>
      </c>
      <c r="B1324" s="415" t="s">
        <v>1035</v>
      </c>
      <c r="C1324" s="397" t="s">
        <v>166</v>
      </c>
      <c r="D1324" s="398"/>
      <c r="E1324" s="398"/>
      <c r="F1324" s="398"/>
      <c r="G1324" s="398">
        <f t="shared" si="356"/>
        <v>0</v>
      </c>
      <c r="H1324" s="398">
        <f t="shared" si="357"/>
        <v>0</v>
      </c>
      <c r="I1324" s="399"/>
      <c r="J1324" s="411" t="s">
        <v>21</v>
      </c>
      <c r="K1324" s="575" t="s">
        <v>145</v>
      </c>
      <c r="L1324" s="411" t="s">
        <v>112</v>
      </c>
      <c r="M1324" s="411" t="s">
        <v>32</v>
      </c>
      <c r="N1324" s="460"/>
      <c r="P1324" s="417"/>
    </row>
    <row r="1325" spans="1:16" s="416" customFormat="1" ht="14" outlineLevel="4">
      <c r="A1325" s="400" t="s">
        <v>8</v>
      </c>
      <c r="B1325" s="415" t="s">
        <v>1111</v>
      </c>
      <c r="C1325" s="397" t="s">
        <v>166</v>
      </c>
      <c r="D1325" s="398"/>
      <c r="E1325" s="398"/>
      <c r="F1325" s="398"/>
      <c r="G1325" s="398">
        <f t="shared" si="356"/>
        <v>0</v>
      </c>
      <c r="H1325" s="398">
        <f t="shared" si="357"/>
        <v>0</v>
      </c>
      <c r="I1325" s="399"/>
      <c r="J1325" s="411" t="s">
        <v>21</v>
      </c>
      <c r="K1325" s="575" t="s">
        <v>145</v>
      </c>
      <c r="L1325" s="411" t="s">
        <v>112</v>
      </c>
      <c r="M1325" s="411" t="s">
        <v>32</v>
      </c>
      <c r="N1325" s="460"/>
      <c r="P1325" s="417"/>
    </row>
    <row r="1326" spans="1:16" s="416" customFormat="1" ht="14" outlineLevel="4">
      <c r="A1326" s="400" t="s">
        <v>8</v>
      </c>
      <c r="B1326" s="415" t="s">
        <v>1038</v>
      </c>
      <c r="C1326" s="397" t="s">
        <v>166</v>
      </c>
      <c r="D1326" s="398"/>
      <c r="E1326" s="398"/>
      <c r="F1326" s="398"/>
      <c r="G1326" s="398">
        <f t="shared" si="356"/>
        <v>0</v>
      </c>
      <c r="H1326" s="398">
        <f t="shared" si="357"/>
        <v>0</v>
      </c>
      <c r="I1326" s="399"/>
      <c r="J1326" s="411" t="s">
        <v>21</v>
      </c>
      <c r="K1326" s="575" t="s">
        <v>145</v>
      </c>
      <c r="L1326" s="411" t="s">
        <v>112</v>
      </c>
      <c r="M1326" s="411" t="s">
        <v>32</v>
      </c>
      <c r="N1326" s="460"/>
      <c r="P1326" s="417"/>
    </row>
    <row r="1327" spans="1:16" s="416" customFormat="1" ht="14" outlineLevel="4">
      <c r="A1327" s="400" t="s">
        <v>8</v>
      </c>
      <c r="B1327" s="415" t="s">
        <v>1039</v>
      </c>
      <c r="C1327" s="397" t="s">
        <v>166</v>
      </c>
      <c r="D1327" s="398"/>
      <c r="E1327" s="398"/>
      <c r="F1327" s="398"/>
      <c r="G1327" s="398">
        <f t="shared" si="356"/>
        <v>0</v>
      </c>
      <c r="H1327" s="398">
        <f t="shared" si="357"/>
        <v>0</v>
      </c>
      <c r="I1327" s="399"/>
      <c r="J1327" s="411" t="s">
        <v>21</v>
      </c>
      <c r="K1327" s="575" t="s">
        <v>145</v>
      </c>
      <c r="L1327" s="411" t="s">
        <v>112</v>
      </c>
      <c r="M1327" s="411" t="s">
        <v>32</v>
      </c>
      <c r="N1327" s="460"/>
      <c r="P1327" s="417"/>
    </row>
    <row r="1328" spans="1:16" s="416" customFormat="1" ht="14" outlineLevel="4">
      <c r="A1328" s="400" t="s">
        <v>8</v>
      </c>
      <c r="B1328" s="415" t="s">
        <v>1040</v>
      </c>
      <c r="C1328" s="397" t="s">
        <v>166</v>
      </c>
      <c r="D1328" s="398"/>
      <c r="E1328" s="398"/>
      <c r="F1328" s="398"/>
      <c r="G1328" s="398">
        <f t="shared" si="356"/>
        <v>0</v>
      </c>
      <c r="H1328" s="398">
        <f t="shared" si="357"/>
        <v>0</v>
      </c>
      <c r="I1328" s="399"/>
      <c r="J1328" s="411" t="s">
        <v>21</v>
      </c>
      <c r="K1328" s="575" t="s">
        <v>145</v>
      </c>
      <c r="L1328" s="411" t="s">
        <v>112</v>
      </c>
      <c r="M1328" s="411" t="s">
        <v>32</v>
      </c>
      <c r="N1328" s="460"/>
      <c r="P1328" s="417"/>
    </row>
    <row r="1329" spans="1:16" s="416" customFormat="1" ht="14" outlineLevel="4">
      <c r="A1329" s="400" t="s">
        <v>8</v>
      </c>
      <c r="B1329" s="415" t="s">
        <v>1041</v>
      </c>
      <c r="C1329" s="397" t="s">
        <v>166</v>
      </c>
      <c r="D1329" s="398"/>
      <c r="E1329" s="398"/>
      <c r="F1329" s="398"/>
      <c r="G1329" s="398">
        <f t="shared" si="356"/>
        <v>0</v>
      </c>
      <c r="H1329" s="398">
        <f t="shared" si="357"/>
        <v>0</v>
      </c>
      <c r="I1329" s="399"/>
      <c r="J1329" s="411" t="s">
        <v>21</v>
      </c>
      <c r="K1329" s="575" t="s">
        <v>145</v>
      </c>
      <c r="L1329" s="411" t="s">
        <v>112</v>
      </c>
      <c r="M1329" s="411" t="s">
        <v>32</v>
      </c>
      <c r="N1329" s="460"/>
      <c r="P1329" s="417"/>
    </row>
    <row r="1330" spans="1:16" s="416" customFormat="1" ht="14" outlineLevel="4">
      <c r="A1330" s="400" t="s">
        <v>8</v>
      </c>
      <c r="B1330" s="415" t="s">
        <v>1042</v>
      </c>
      <c r="C1330" s="397" t="s">
        <v>166</v>
      </c>
      <c r="D1330" s="398"/>
      <c r="E1330" s="398"/>
      <c r="F1330" s="398"/>
      <c r="G1330" s="398">
        <f t="shared" si="356"/>
        <v>0</v>
      </c>
      <c r="H1330" s="398">
        <f t="shared" si="357"/>
        <v>0</v>
      </c>
      <c r="I1330" s="399"/>
      <c r="J1330" s="411" t="s">
        <v>21</v>
      </c>
      <c r="K1330" s="575" t="s">
        <v>145</v>
      </c>
      <c r="L1330" s="411" t="s">
        <v>112</v>
      </c>
      <c r="M1330" s="411" t="s">
        <v>32</v>
      </c>
      <c r="N1330" s="460"/>
      <c r="P1330" s="417"/>
    </row>
    <row r="1331" spans="1:16" s="416" customFormat="1" ht="14" outlineLevel="4">
      <c r="A1331" s="400" t="s">
        <v>8</v>
      </c>
      <c r="B1331" s="415" t="s">
        <v>1112</v>
      </c>
      <c r="C1331" s="397" t="s">
        <v>1113</v>
      </c>
      <c r="D1331" s="398"/>
      <c r="E1331" s="398"/>
      <c r="F1331" s="398"/>
      <c r="G1331" s="398">
        <f t="shared" si="356"/>
        <v>0</v>
      </c>
      <c r="H1331" s="398">
        <f t="shared" si="357"/>
        <v>0</v>
      </c>
      <c r="I1331" s="399"/>
      <c r="J1331" s="411" t="s">
        <v>21</v>
      </c>
      <c r="K1331" s="575" t="s">
        <v>145</v>
      </c>
      <c r="L1331" s="411" t="s">
        <v>112</v>
      </c>
      <c r="M1331" s="411" t="s">
        <v>32</v>
      </c>
      <c r="N1331" s="460"/>
      <c r="P1331" s="417"/>
    </row>
    <row r="1332" spans="1:16" s="416" customFormat="1" ht="14" outlineLevel="4">
      <c r="A1332" s="400" t="s">
        <v>8</v>
      </c>
      <c r="B1332" s="415" t="s">
        <v>1032</v>
      </c>
      <c r="C1332" s="397" t="s">
        <v>1064</v>
      </c>
      <c r="D1332" s="398"/>
      <c r="E1332" s="398"/>
      <c r="F1332" s="398"/>
      <c r="G1332" s="398">
        <f t="shared" si="356"/>
        <v>0</v>
      </c>
      <c r="H1332" s="398">
        <f t="shared" si="357"/>
        <v>0</v>
      </c>
      <c r="I1332" s="399"/>
      <c r="J1332" s="411" t="s">
        <v>21</v>
      </c>
      <c r="K1332" s="575" t="s">
        <v>145</v>
      </c>
      <c r="L1332" s="411" t="s">
        <v>112</v>
      </c>
      <c r="M1332" s="411" t="s">
        <v>32</v>
      </c>
      <c r="N1332" s="460"/>
      <c r="P1332" s="417"/>
    </row>
    <row r="1333" spans="1:16" s="413" customFormat="1" ht="15" customHeight="1" outlineLevel="2">
      <c r="A1333" s="388">
        <v>2</v>
      </c>
      <c r="B1333" s="389" t="s">
        <v>308</v>
      </c>
      <c r="C1333" s="390"/>
      <c r="D1333" s="391"/>
      <c r="E1333" s="391"/>
      <c r="F1333" s="391"/>
      <c r="G1333" s="391">
        <f>SUBTOTAL(9,G1334:G1361)</f>
        <v>0</v>
      </c>
      <c r="H1333" s="391">
        <f>SUBTOTAL(9,H1334:H1361)</f>
        <v>0</v>
      </c>
      <c r="I1333" s="391"/>
      <c r="J1333" s="410"/>
      <c r="K1333" s="411"/>
      <c r="L1333" s="411"/>
      <c r="M1333" s="412"/>
      <c r="N1333" s="412"/>
      <c r="P1333" s="414"/>
    </row>
    <row r="1334" spans="1:16" s="413" customFormat="1" ht="14" outlineLevel="5">
      <c r="A1334" s="388">
        <v>2.1</v>
      </c>
      <c r="B1334" s="408" t="s">
        <v>309</v>
      </c>
      <c r="C1334" s="390"/>
      <c r="D1334" s="391"/>
      <c r="E1334" s="391"/>
      <c r="F1334" s="391"/>
      <c r="G1334" s="391">
        <f>SUBTOTAL(9,G1335:G1350)</f>
        <v>0</v>
      </c>
      <c r="H1334" s="391">
        <f>SUBTOTAL(9,H1335:H1350)</f>
        <v>0</v>
      </c>
      <c r="I1334" s="391"/>
      <c r="J1334" s="411"/>
      <c r="K1334" s="411"/>
      <c r="L1334" s="411"/>
      <c r="M1334" s="412"/>
      <c r="N1334" s="412"/>
      <c r="P1334" s="414"/>
    </row>
    <row r="1335" spans="1:16" s="416" customFormat="1" ht="14" outlineLevel="5">
      <c r="A1335" s="400" t="s">
        <v>8</v>
      </c>
      <c r="B1335" s="563" t="s">
        <v>1043</v>
      </c>
      <c r="C1335" s="397" t="s">
        <v>24</v>
      </c>
      <c r="D1335" s="398"/>
      <c r="E1335" s="398"/>
      <c r="F1335" s="398"/>
      <c r="G1335" s="398">
        <f t="shared" ref="G1335:G1350" si="358">F1335*D1335</f>
        <v>0</v>
      </c>
      <c r="H1335" s="398">
        <f t="shared" ref="H1335:H1350" si="359">F1335*E1335</f>
        <v>0</v>
      </c>
      <c r="I1335" s="399"/>
      <c r="J1335" s="411" t="s">
        <v>21</v>
      </c>
      <c r="K1335" s="575" t="s">
        <v>145</v>
      </c>
      <c r="L1335" s="411" t="s">
        <v>112</v>
      </c>
      <c r="M1335" s="411" t="s">
        <v>32</v>
      </c>
      <c r="N1335" s="460"/>
      <c r="P1335" s="417"/>
    </row>
    <row r="1336" spans="1:16" s="416" customFormat="1" ht="14" outlineLevel="5">
      <c r="A1336" s="400" t="s">
        <v>8</v>
      </c>
      <c r="B1336" s="563" t="s">
        <v>1044</v>
      </c>
      <c r="C1336" s="397" t="s">
        <v>15</v>
      </c>
      <c r="D1336" s="398"/>
      <c r="E1336" s="398"/>
      <c r="F1336" s="398"/>
      <c r="G1336" s="398">
        <f t="shared" si="358"/>
        <v>0</v>
      </c>
      <c r="H1336" s="398">
        <f t="shared" si="359"/>
        <v>0</v>
      </c>
      <c r="I1336" s="399"/>
      <c r="J1336" s="411" t="s">
        <v>21</v>
      </c>
      <c r="K1336" s="575" t="s">
        <v>145</v>
      </c>
      <c r="L1336" s="411" t="s">
        <v>112</v>
      </c>
      <c r="M1336" s="411" t="s">
        <v>32</v>
      </c>
      <c r="N1336" s="460"/>
      <c r="P1336" s="417"/>
    </row>
    <row r="1337" spans="1:16" s="416" customFormat="1" ht="14" outlineLevel="5">
      <c r="A1337" s="400" t="s">
        <v>8</v>
      </c>
      <c r="B1337" s="563" t="s">
        <v>1045</v>
      </c>
      <c r="C1337" s="397" t="s">
        <v>15</v>
      </c>
      <c r="D1337" s="398"/>
      <c r="E1337" s="398"/>
      <c r="F1337" s="398"/>
      <c r="G1337" s="398">
        <f t="shared" si="358"/>
        <v>0</v>
      </c>
      <c r="H1337" s="398">
        <f t="shared" si="359"/>
        <v>0</v>
      </c>
      <c r="I1337" s="399"/>
      <c r="J1337" s="411" t="s">
        <v>21</v>
      </c>
      <c r="K1337" s="575" t="s">
        <v>145</v>
      </c>
      <c r="L1337" s="411" t="s">
        <v>112</v>
      </c>
      <c r="M1337" s="411" t="s">
        <v>32</v>
      </c>
      <c r="N1337" s="460"/>
      <c r="P1337" s="417"/>
    </row>
    <row r="1338" spans="1:16" s="416" customFormat="1" ht="14" outlineLevel="5">
      <c r="A1338" s="400" t="s">
        <v>8</v>
      </c>
      <c r="B1338" s="563" t="s">
        <v>1027</v>
      </c>
      <c r="C1338" s="397" t="s">
        <v>15</v>
      </c>
      <c r="D1338" s="398"/>
      <c r="E1338" s="398"/>
      <c r="F1338" s="398"/>
      <c r="G1338" s="398">
        <f t="shared" si="358"/>
        <v>0</v>
      </c>
      <c r="H1338" s="398">
        <f t="shared" si="359"/>
        <v>0</v>
      </c>
      <c r="I1338" s="399"/>
      <c r="J1338" s="411" t="s">
        <v>21</v>
      </c>
      <c r="K1338" s="575" t="s">
        <v>145</v>
      </c>
      <c r="L1338" s="411" t="s">
        <v>112</v>
      </c>
      <c r="M1338" s="411" t="s">
        <v>32</v>
      </c>
      <c r="N1338" s="460"/>
      <c r="P1338" s="417"/>
    </row>
    <row r="1339" spans="1:16" s="416" customFormat="1" ht="14" outlineLevel="5">
      <c r="A1339" s="400" t="s">
        <v>8</v>
      </c>
      <c r="B1339" s="563" t="s">
        <v>1028</v>
      </c>
      <c r="C1339" s="397" t="s">
        <v>24</v>
      </c>
      <c r="D1339" s="398"/>
      <c r="E1339" s="398"/>
      <c r="F1339" s="398"/>
      <c r="G1339" s="398">
        <f t="shared" si="358"/>
        <v>0</v>
      </c>
      <c r="H1339" s="398">
        <f t="shared" si="359"/>
        <v>0</v>
      </c>
      <c r="I1339" s="399"/>
      <c r="J1339" s="411" t="s">
        <v>21</v>
      </c>
      <c r="K1339" s="575" t="s">
        <v>145</v>
      </c>
      <c r="L1339" s="411" t="s">
        <v>112</v>
      </c>
      <c r="M1339" s="411" t="s">
        <v>32</v>
      </c>
      <c r="N1339" s="460"/>
      <c r="P1339" s="417"/>
    </row>
    <row r="1340" spans="1:16" s="416" customFormat="1" ht="14" outlineLevel="5">
      <c r="A1340" s="400" t="s">
        <v>8</v>
      </c>
      <c r="B1340" s="563" t="s">
        <v>1046</v>
      </c>
      <c r="C1340" s="397" t="s">
        <v>15</v>
      </c>
      <c r="D1340" s="398"/>
      <c r="E1340" s="398"/>
      <c r="F1340" s="398"/>
      <c r="G1340" s="398">
        <f t="shared" si="358"/>
        <v>0</v>
      </c>
      <c r="H1340" s="398">
        <f t="shared" si="359"/>
        <v>0</v>
      </c>
      <c r="I1340" s="399"/>
      <c r="J1340" s="411" t="s">
        <v>21</v>
      </c>
      <c r="K1340" s="575" t="s">
        <v>145</v>
      </c>
      <c r="L1340" s="411" t="s">
        <v>112</v>
      </c>
      <c r="M1340" s="411" t="s">
        <v>32</v>
      </c>
      <c r="N1340" s="460"/>
      <c r="P1340" s="417"/>
    </row>
    <row r="1341" spans="1:16" s="416" customFormat="1" ht="14" outlineLevel="5">
      <c r="A1341" s="400" t="s">
        <v>8</v>
      </c>
      <c r="B1341" s="563" t="s">
        <v>1024</v>
      </c>
      <c r="C1341" s="397" t="s">
        <v>15</v>
      </c>
      <c r="D1341" s="398"/>
      <c r="E1341" s="398"/>
      <c r="F1341" s="398"/>
      <c r="G1341" s="398">
        <f t="shared" si="358"/>
        <v>0</v>
      </c>
      <c r="H1341" s="398">
        <f t="shared" si="359"/>
        <v>0</v>
      </c>
      <c r="I1341" s="399"/>
      <c r="J1341" s="411" t="s">
        <v>21</v>
      </c>
      <c r="K1341" s="575" t="s">
        <v>145</v>
      </c>
      <c r="L1341" s="411" t="s">
        <v>112</v>
      </c>
      <c r="M1341" s="411" t="s">
        <v>32</v>
      </c>
      <c r="N1341" s="460"/>
      <c r="P1341" s="417"/>
    </row>
    <row r="1342" spans="1:16" s="416" customFormat="1" ht="14" outlineLevel="5">
      <c r="A1342" s="400" t="s">
        <v>8</v>
      </c>
      <c r="B1342" s="563" t="s">
        <v>1025</v>
      </c>
      <c r="C1342" s="397" t="s">
        <v>15</v>
      </c>
      <c r="D1342" s="398"/>
      <c r="E1342" s="398"/>
      <c r="F1342" s="398"/>
      <c r="G1342" s="398">
        <f t="shared" si="358"/>
        <v>0</v>
      </c>
      <c r="H1342" s="398">
        <f t="shared" si="359"/>
        <v>0</v>
      </c>
      <c r="I1342" s="399"/>
      <c r="J1342" s="411" t="s">
        <v>21</v>
      </c>
      <c r="K1342" s="575" t="s">
        <v>145</v>
      </c>
      <c r="L1342" s="411" t="s">
        <v>112</v>
      </c>
      <c r="M1342" s="411" t="s">
        <v>32</v>
      </c>
      <c r="N1342" s="460"/>
      <c r="P1342" s="417"/>
    </row>
    <row r="1343" spans="1:16" s="416" customFormat="1" ht="14" outlineLevel="5">
      <c r="A1343" s="400" t="s">
        <v>8</v>
      </c>
      <c r="B1343" s="563" t="s">
        <v>1026</v>
      </c>
      <c r="C1343" s="397" t="s">
        <v>24</v>
      </c>
      <c r="D1343" s="398"/>
      <c r="E1343" s="398"/>
      <c r="F1343" s="398"/>
      <c r="G1343" s="398">
        <f t="shared" si="358"/>
        <v>0</v>
      </c>
      <c r="H1343" s="398">
        <f t="shared" si="359"/>
        <v>0</v>
      </c>
      <c r="I1343" s="399"/>
      <c r="J1343" s="411" t="s">
        <v>21</v>
      </c>
      <c r="K1343" s="575" t="s">
        <v>145</v>
      </c>
      <c r="L1343" s="411" t="s">
        <v>112</v>
      </c>
      <c r="M1343" s="411" t="s">
        <v>32</v>
      </c>
      <c r="N1343" s="460"/>
      <c r="P1343" s="417"/>
    </row>
    <row r="1344" spans="1:16" s="416" customFormat="1" ht="14" outlineLevel="5">
      <c r="A1344" s="400" t="s">
        <v>8</v>
      </c>
      <c r="B1344" s="563" t="s">
        <v>1029</v>
      </c>
      <c r="C1344" s="397" t="s">
        <v>15</v>
      </c>
      <c r="D1344" s="398"/>
      <c r="E1344" s="398"/>
      <c r="F1344" s="398"/>
      <c r="G1344" s="398">
        <f t="shared" si="358"/>
        <v>0</v>
      </c>
      <c r="H1344" s="398">
        <f t="shared" si="359"/>
        <v>0</v>
      </c>
      <c r="I1344" s="399"/>
      <c r="J1344" s="411" t="s">
        <v>21</v>
      </c>
      <c r="K1344" s="575" t="s">
        <v>145</v>
      </c>
      <c r="L1344" s="411" t="s">
        <v>112</v>
      </c>
      <c r="M1344" s="411" t="s">
        <v>32</v>
      </c>
      <c r="N1344" s="460"/>
      <c r="P1344" s="417"/>
    </row>
    <row r="1345" spans="1:16" s="416" customFormat="1" ht="14" outlineLevel="5">
      <c r="A1345" s="400" t="s">
        <v>8</v>
      </c>
      <c r="B1345" s="563" t="s">
        <v>1030</v>
      </c>
      <c r="C1345" s="397" t="s">
        <v>15</v>
      </c>
      <c r="D1345" s="398"/>
      <c r="E1345" s="398"/>
      <c r="F1345" s="398"/>
      <c r="G1345" s="398">
        <f t="shared" si="358"/>
        <v>0</v>
      </c>
      <c r="H1345" s="398">
        <f t="shared" si="359"/>
        <v>0</v>
      </c>
      <c r="I1345" s="399"/>
      <c r="J1345" s="411" t="s">
        <v>21</v>
      </c>
      <c r="K1345" s="575" t="s">
        <v>145</v>
      </c>
      <c r="L1345" s="411" t="s">
        <v>112</v>
      </c>
      <c r="M1345" s="411" t="s">
        <v>32</v>
      </c>
      <c r="N1345" s="460"/>
      <c r="P1345" s="417"/>
    </row>
    <row r="1346" spans="1:16" s="416" customFormat="1" ht="14" outlineLevel="5">
      <c r="A1346" s="400" t="s">
        <v>8</v>
      </c>
      <c r="B1346" s="563" t="s">
        <v>1031</v>
      </c>
      <c r="C1346" s="397" t="s">
        <v>15</v>
      </c>
      <c r="D1346" s="398"/>
      <c r="E1346" s="398"/>
      <c r="F1346" s="398"/>
      <c r="G1346" s="398">
        <f t="shared" si="358"/>
        <v>0</v>
      </c>
      <c r="H1346" s="398">
        <f t="shared" si="359"/>
        <v>0</v>
      </c>
      <c r="I1346" s="399"/>
      <c r="J1346" s="411" t="s">
        <v>21</v>
      </c>
      <c r="K1346" s="575" t="s">
        <v>145</v>
      </c>
      <c r="L1346" s="411" t="s">
        <v>112</v>
      </c>
      <c r="M1346" s="411" t="s">
        <v>32</v>
      </c>
      <c r="N1346" s="460"/>
      <c r="P1346" s="417"/>
    </row>
    <row r="1347" spans="1:16" s="416" customFormat="1" ht="14" outlineLevel="5">
      <c r="A1347" s="400" t="s">
        <v>8</v>
      </c>
      <c r="B1347" s="563" t="s">
        <v>1047</v>
      </c>
      <c r="C1347" s="397" t="s">
        <v>24</v>
      </c>
      <c r="D1347" s="398"/>
      <c r="E1347" s="398"/>
      <c r="F1347" s="398"/>
      <c r="G1347" s="398">
        <f t="shared" si="358"/>
        <v>0</v>
      </c>
      <c r="H1347" s="398">
        <f t="shared" si="359"/>
        <v>0</v>
      </c>
      <c r="I1347" s="399"/>
      <c r="J1347" s="411" t="s">
        <v>21</v>
      </c>
      <c r="K1347" s="575" t="s">
        <v>145</v>
      </c>
      <c r="L1347" s="411" t="s">
        <v>112</v>
      </c>
      <c r="M1347" s="411" t="s">
        <v>32</v>
      </c>
      <c r="N1347" s="460"/>
      <c r="P1347" s="417"/>
    </row>
    <row r="1348" spans="1:16" s="416" customFormat="1" ht="14" outlineLevel="5">
      <c r="A1348" s="400" t="s">
        <v>8</v>
      </c>
      <c r="B1348" s="563" t="s">
        <v>1048</v>
      </c>
      <c r="C1348" s="397" t="s">
        <v>15</v>
      </c>
      <c r="D1348" s="398"/>
      <c r="E1348" s="398"/>
      <c r="F1348" s="398"/>
      <c r="G1348" s="398">
        <f t="shared" si="358"/>
        <v>0</v>
      </c>
      <c r="H1348" s="398">
        <f t="shared" si="359"/>
        <v>0</v>
      </c>
      <c r="I1348" s="399"/>
      <c r="J1348" s="411" t="s">
        <v>21</v>
      </c>
      <c r="K1348" s="575" t="s">
        <v>145</v>
      </c>
      <c r="L1348" s="411" t="s">
        <v>112</v>
      </c>
      <c r="M1348" s="411" t="s">
        <v>32</v>
      </c>
      <c r="N1348" s="460"/>
      <c r="P1348" s="417"/>
    </row>
    <row r="1349" spans="1:16" s="416" customFormat="1" ht="14" outlineLevel="5">
      <c r="A1349" s="400" t="s">
        <v>8</v>
      </c>
      <c r="B1349" s="563" t="s">
        <v>1049</v>
      </c>
      <c r="C1349" s="397" t="s">
        <v>15</v>
      </c>
      <c r="D1349" s="398"/>
      <c r="E1349" s="398"/>
      <c r="F1349" s="398"/>
      <c r="G1349" s="398">
        <f t="shared" si="358"/>
        <v>0</v>
      </c>
      <c r="H1349" s="398">
        <f t="shared" si="359"/>
        <v>0</v>
      </c>
      <c r="I1349" s="399"/>
      <c r="J1349" s="411" t="s">
        <v>21</v>
      </c>
      <c r="K1349" s="575" t="s">
        <v>145</v>
      </c>
      <c r="L1349" s="411" t="s">
        <v>112</v>
      </c>
      <c r="M1349" s="411" t="s">
        <v>32</v>
      </c>
      <c r="N1349" s="460"/>
      <c r="P1349" s="417"/>
    </row>
    <row r="1350" spans="1:16" s="416" customFormat="1" ht="14" outlineLevel="5">
      <c r="A1350" s="400" t="s">
        <v>8</v>
      </c>
      <c r="B1350" s="563" t="s">
        <v>1032</v>
      </c>
      <c r="C1350" s="397" t="s">
        <v>15</v>
      </c>
      <c r="D1350" s="398"/>
      <c r="E1350" s="398"/>
      <c r="F1350" s="398"/>
      <c r="G1350" s="398">
        <f t="shared" si="358"/>
        <v>0</v>
      </c>
      <c r="H1350" s="398">
        <f t="shared" si="359"/>
        <v>0</v>
      </c>
      <c r="I1350" s="399"/>
      <c r="J1350" s="411" t="s">
        <v>21</v>
      </c>
      <c r="K1350" s="575" t="s">
        <v>145</v>
      </c>
      <c r="L1350" s="411" t="s">
        <v>112</v>
      </c>
      <c r="M1350" s="411" t="s">
        <v>32</v>
      </c>
      <c r="N1350" s="460"/>
      <c r="P1350" s="417"/>
    </row>
    <row r="1351" spans="1:16" s="413" customFormat="1" ht="14" outlineLevel="5">
      <c r="A1351" s="388">
        <v>2.2000000000000002</v>
      </c>
      <c r="B1351" s="408" t="s">
        <v>310</v>
      </c>
      <c r="C1351" s="390"/>
      <c r="D1351" s="391"/>
      <c r="E1351" s="391"/>
      <c r="F1351" s="391"/>
      <c r="G1351" s="391">
        <f>SUBTOTAL(9,G1352:G1361)</f>
        <v>0</v>
      </c>
      <c r="H1351" s="391">
        <f>SUBTOTAL(9,H1352:H1361)</f>
        <v>0</v>
      </c>
      <c r="I1351" s="391"/>
      <c r="J1351" s="411"/>
      <c r="K1351" s="411"/>
      <c r="L1351" s="411"/>
      <c r="M1351" s="412"/>
      <c r="N1351" s="412"/>
      <c r="P1351" s="414"/>
    </row>
    <row r="1352" spans="1:16" s="416" customFormat="1" ht="14" outlineLevel="5">
      <c r="A1352" s="400" t="s">
        <v>8</v>
      </c>
      <c r="B1352" s="563" t="s">
        <v>1050</v>
      </c>
      <c r="C1352" s="397" t="s">
        <v>24</v>
      </c>
      <c r="D1352" s="398"/>
      <c r="E1352" s="398"/>
      <c r="F1352" s="398"/>
      <c r="G1352" s="398">
        <f t="shared" ref="G1352:G1361" si="360">F1352*D1352</f>
        <v>0</v>
      </c>
      <c r="H1352" s="398">
        <f t="shared" ref="H1352:H1361" si="361">F1352*E1352</f>
        <v>0</v>
      </c>
      <c r="I1352" s="399"/>
      <c r="J1352" s="411" t="s">
        <v>21</v>
      </c>
      <c r="K1352" s="575" t="s">
        <v>145</v>
      </c>
      <c r="L1352" s="411" t="s">
        <v>112</v>
      </c>
      <c r="M1352" s="411" t="s">
        <v>32</v>
      </c>
      <c r="N1352" s="460"/>
      <c r="P1352" s="417"/>
    </row>
    <row r="1353" spans="1:16" s="416" customFormat="1" ht="14" outlineLevel="5">
      <c r="A1353" s="400" t="s">
        <v>8</v>
      </c>
      <c r="B1353" s="563" t="s">
        <v>1051</v>
      </c>
      <c r="C1353" s="397" t="s">
        <v>15</v>
      </c>
      <c r="D1353" s="398"/>
      <c r="E1353" s="398"/>
      <c r="F1353" s="398"/>
      <c r="G1353" s="398">
        <f t="shared" si="360"/>
        <v>0</v>
      </c>
      <c r="H1353" s="398">
        <f t="shared" si="361"/>
        <v>0</v>
      </c>
      <c r="I1353" s="399"/>
      <c r="J1353" s="411" t="s">
        <v>21</v>
      </c>
      <c r="K1353" s="575" t="s">
        <v>145</v>
      </c>
      <c r="L1353" s="411" t="s">
        <v>112</v>
      </c>
      <c r="M1353" s="411" t="s">
        <v>32</v>
      </c>
      <c r="N1353" s="460"/>
      <c r="P1353" s="417"/>
    </row>
    <row r="1354" spans="1:16" s="416" customFormat="1" ht="14" outlineLevel="5">
      <c r="A1354" s="400" t="s">
        <v>8</v>
      </c>
      <c r="B1354" s="563" t="s">
        <v>1052</v>
      </c>
      <c r="C1354" s="397" t="s">
        <v>15</v>
      </c>
      <c r="D1354" s="398"/>
      <c r="E1354" s="398"/>
      <c r="F1354" s="398"/>
      <c r="G1354" s="398">
        <f t="shared" si="360"/>
        <v>0</v>
      </c>
      <c r="H1354" s="398">
        <f t="shared" si="361"/>
        <v>0</v>
      </c>
      <c r="I1354" s="399"/>
      <c r="J1354" s="411" t="s">
        <v>21</v>
      </c>
      <c r="K1354" s="575" t="s">
        <v>145</v>
      </c>
      <c r="L1354" s="411" t="s">
        <v>112</v>
      </c>
      <c r="M1354" s="411" t="s">
        <v>32</v>
      </c>
      <c r="N1354" s="460"/>
      <c r="P1354" s="417"/>
    </row>
    <row r="1355" spans="1:16" s="416" customFormat="1" ht="14" outlineLevel="5">
      <c r="A1355" s="400" t="s">
        <v>8</v>
      </c>
      <c r="B1355" s="563" t="s">
        <v>1040</v>
      </c>
      <c r="C1355" s="397" t="s">
        <v>15</v>
      </c>
      <c r="D1355" s="398"/>
      <c r="E1355" s="398"/>
      <c r="F1355" s="398"/>
      <c r="G1355" s="398">
        <f t="shared" si="360"/>
        <v>0</v>
      </c>
      <c r="H1355" s="398">
        <f t="shared" si="361"/>
        <v>0</v>
      </c>
      <c r="I1355" s="399"/>
      <c r="J1355" s="411" t="s">
        <v>21</v>
      </c>
      <c r="K1355" s="575" t="s">
        <v>145</v>
      </c>
      <c r="L1355" s="411" t="s">
        <v>112</v>
      </c>
      <c r="M1355" s="411" t="s">
        <v>32</v>
      </c>
      <c r="N1355" s="460"/>
      <c r="P1355" s="417"/>
    </row>
    <row r="1356" spans="1:16" s="416" customFormat="1" ht="14" outlineLevel="5">
      <c r="A1356" s="400" t="s">
        <v>8</v>
      </c>
      <c r="B1356" s="563" t="s">
        <v>1041</v>
      </c>
      <c r="C1356" s="397" t="s">
        <v>24</v>
      </c>
      <c r="D1356" s="398"/>
      <c r="E1356" s="398"/>
      <c r="F1356" s="398"/>
      <c r="G1356" s="398">
        <f t="shared" si="360"/>
        <v>0</v>
      </c>
      <c r="H1356" s="398">
        <f t="shared" si="361"/>
        <v>0</v>
      </c>
      <c r="I1356" s="399"/>
      <c r="J1356" s="411" t="s">
        <v>21</v>
      </c>
      <c r="K1356" s="575" t="s">
        <v>145</v>
      </c>
      <c r="L1356" s="411" t="s">
        <v>112</v>
      </c>
      <c r="M1356" s="411" t="s">
        <v>32</v>
      </c>
      <c r="N1356" s="460"/>
      <c r="P1356" s="417"/>
    </row>
    <row r="1357" spans="1:16" s="416" customFormat="1" ht="14" outlineLevel="5">
      <c r="A1357" s="400" t="s">
        <v>8</v>
      </c>
      <c r="B1357" s="563" t="s">
        <v>1042</v>
      </c>
      <c r="C1357" s="397" t="s">
        <v>15</v>
      </c>
      <c r="D1357" s="398"/>
      <c r="E1357" s="398"/>
      <c r="F1357" s="398"/>
      <c r="G1357" s="398">
        <f t="shared" si="360"/>
        <v>0</v>
      </c>
      <c r="H1357" s="398">
        <f t="shared" si="361"/>
        <v>0</v>
      </c>
      <c r="I1357" s="399"/>
      <c r="J1357" s="411" t="s">
        <v>21</v>
      </c>
      <c r="K1357" s="575" t="s">
        <v>145</v>
      </c>
      <c r="L1357" s="411" t="s">
        <v>112</v>
      </c>
      <c r="M1357" s="411" t="s">
        <v>32</v>
      </c>
      <c r="N1357" s="460"/>
      <c r="P1357" s="417"/>
    </row>
    <row r="1358" spans="1:16" s="416" customFormat="1" ht="14" outlineLevel="5">
      <c r="A1358" s="400" t="s">
        <v>8</v>
      </c>
      <c r="B1358" s="563" t="s">
        <v>1053</v>
      </c>
      <c r="C1358" s="397" t="s">
        <v>15</v>
      </c>
      <c r="D1358" s="398"/>
      <c r="E1358" s="398"/>
      <c r="F1358" s="398"/>
      <c r="G1358" s="398">
        <f t="shared" si="360"/>
        <v>0</v>
      </c>
      <c r="H1358" s="398">
        <f t="shared" si="361"/>
        <v>0</v>
      </c>
      <c r="I1358" s="399"/>
      <c r="J1358" s="411" t="s">
        <v>21</v>
      </c>
      <c r="K1358" s="575" t="s">
        <v>145</v>
      </c>
      <c r="L1358" s="411" t="s">
        <v>112</v>
      </c>
      <c r="M1358" s="411" t="s">
        <v>32</v>
      </c>
      <c r="N1358" s="460"/>
      <c r="P1358" s="417"/>
    </row>
    <row r="1359" spans="1:16" s="416" customFormat="1" ht="14" outlineLevel="5">
      <c r="A1359" s="400" t="s">
        <v>8</v>
      </c>
      <c r="B1359" s="563" t="s">
        <v>1054</v>
      </c>
      <c r="C1359" s="397" t="s">
        <v>15</v>
      </c>
      <c r="D1359" s="398"/>
      <c r="E1359" s="398"/>
      <c r="F1359" s="398"/>
      <c r="G1359" s="398">
        <f t="shared" si="360"/>
        <v>0</v>
      </c>
      <c r="H1359" s="398">
        <f t="shared" si="361"/>
        <v>0</v>
      </c>
      <c r="I1359" s="399"/>
      <c r="J1359" s="411" t="s">
        <v>21</v>
      </c>
      <c r="K1359" s="575" t="s">
        <v>145</v>
      </c>
      <c r="L1359" s="411" t="s">
        <v>112</v>
      </c>
      <c r="M1359" s="411" t="s">
        <v>32</v>
      </c>
      <c r="N1359" s="460"/>
      <c r="P1359" s="417"/>
    </row>
    <row r="1360" spans="1:16" s="416" customFormat="1" ht="14" outlineLevel="5">
      <c r="A1360" s="400" t="s">
        <v>8</v>
      </c>
      <c r="B1360" s="563" t="s">
        <v>1055</v>
      </c>
      <c r="C1360" s="397" t="s">
        <v>24</v>
      </c>
      <c r="D1360" s="398"/>
      <c r="E1360" s="398"/>
      <c r="F1360" s="398"/>
      <c r="G1360" s="398">
        <f t="shared" si="360"/>
        <v>0</v>
      </c>
      <c r="H1360" s="398">
        <f t="shared" si="361"/>
        <v>0</v>
      </c>
      <c r="I1360" s="399"/>
      <c r="J1360" s="411" t="s">
        <v>21</v>
      </c>
      <c r="K1360" s="575" t="s">
        <v>145</v>
      </c>
      <c r="L1360" s="411" t="s">
        <v>112</v>
      </c>
      <c r="M1360" s="411" t="s">
        <v>32</v>
      </c>
      <c r="N1360" s="460"/>
      <c r="P1360" s="417"/>
    </row>
    <row r="1361" spans="1:16" s="416" customFormat="1" ht="14" outlineLevel="5">
      <c r="A1361" s="400" t="s">
        <v>8</v>
      </c>
      <c r="B1361" s="563" t="s">
        <v>1032</v>
      </c>
      <c r="C1361" s="397" t="s">
        <v>15</v>
      </c>
      <c r="D1361" s="398"/>
      <c r="E1361" s="398"/>
      <c r="F1361" s="398"/>
      <c r="G1361" s="398">
        <f t="shared" si="360"/>
        <v>0</v>
      </c>
      <c r="H1361" s="398">
        <f t="shared" si="361"/>
        <v>0</v>
      </c>
      <c r="I1361" s="399"/>
      <c r="J1361" s="411" t="s">
        <v>21</v>
      </c>
      <c r="K1361" s="575" t="s">
        <v>145</v>
      </c>
      <c r="L1361" s="411" t="s">
        <v>112</v>
      </c>
      <c r="M1361" s="411" t="s">
        <v>32</v>
      </c>
      <c r="N1361" s="460"/>
      <c r="P1361" s="417"/>
    </row>
    <row r="1362" spans="1:16" s="413" customFormat="1" ht="15" customHeight="1" outlineLevel="3">
      <c r="A1362" s="388">
        <v>3</v>
      </c>
      <c r="B1362" s="389" t="s">
        <v>311</v>
      </c>
      <c r="C1362" s="390"/>
      <c r="D1362" s="391"/>
      <c r="E1362" s="391"/>
      <c r="F1362" s="391"/>
      <c r="G1362" s="391">
        <f>SUBTOTAL(9,G1363:G1377)</f>
        <v>0</v>
      </c>
      <c r="H1362" s="391">
        <f>SUBTOTAL(9,H1363:H1377)</f>
        <v>0</v>
      </c>
      <c r="I1362" s="391"/>
      <c r="J1362" s="410"/>
      <c r="K1362" s="411"/>
      <c r="L1362" s="411"/>
      <c r="M1362" s="412"/>
      <c r="N1362" s="412"/>
      <c r="P1362" s="414"/>
    </row>
    <row r="1363" spans="1:16" s="413" customFormat="1" ht="14" outlineLevel="5">
      <c r="A1363" s="576">
        <v>3.1</v>
      </c>
      <c r="B1363" s="408" t="s">
        <v>104</v>
      </c>
      <c r="C1363" s="390"/>
      <c r="D1363" s="391"/>
      <c r="E1363" s="391"/>
      <c r="F1363" s="391"/>
      <c r="G1363" s="391">
        <f>SUBTOTAL(9,G1364:G1377)</f>
        <v>0</v>
      </c>
      <c r="H1363" s="391">
        <f>SUBTOTAL(9,H1364:H1377)</f>
        <v>0</v>
      </c>
      <c r="I1363" s="391"/>
      <c r="J1363" s="411"/>
      <c r="K1363" s="411"/>
      <c r="L1363" s="411"/>
      <c r="M1363" s="412"/>
      <c r="N1363" s="412"/>
      <c r="P1363" s="414"/>
    </row>
    <row r="1364" spans="1:16" s="416" customFormat="1" ht="14" outlineLevel="5">
      <c r="A1364" s="400" t="s">
        <v>8</v>
      </c>
      <c r="B1364" s="563" t="s">
        <v>1056</v>
      </c>
      <c r="C1364" s="397" t="s">
        <v>24</v>
      </c>
      <c r="D1364" s="398"/>
      <c r="E1364" s="398"/>
      <c r="F1364" s="398"/>
      <c r="G1364" s="398">
        <f t="shared" ref="G1364:G1377" si="362">F1364*D1364</f>
        <v>0</v>
      </c>
      <c r="H1364" s="398">
        <f t="shared" ref="H1364:H1377" si="363">F1364*E1364</f>
        <v>0</v>
      </c>
      <c r="I1364" s="399"/>
      <c r="J1364" s="411" t="s">
        <v>21</v>
      </c>
      <c r="K1364" s="575" t="s">
        <v>145</v>
      </c>
      <c r="L1364" s="411" t="s">
        <v>112</v>
      </c>
      <c r="M1364" s="411" t="s">
        <v>32</v>
      </c>
      <c r="N1364" s="460"/>
      <c r="P1364" s="417"/>
    </row>
    <row r="1365" spans="1:16" s="416" customFormat="1" ht="14" outlineLevel="5">
      <c r="A1365" s="400" t="s">
        <v>8</v>
      </c>
      <c r="B1365" s="563" t="s">
        <v>1044</v>
      </c>
      <c r="C1365" s="397" t="s">
        <v>15</v>
      </c>
      <c r="D1365" s="398"/>
      <c r="E1365" s="398"/>
      <c r="F1365" s="398"/>
      <c r="G1365" s="398">
        <f t="shared" si="362"/>
        <v>0</v>
      </c>
      <c r="H1365" s="398">
        <f t="shared" si="363"/>
        <v>0</v>
      </c>
      <c r="I1365" s="399"/>
      <c r="J1365" s="411" t="s">
        <v>21</v>
      </c>
      <c r="K1365" s="575" t="s">
        <v>145</v>
      </c>
      <c r="L1365" s="411" t="s">
        <v>112</v>
      </c>
      <c r="M1365" s="411" t="s">
        <v>32</v>
      </c>
      <c r="N1365" s="460"/>
      <c r="P1365" s="417"/>
    </row>
    <row r="1366" spans="1:16" s="416" customFormat="1" ht="14" outlineLevel="5">
      <c r="A1366" s="400" t="s">
        <v>8</v>
      </c>
      <c r="B1366" s="563" t="s">
        <v>1045</v>
      </c>
      <c r="C1366" s="397" t="s">
        <v>15</v>
      </c>
      <c r="D1366" s="398"/>
      <c r="E1366" s="398"/>
      <c r="F1366" s="398"/>
      <c r="G1366" s="398">
        <f t="shared" si="362"/>
        <v>0</v>
      </c>
      <c r="H1366" s="398">
        <f t="shared" si="363"/>
        <v>0</v>
      </c>
      <c r="I1366" s="399"/>
      <c r="J1366" s="411" t="s">
        <v>21</v>
      </c>
      <c r="K1366" s="575" t="s">
        <v>145</v>
      </c>
      <c r="L1366" s="411" t="s">
        <v>112</v>
      </c>
      <c r="M1366" s="411" t="s">
        <v>32</v>
      </c>
      <c r="N1366" s="460"/>
      <c r="P1366" s="417"/>
    </row>
    <row r="1367" spans="1:16" s="416" customFormat="1" ht="14" outlineLevel="5">
      <c r="A1367" s="400" t="s">
        <v>8</v>
      </c>
      <c r="B1367" s="563" t="s">
        <v>1027</v>
      </c>
      <c r="C1367" s="397" t="s">
        <v>15</v>
      </c>
      <c r="D1367" s="398"/>
      <c r="E1367" s="398"/>
      <c r="F1367" s="398"/>
      <c r="G1367" s="398">
        <f t="shared" si="362"/>
        <v>0</v>
      </c>
      <c r="H1367" s="398">
        <f t="shared" si="363"/>
        <v>0</v>
      </c>
      <c r="I1367" s="399"/>
      <c r="J1367" s="411" t="s">
        <v>21</v>
      </c>
      <c r="K1367" s="575" t="s">
        <v>145</v>
      </c>
      <c r="L1367" s="411" t="s">
        <v>112</v>
      </c>
      <c r="M1367" s="411" t="s">
        <v>32</v>
      </c>
      <c r="N1367" s="460"/>
      <c r="P1367" s="417"/>
    </row>
    <row r="1368" spans="1:16" s="416" customFormat="1" ht="14" outlineLevel="5">
      <c r="A1368" s="400" t="s">
        <v>8</v>
      </c>
      <c r="B1368" s="563" t="s">
        <v>1028</v>
      </c>
      <c r="C1368" s="397" t="s">
        <v>15</v>
      </c>
      <c r="D1368" s="398"/>
      <c r="E1368" s="398"/>
      <c r="F1368" s="398"/>
      <c r="G1368" s="398">
        <f t="shared" si="362"/>
        <v>0</v>
      </c>
      <c r="H1368" s="398">
        <f t="shared" si="363"/>
        <v>0</v>
      </c>
      <c r="I1368" s="399"/>
      <c r="J1368" s="411" t="s">
        <v>21</v>
      </c>
      <c r="K1368" s="575" t="s">
        <v>145</v>
      </c>
      <c r="L1368" s="411" t="s">
        <v>112</v>
      </c>
      <c r="M1368" s="411" t="s">
        <v>32</v>
      </c>
      <c r="N1368" s="460"/>
      <c r="P1368" s="417"/>
    </row>
    <row r="1369" spans="1:16" s="416" customFormat="1" ht="14" outlineLevel="5">
      <c r="A1369" s="400" t="s">
        <v>8</v>
      </c>
      <c r="B1369" s="563" t="s">
        <v>1057</v>
      </c>
      <c r="C1369" s="397" t="s">
        <v>15</v>
      </c>
      <c r="D1369" s="398"/>
      <c r="E1369" s="398"/>
      <c r="F1369" s="398"/>
      <c r="G1369" s="398">
        <f t="shared" si="362"/>
        <v>0</v>
      </c>
      <c r="H1369" s="398">
        <f t="shared" si="363"/>
        <v>0</v>
      </c>
      <c r="I1369" s="399"/>
      <c r="J1369" s="411" t="s">
        <v>21</v>
      </c>
      <c r="K1369" s="575" t="s">
        <v>145</v>
      </c>
      <c r="L1369" s="411" t="s">
        <v>112</v>
      </c>
      <c r="M1369" s="411" t="s">
        <v>32</v>
      </c>
      <c r="N1369" s="460"/>
      <c r="P1369" s="417"/>
    </row>
    <row r="1370" spans="1:16" s="416" customFormat="1" ht="14" outlineLevel="5">
      <c r="A1370" s="400" t="s">
        <v>8</v>
      </c>
      <c r="B1370" s="563" t="s">
        <v>1046</v>
      </c>
      <c r="C1370" s="397" t="s">
        <v>15</v>
      </c>
      <c r="D1370" s="398"/>
      <c r="E1370" s="398"/>
      <c r="F1370" s="398"/>
      <c r="G1370" s="398">
        <f t="shared" si="362"/>
        <v>0</v>
      </c>
      <c r="H1370" s="398">
        <f t="shared" si="363"/>
        <v>0</v>
      </c>
      <c r="I1370" s="399"/>
      <c r="J1370" s="411" t="s">
        <v>21</v>
      </c>
      <c r="K1370" s="575" t="s">
        <v>145</v>
      </c>
      <c r="L1370" s="411" t="s">
        <v>112</v>
      </c>
      <c r="M1370" s="411" t="s">
        <v>32</v>
      </c>
      <c r="N1370" s="460"/>
      <c r="P1370" s="417"/>
    </row>
    <row r="1371" spans="1:16" s="416" customFormat="1" ht="14" outlineLevel="5">
      <c r="A1371" s="400" t="s">
        <v>8</v>
      </c>
      <c r="B1371" s="563" t="s">
        <v>1058</v>
      </c>
      <c r="C1371" s="397" t="s">
        <v>15</v>
      </c>
      <c r="D1371" s="398"/>
      <c r="E1371" s="398"/>
      <c r="F1371" s="398"/>
      <c r="G1371" s="398">
        <f t="shared" si="362"/>
        <v>0</v>
      </c>
      <c r="H1371" s="398">
        <f t="shared" si="363"/>
        <v>0</v>
      </c>
      <c r="I1371" s="399"/>
      <c r="J1371" s="411" t="s">
        <v>21</v>
      </c>
      <c r="K1371" s="575" t="s">
        <v>145</v>
      </c>
      <c r="L1371" s="411" t="s">
        <v>112</v>
      </c>
      <c r="M1371" s="411" t="s">
        <v>32</v>
      </c>
      <c r="N1371" s="460"/>
      <c r="P1371" s="417"/>
    </row>
    <row r="1372" spans="1:16" s="416" customFormat="1" ht="14" outlineLevel="5">
      <c r="A1372" s="400" t="s">
        <v>8</v>
      </c>
      <c r="B1372" s="563" t="s">
        <v>1029</v>
      </c>
      <c r="C1372" s="397" t="s">
        <v>15</v>
      </c>
      <c r="D1372" s="398"/>
      <c r="E1372" s="398"/>
      <c r="F1372" s="398"/>
      <c r="G1372" s="398">
        <f t="shared" si="362"/>
        <v>0</v>
      </c>
      <c r="H1372" s="398">
        <f t="shared" si="363"/>
        <v>0</v>
      </c>
      <c r="I1372" s="399"/>
      <c r="J1372" s="411" t="s">
        <v>21</v>
      </c>
      <c r="K1372" s="575" t="s">
        <v>145</v>
      </c>
      <c r="L1372" s="411" t="s">
        <v>112</v>
      </c>
      <c r="M1372" s="411" t="s">
        <v>32</v>
      </c>
      <c r="N1372" s="460"/>
      <c r="P1372" s="417"/>
    </row>
    <row r="1373" spans="1:16" s="416" customFormat="1" ht="14" outlineLevel="5">
      <c r="A1373" s="400" t="s">
        <v>8</v>
      </c>
      <c r="B1373" s="563" t="s">
        <v>1030</v>
      </c>
      <c r="C1373" s="397" t="s">
        <v>15</v>
      </c>
      <c r="D1373" s="398"/>
      <c r="E1373" s="398"/>
      <c r="F1373" s="398"/>
      <c r="G1373" s="398">
        <f t="shared" si="362"/>
        <v>0</v>
      </c>
      <c r="H1373" s="398">
        <f t="shared" si="363"/>
        <v>0</v>
      </c>
      <c r="I1373" s="399"/>
      <c r="J1373" s="411" t="s">
        <v>21</v>
      </c>
      <c r="K1373" s="575" t="s">
        <v>145</v>
      </c>
      <c r="L1373" s="411" t="s">
        <v>112</v>
      </c>
      <c r="M1373" s="411" t="s">
        <v>32</v>
      </c>
      <c r="N1373" s="460"/>
      <c r="P1373" s="417"/>
    </row>
    <row r="1374" spans="1:16" s="416" customFormat="1" ht="14" outlineLevel="5">
      <c r="A1374" s="400" t="s">
        <v>8</v>
      </c>
      <c r="B1374" s="563" t="s">
        <v>1031</v>
      </c>
      <c r="C1374" s="397" t="s">
        <v>15</v>
      </c>
      <c r="D1374" s="398"/>
      <c r="E1374" s="398"/>
      <c r="F1374" s="398"/>
      <c r="G1374" s="398">
        <f t="shared" si="362"/>
        <v>0</v>
      </c>
      <c r="H1374" s="398">
        <f t="shared" si="363"/>
        <v>0</v>
      </c>
      <c r="I1374" s="399"/>
      <c r="J1374" s="411" t="s">
        <v>21</v>
      </c>
      <c r="K1374" s="575" t="s">
        <v>145</v>
      </c>
      <c r="L1374" s="411" t="s">
        <v>112</v>
      </c>
      <c r="M1374" s="411" t="s">
        <v>32</v>
      </c>
      <c r="N1374" s="460"/>
      <c r="P1374" s="417"/>
    </row>
    <row r="1375" spans="1:16" s="416" customFormat="1" ht="14" outlineLevel="5">
      <c r="A1375" s="400" t="s">
        <v>8</v>
      </c>
      <c r="B1375" s="563" t="s">
        <v>1047</v>
      </c>
      <c r="C1375" s="397" t="s">
        <v>15</v>
      </c>
      <c r="D1375" s="398"/>
      <c r="E1375" s="398"/>
      <c r="F1375" s="398"/>
      <c r="G1375" s="398">
        <f t="shared" si="362"/>
        <v>0</v>
      </c>
      <c r="H1375" s="398">
        <f t="shared" si="363"/>
        <v>0</v>
      </c>
      <c r="I1375" s="399"/>
      <c r="J1375" s="411" t="s">
        <v>21</v>
      </c>
      <c r="K1375" s="575" t="s">
        <v>145</v>
      </c>
      <c r="L1375" s="411" t="s">
        <v>112</v>
      </c>
      <c r="M1375" s="411" t="s">
        <v>32</v>
      </c>
      <c r="N1375" s="460"/>
      <c r="P1375" s="417"/>
    </row>
    <row r="1376" spans="1:16" s="416" customFormat="1" ht="14" outlineLevel="5">
      <c r="A1376" s="400" t="s">
        <v>8</v>
      </c>
      <c r="B1376" s="563" t="s">
        <v>1059</v>
      </c>
      <c r="C1376" s="397" t="s">
        <v>15</v>
      </c>
      <c r="D1376" s="398"/>
      <c r="E1376" s="398"/>
      <c r="F1376" s="398"/>
      <c r="G1376" s="398">
        <f t="shared" si="362"/>
        <v>0</v>
      </c>
      <c r="H1376" s="398">
        <f t="shared" si="363"/>
        <v>0</v>
      </c>
      <c r="I1376" s="399"/>
      <c r="J1376" s="411" t="s">
        <v>21</v>
      </c>
      <c r="K1376" s="575" t="s">
        <v>145</v>
      </c>
      <c r="L1376" s="411" t="s">
        <v>112</v>
      </c>
      <c r="M1376" s="411" t="s">
        <v>32</v>
      </c>
      <c r="N1376" s="460"/>
      <c r="P1376" s="417"/>
    </row>
    <row r="1377" spans="1:16" s="416" customFormat="1" ht="14" outlineLevel="5">
      <c r="A1377" s="400" t="s">
        <v>8</v>
      </c>
      <c r="B1377" s="563" t="s">
        <v>1032</v>
      </c>
      <c r="C1377" s="397" t="s">
        <v>15</v>
      </c>
      <c r="D1377" s="398"/>
      <c r="E1377" s="398"/>
      <c r="F1377" s="398"/>
      <c r="G1377" s="398">
        <f t="shared" si="362"/>
        <v>0</v>
      </c>
      <c r="H1377" s="398">
        <f t="shared" si="363"/>
        <v>0</v>
      </c>
      <c r="I1377" s="399"/>
      <c r="J1377" s="411" t="s">
        <v>21</v>
      </c>
      <c r="K1377" s="575" t="s">
        <v>145</v>
      </c>
      <c r="L1377" s="411" t="s">
        <v>112</v>
      </c>
      <c r="M1377" s="411" t="s">
        <v>32</v>
      </c>
      <c r="N1377" s="460"/>
      <c r="P1377" s="417"/>
    </row>
    <row r="1378" spans="1:16" s="413" customFormat="1" ht="15" customHeight="1" outlineLevel="3">
      <c r="A1378" s="388">
        <v>4</v>
      </c>
      <c r="B1378" s="389" t="s">
        <v>313</v>
      </c>
      <c r="C1378" s="390"/>
      <c r="D1378" s="391"/>
      <c r="E1378" s="391"/>
      <c r="F1378" s="391"/>
      <c r="G1378" s="391">
        <f>SUBTOTAL(9,G1379:G1457)</f>
        <v>0</v>
      </c>
      <c r="H1378" s="391">
        <f>SUBTOTAL(9,H1379:H1457)</f>
        <v>0</v>
      </c>
      <c r="I1378" s="391"/>
      <c r="J1378" s="410"/>
      <c r="K1378" s="411"/>
      <c r="L1378" s="411"/>
      <c r="M1378" s="412"/>
      <c r="N1378" s="412"/>
      <c r="P1378" s="414"/>
    </row>
    <row r="1379" spans="1:16" s="413" customFormat="1" ht="13" customHeight="1" outlineLevel="4">
      <c r="A1379" s="388">
        <v>4.0999999999999996</v>
      </c>
      <c r="B1379" s="389" t="s">
        <v>1060</v>
      </c>
      <c r="C1379" s="390"/>
      <c r="D1379" s="391"/>
      <c r="E1379" s="391"/>
      <c r="F1379" s="391"/>
      <c r="G1379" s="391">
        <f>SUBTOTAL(9,G1380:G1390)</f>
        <v>0</v>
      </c>
      <c r="H1379" s="391">
        <f>SUBTOTAL(9,H1380:H1390)</f>
        <v>0</v>
      </c>
      <c r="I1379" s="391"/>
      <c r="J1379" s="410"/>
      <c r="K1379" s="411"/>
      <c r="L1379" s="411"/>
      <c r="M1379" s="412"/>
      <c r="N1379" s="412"/>
      <c r="P1379" s="414"/>
    </row>
    <row r="1380" spans="1:16" s="416" customFormat="1" ht="14" outlineLevel="5">
      <c r="A1380" s="405" t="s">
        <v>8</v>
      </c>
      <c r="B1380" s="564" t="s">
        <v>1056</v>
      </c>
      <c r="C1380" s="397" t="s">
        <v>1063</v>
      </c>
      <c r="D1380" s="398"/>
      <c r="E1380" s="398"/>
      <c r="F1380" s="398"/>
      <c r="G1380" s="398">
        <f t="shared" ref="G1380:G1390" si="364">F1380*D1380</f>
        <v>0</v>
      </c>
      <c r="H1380" s="398">
        <f t="shared" ref="H1380:H1390" si="365">F1380*E1380</f>
        <v>0</v>
      </c>
      <c r="I1380" s="399"/>
      <c r="J1380" s="411" t="s">
        <v>21</v>
      </c>
      <c r="K1380" s="575" t="s">
        <v>145</v>
      </c>
      <c r="L1380" s="411" t="s">
        <v>112</v>
      </c>
      <c r="M1380" s="411" t="s">
        <v>32</v>
      </c>
      <c r="N1380" s="460"/>
      <c r="P1380" s="417"/>
    </row>
    <row r="1381" spans="1:16" s="416" customFormat="1" ht="14" outlineLevel="5">
      <c r="A1381" s="400" t="s">
        <v>8</v>
      </c>
      <c r="B1381" s="563" t="s">
        <v>1044</v>
      </c>
      <c r="C1381" s="397" t="s">
        <v>23</v>
      </c>
      <c r="D1381" s="398"/>
      <c r="E1381" s="398"/>
      <c r="F1381" s="398"/>
      <c r="G1381" s="398">
        <f t="shared" si="364"/>
        <v>0</v>
      </c>
      <c r="H1381" s="398">
        <f t="shared" si="365"/>
        <v>0</v>
      </c>
      <c r="I1381" s="399"/>
      <c r="J1381" s="411" t="s">
        <v>21</v>
      </c>
      <c r="K1381" s="575" t="s">
        <v>145</v>
      </c>
      <c r="L1381" s="411" t="s">
        <v>112</v>
      </c>
      <c r="M1381" s="411" t="s">
        <v>32</v>
      </c>
      <c r="N1381" s="460"/>
      <c r="P1381" s="417"/>
    </row>
    <row r="1382" spans="1:16" s="416" customFormat="1" ht="14" outlineLevel="5">
      <c r="A1382" s="400" t="s">
        <v>8</v>
      </c>
      <c r="B1382" s="563" t="s">
        <v>1045</v>
      </c>
      <c r="C1382" s="397" t="s">
        <v>23</v>
      </c>
      <c r="D1382" s="398"/>
      <c r="E1382" s="398"/>
      <c r="F1382" s="398"/>
      <c r="G1382" s="398">
        <f t="shared" si="364"/>
        <v>0</v>
      </c>
      <c r="H1382" s="398">
        <f t="shared" si="365"/>
        <v>0</v>
      </c>
      <c r="I1382" s="399"/>
      <c r="J1382" s="411" t="s">
        <v>21</v>
      </c>
      <c r="K1382" s="575" t="s">
        <v>145</v>
      </c>
      <c r="L1382" s="411" t="s">
        <v>112</v>
      </c>
      <c r="M1382" s="411" t="s">
        <v>32</v>
      </c>
      <c r="N1382" s="460"/>
      <c r="P1382" s="417"/>
    </row>
    <row r="1383" spans="1:16" s="416" customFormat="1" ht="14" outlineLevel="5">
      <c r="A1383" s="405" t="s">
        <v>8</v>
      </c>
      <c r="B1383" s="564" t="s">
        <v>1027</v>
      </c>
      <c r="C1383" s="397" t="s">
        <v>23</v>
      </c>
      <c r="D1383" s="398"/>
      <c r="E1383" s="398"/>
      <c r="F1383" s="398"/>
      <c r="G1383" s="398">
        <f t="shared" si="364"/>
        <v>0</v>
      </c>
      <c r="H1383" s="398">
        <f t="shared" si="365"/>
        <v>0</v>
      </c>
      <c r="I1383" s="399"/>
      <c r="J1383" s="411" t="s">
        <v>21</v>
      </c>
      <c r="K1383" s="575" t="s">
        <v>145</v>
      </c>
      <c r="L1383" s="411" t="s">
        <v>112</v>
      </c>
      <c r="M1383" s="411" t="s">
        <v>32</v>
      </c>
      <c r="N1383" s="460"/>
      <c r="P1383" s="417"/>
    </row>
    <row r="1384" spans="1:16" s="416" customFormat="1" ht="14" outlineLevel="5">
      <c r="A1384" s="400" t="s">
        <v>8</v>
      </c>
      <c r="B1384" s="563" t="s">
        <v>1061</v>
      </c>
      <c r="C1384" s="397" t="s">
        <v>23</v>
      </c>
      <c r="D1384" s="398"/>
      <c r="E1384" s="398"/>
      <c r="F1384" s="398"/>
      <c r="G1384" s="398">
        <f t="shared" si="364"/>
        <v>0</v>
      </c>
      <c r="H1384" s="398">
        <f t="shared" si="365"/>
        <v>0</v>
      </c>
      <c r="I1384" s="399"/>
      <c r="J1384" s="411" t="s">
        <v>21</v>
      </c>
      <c r="K1384" s="575" t="s">
        <v>145</v>
      </c>
      <c r="L1384" s="411" t="s">
        <v>112</v>
      </c>
      <c r="M1384" s="411" t="s">
        <v>32</v>
      </c>
      <c r="N1384" s="460"/>
      <c r="P1384" s="417"/>
    </row>
    <row r="1385" spans="1:16" s="416" customFormat="1" ht="14" outlineLevel="5">
      <c r="A1385" s="400" t="s">
        <v>8</v>
      </c>
      <c r="B1385" s="563" t="s">
        <v>1046</v>
      </c>
      <c r="C1385" s="397" t="s">
        <v>23</v>
      </c>
      <c r="D1385" s="398"/>
      <c r="E1385" s="398"/>
      <c r="F1385" s="398"/>
      <c r="G1385" s="398">
        <f t="shared" si="364"/>
        <v>0</v>
      </c>
      <c r="H1385" s="398">
        <f t="shared" si="365"/>
        <v>0</v>
      </c>
      <c r="I1385" s="399"/>
      <c r="J1385" s="411" t="s">
        <v>21</v>
      </c>
      <c r="K1385" s="575" t="s">
        <v>145</v>
      </c>
      <c r="L1385" s="411" t="s">
        <v>112</v>
      </c>
      <c r="M1385" s="411" t="s">
        <v>32</v>
      </c>
      <c r="N1385" s="460"/>
      <c r="P1385" s="417"/>
    </row>
    <row r="1386" spans="1:16" s="416" customFormat="1" ht="14" outlineLevel="5">
      <c r="A1386" s="400" t="s">
        <v>8</v>
      </c>
      <c r="B1386" s="563" t="s">
        <v>1058</v>
      </c>
      <c r="C1386" s="397" t="s">
        <v>23</v>
      </c>
      <c r="D1386" s="398"/>
      <c r="E1386" s="398"/>
      <c r="F1386" s="398"/>
      <c r="G1386" s="398">
        <f t="shared" si="364"/>
        <v>0</v>
      </c>
      <c r="H1386" s="398">
        <f t="shared" si="365"/>
        <v>0</v>
      </c>
      <c r="I1386" s="399"/>
      <c r="J1386" s="411" t="s">
        <v>21</v>
      </c>
      <c r="K1386" s="575" t="s">
        <v>145</v>
      </c>
      <c r="L1386" s="411" t="s">
        <v>112</v>
      </c>
      <c r="M1386" s="411" t="s">
        <v>32</v>
      </c>
      <c r="N1386" s="460"/>
      <c r="P1386" s="417"/>
    </row>
    <row r="1387" spans="1:16" s="416" customFormat="1" ht="14" outlineLevel="5">
      <c r="A1387" s="405" t="s">
        <v>8</v>
      </c>
      <c r="B1387" s="564" t="s">
        <v>1062</v>
      </c>
      <c r="C1387" s="397" t="s">
        <v>166</v>
      </c>
      <c r="D1387" s="398"/>
      <c r="E1387" s="398"/>
      <c r="F1387" s="398"/>
      <c r="G1387" s="398">
        <f t="shared" si="364"/>
        <v>0</v>
      </c>
      <c r="H1387" s="398">
        <f t="shared" si="365"/>
        <v>0</v>
      </c>
      <c r="I1387" s="399"/>
      <c r="J1387" s="411" t="s">
        <v>21</v>
      </c>
      <c r="K1387" s="575" t="s">
        <v>145</v>
      </c>
      <c r="L1387" s="411" t="s">
        <v>112</v>
      </c>
      <c r="M1387" s="411" t="s">
        <v>32</v>
      </c>
      <c r="N1387" s="460"/>
      <c r="P1387" s="417"/>
    </row>
    <row r="1388" spans="1:16" s="416" customFormat="1" ht="14" outlineLevel="5">
      <c r="A1388" s="400" t="s">
        <v>8</v>
      </c>
      <c r="B1388" s="563" t="s">
        <v>1047</v>
      </c>
      <c r="C1388" s="397" t="s">
        <v>166</v>
      </c>
      <c r="D1388" s="398"/>
      <c r="E1388" s="398"/>
      <c r="F1388" s="398"/>
      <c r="G1388" s="398">
        <f t="shared" si="364"/>
        <v>0</v>
      </c>
      <c r="H1388" s="398">
        <f t="shared" si="365"/>
        <v>0</v>
      </c>
      <c r="I1388" s="399"/>
      <c r="J1388" s="411" t="s">
        <v>21</v>
      </c>
      <c r="K1388" s="575" t="s">
        <v>145</v>
      </c>
      <c r="L1388" s="411" t="s">
        <v>112</v>
      </c>
      <c r="M1388" s="411" t="s">
        <v>32</v>
      </c>
      <c r="N1388" s="460"/>
      <c r="P1388" s="417"/>
    </row>
    <row r="1389" spans="1:16" s="416" customFormat="1" ht="14" outlineLevel="5">
      <c r="A1389" s="400" t="s">
        <v>8</v>
      </c>
      <c r="B1389" s="563" t="s">
        <v>1059</v>
      </c>
      <c r="C1389" s="397" t="s">
        <v>166</v>
      </c>
      <c r="D1389" s="398"/>
      <c r="E1389" s="398"/>
      <c r="F1389" s="398"/>
      <c r="G1389" s="398">
        <f t="shared" si="364"/>
        <v>0</v>
      </c>
      <c r="H1389" s="398">
        <f t="shared" si="365"/>
        <v>0</v>
      </c>
      <c r="I1389" s="399"/>
      <c r="J1389" s="411" t="s">
        <v>21</v>
      </c>
      <c r="K1389" s="575" t="s">
        <v>145</v>
      </c>
      <c r="L1389" s="411" t="s">
        <v>112</v>
      </c>
      <c r="M1389" s="411" t="s">
        <v>32</v>
      </c>
      <c r="N1389" s="460"/>
      <c r="P1389" s="417"/>
    </row>
    <row r="1390" spans="1:16" s="416" customFormat="1" ht="14" outlineLevel="5">
      <c r="A1390" s="400" t="s">
        <v>8</v>
      </c>
      <c r="B1390" s="563" t="s">
        <v>1032</v>
      </c>
      <c r="C1390" s="397" t="s">
        <v>1064</v>
      </c>
      <c r="D1390" s="398"/>
      <c r="E1390" s="398"/>
      <c r="F1390" s="398"/>
      <c r="G1390" s="398">
        <f t="shared" si="364"/>
        <v>0</v>
      </c>
      <c r="H1390" s="398">
        <f t="shared" si="365"/>
        <v>0</v>
      </c>
      <c r="I1390" s="399"/>
      <c r="J1390" s="411" t="s">
        <v>21</v>
      </c>
      <c r="K1390" s="575" t="s">
        <v>145</v>
      </c>
      <c r="L1390" s="411" t="s">
        <v>112</v>
      </c>
      <c r="M1390" s="411" t="s">
        <v>32</v>
      </c>
      <c r="N1390" s="460"/>
      <c r="P1390" s="417"/>
    </row>
    <row r="1391" spans="1:16" s="413" customFormat="1" ht="13" customHeight="1" outlineLevel="4">
      <c r="A1391" s="388">
        <v>4.2</v>
      </c>
      <c r="B1391" s="532" t="s">
        <v>1065</v>
      </c>
      <c r="C1391" s="390"/>
      <c r="D1391" s="391"/>
      <c r="E1391" s="391"/>
      <c r="F1391" s="391"/>
      <c r="G1391" s="391">
        <f>SUBTOTAL(9,G1392:G1399)</f>
        <v>0</v>
      </c>
      <c r="H1391" s="391">
        <f>SUBTOTAL(9,H1392:H1399)</f>
        <v>0</v>
      </c>
      <c r="I1391" s="391"/>
      <c r="J1391" s="410"/>
      <c r="K1391" s="411"/>
      <c r="L1391" s="411"/>
      <c r="M1391" s="412"/>
      <c r="N1391" s="412"/>
      <c r="P1391" s="414"/>
    </row>
    <row r="1392" spans="1:16" s="416" customFormat="1" ht="14" outlineLevel="5">
      <c r="A1392" s="405" t="s">
        <v>8</v>
      </c>
      <c r="B1392" s="564" t="s">
        <v>1066</v>
      </c>
      <c r="C1392" s="397" t="s">
        <v>1063</v>
      </c>
      <c r="D1392" s="398"/>
      <c r="E1392" s="398"/>
      <c r="F1392" s="398"/>
      <c r="G1392" s="398">
        <f t="shared" ref="G1392:G1399" si="366">F1392*D1392</f>
        <v>0</v>
      </c>
      <c r="H1392" s="398">
        <f t="shared" ref="H1392:H1399" si="367">F1392*E1392</f>
        <v>0</v>
      </c>
      <c r="I1392" s="399"/>
      <c r="J1392" s="411" t="s">
        <v>21</v>
      </c>
      <c r="K1392" s="575" t="s">
        <v>145</v>
      </c>
      <c r="L1392" s="411" t="s">
        <v>112</v>
      </c>
      <c r="M1392" s="411" t="s">
        <v>32</v>
      </c>
      <c r="N1392" s="460"/>
      <c r="P1392" s="417"/>
    </row>
    <row r="1393" spans="1:16" s="416" customFormat="1" ht="14" outlineLevel="5">
      <c r="A1393" s="400" t="s">
        <v>8</v>
      </c>
      <c r="B1393" s="563" t="s">
        <v>1067</v>
      </c>
      <c r="C1393" s="397" t="s">
        <v>23</v>
      </c>
      <c r="D1393" s="398"/>
      <c r="E1393" s="398"/>
      <c r="F1393" s="398"/>
      <c r="G1393" s="398">
        <f t="shared" si="366"/>
        <v>0</v>
      </c>
      <c r="H1393" s="398">
        <f t="shared" si="367"/>
        <v>0</v>
      </c>
      <c r="I1393" s="399"/>
      <c r="J1393" s="411" t="s">
        <v>21</v>
      </c>
      <c r="K1393" s="575" t="s">
        <v>145</v>
      </c>
      <c r="L1393" s="411" t="s">
        <v>112</v>
      </c>
      <c r="M1393" s="411" t="s">
        <v>32</v>
      </c>
      <c r="N1393" s="460"/>
      <c r="P1393" s="417"/>
    </row>
    <row r="1394" spans="1:16" s="416" customFormat="1" ht="14" outlineLevel="5">
      <c r="A1394" s="400" t="s">
        <v>8</v>
      </c>
      <c r="B1394" s="563" t="s">
        <v>1068</v>
      </c>
      <c r="C1394" s="397" t="s">
        <v>23</v>
      </c>
      <c r="D1394" s="398"/>
      <c r="E1394" s="398"/>
      <c r="F1394" s="398"/>
      <c r="G1394" s="398">
        <f t="shared" si="366"/>
        <v>0</v>
      </c>
      <c r="H1394" s="398">
        <f t="shared" si="367"/>
        <v>0</v>
      </c>
      <c r="I1394" s="399"/>
      <c r="J1394" s="411" t="s">
        <v>21</v>
      </c>
      <c r="K1394" s="575" t="s">
        <v>145</v>
      </c>
      <c r="L1394" s="411" t="s">
        <v>112</v>
      </c>
      <c r="M1394" s="411" t="s">
        <v>32</v>
      </c>
      <c r="N1394" s="460"/>
      <c r="P1394" s="417"/>
    </row>
    <row r="1395" spans="1:16" s="416" customFormat="1" ht="14" outlineLevel="5">
      <c r="A1395" s="405" t="s">
        <v>8</v>
      </c>
      <c r="B1395" s="564" t="s">
        <v>1069</v>
      </c>
      <c r="C1395" s="397" t="s">
        <v>23</v>
      </c>
      <c r="D1395" s="398"/>
      <c r="E1395" s="398"/>
      <c r="F1395" s="398"/>
      <c r="G1395" s="398">
        <f t="shared" si="366"/>
        <v>0</v>
      </c>
      <c r="H1395" s="398">
        <f t="shared" si="367"/>
        <v>0</v>
      </c>
      <c r="I1395" s="399"/>
      <c r="J1395" s="411" t="s">
        <v>21</v>
      </c>
      <c r="K1395" s="575" t="s">
        <v>145</v>
      </c>
      <c r="L1395" s="411" t="s">
        <v>112</v>
      </c>
      <c r="M1395" s="411" t="s">
        <v>32</v>
      </c>
      <c r="N1395" s="460"/>
      <c r="P1395" s="417"/>
    </row>
    <row r="1396" spans="1:16" s="416" customFormat="1" ht="14" outlineLevel="5">
      <c r="A1396" s="400" t="s">
        <v>8</v>
      </c>
      <c r="B1396" s="563" t="s">
        <v>1070</v>
      </c>
      <c r="C1396" s="397" t="s">
        <v>23</v>
      </c>
      <c r="D1396" s="398"/>
      <c r="E1396" s="398"/>
      <c r="F1396" s="398"/>
      <c r="G1396" s="398">
        <f t="shared" si="366"/>
        <v>0</v>
      </c>
      <c r="H1396" s="398">
        <f t="shared" si="367"/>
        <v>0</v>
      </c>
      <c r="I1396" s="399"/>
      <c r="J1396" s="411" t="s">
        <v>21</v>
      </c>
      <c r="K1396" s="575" t="s">
        <v>145</v>
      </c>
      <c r="L1396" s="411" t="s">
        <v>112</v>
      </c>
      <c r="M1396" s="411" t="s">
        <v>32</v>
      </c>
      <c r="N1396" s="460"/>
      <c r="P1396" s="417"/>
    </row>
    <row r="1397" spans="1:16" s="416" customFormat="1" ht="14" outlineLevel="5">
      <c r="A1397" s="400" t="s">
        <v>8</v>
      </c>
      <c r="B1397" s="563" t="s">
        <v>1040</v>
      </c>
      <c r="C1397" s="397" t="s">
        <v>166</v>
      </c>
      <c r="D1397" s="398"/>
      <c r="E1397" s="398"/>
      <c r="F1397" s="398"/>
      <c r="G1397" s="398">
        <f t="shared" si="366"/>
        <v>0</v>
      </c>
      <c r="H1397" s="398">
        <f t="shared" si="367"/>
        <v>0</v>
      </c>
      <c r="I1397" s="399"/>
      <c r="J1397" s="411" t="s">
        <v>21</v>
      </c>
      <c r="K1397" s="575" t="s">
        <v>145</v>
      </c>
      <c r="L1397" s="411" t="s">
        <v>112</v>
      </c>
      <c r="M1397" s="411" t="s">
        <v>32</v>
      </c>
      <c r="N1397" s="460"/>
      <c r="P1397" s="417"/>
    </row>
    <row r="1398" spans="1:16" s="416" customFormat="1" ht="14" outlineLevel="5">
      <c r="A1398" s="400" t="s">
        <v>8</v>
      </c>
      <c r="B1398" s="563" t="s">
        <v>1047</v>
      </c>
      <c r="C1398" s="397" t="s">
        <v>166</v>
      </c>
      <c r="D1398" s="398"/>
      <c r="E1398" s="398"/>
      <c r="F1398" s="398"/>
      <c r="G1398" s="398">
        <f t="shared" si="366"/>
        <v>0</v>
      </c>
      <c r="H1398" s="398">
        <f t="shared" si="367"/>
        <v>0</v>
      </c>
      <c r="I1398" s="399"/>
      <c r="J1398" s="411" t="s">
        <v>21</v>
      </c>
      <c r="K1398" s="575" t="s">
        <v>145</v>
      </c>
      <c r="L1398" s="411" t="s">
        <v>112</v>
      </c>
      <c r="M1398" s="411" t="s">
        <v>32</v>
      </c>
      <c r="N1398" s="460"/>
      <c r="P1398" s="417"/>
    </row>
    <row r="1399" spans="1:16" s="416" customFormat="1" ht="14" outlineLevel="5">
      <c r="A1399" s="405" t="s">
        <v>8</v>
      </c>
      <c r="B1399" s="564" t="s">
        <v>1032</v>
      </c>
      <c r="C1399" s="397" t="s">
        <v>1064</v>
      </c>
      <c r="D1399" s="398"/>
      <c r="E1399" s="398"/>
      <c r="F1399" s="398"/>
      <c r="G1399" s="398">
        <f t="shared" si="366"/>
        <v>0</v>
      </c>
      <c r="H1399" s="398">
        <f t="shared" si="367"/>
        <v>0</v>
      </c>
      <c r="I1399" s="399"/>
      <c r="J1399" s="411" t="s">
        <v>21</v>
      </c>
      <c r="K1399" s="575" t="s">
        <v>145</v>
      </c>
      <c r="L1399" s="411" t="s">
        <v>112</v>
      </c>
      <c r="M1399" s="411" t="s">
        <v>32</v>
      </c>
      <c r="N1399" s="460"/>
      <c r="P1399" s="417"/>
    </row>
    <row r="1400" spans="1:16" s="413" customFormat="1" ht="13" customHeight="1" outlineLevel="4">
      <c r="A1400" s="388">
        <v>4.3</v>
      </c>
      <c r="B1400" s="532" t="s">
        <v>1071</v>
      </c>
      <c r="C1400" s="390"/>
      <c r="D1400" s="391"/>
      <c r="E1400" s="391"/>
      <c r="F1400" s="391"/>
      <c r="G1400" s="391">
        <f>SUBTOTAL(9,G1401:G1408)</f>
        <v>0</v>
      </c>
      <c r="H1400" s="391">
        <f>SUBTOTAL(9,H1401:H1408)</f>
        <v>0</v>
      </c>
      <c r="I1400" s="391"/>
      <c r="J1400" s="410"/>
      <c r="K1400" s="411"/>
      <c r="L1400" s="411"/>
      <c r="M1400" s="412"/>
      <c r="N1400" s="412"/>
      <c r="P1400" s="414"/>
    </row>
    <row r="1401" spans="1:16" s="416" customFormat="1" ht="14" outlineLevel="5">
      <c r="A1401" s="405" t="s">
        <v>8</v>
      </c>
      <c r="B1401" s="564" t="s">
        <v>1072</v>
      </c>
      <c r="C1401" s="397" t="s">
        <v>1063</v>
      </c>
      <c r="D1401" s="398"/>
      <c r="E1401" s="398"/>
      <c r="F1401" s="398"/>
      <c r="G1401" s="398">
        <f t="shared" ref="G1401:G1408" si="368">F1401*D1401</f>
        <v>0</v>
      </c>
      <c r="H1401" s="398">
        <f t="shared" ref="H1401:H1408" si="369">F1401*E1401</f>
        <v>0</v>
      </c>
      <c r="I1401" s="399"/>
      <c r="J1401" s="411" t="s">
        <v>21</v>
      </c>
      <c r="K1401" s="575" t="s">
        <v>145</v>
      </c>
      <c r="L1401" s="411" t="s">
        <v>112</v>
      </c>
      <c r="M1401" s="411" t="s">
        <v>32</v>
      </c>
      <c r="N1401" s="460"/>
      <c r="P1401" s="417"/>
    </row>
    <row r="1402" spans="1:16" s="416" customFormat="1" ht="14" outlineLevel="5">
      <c r="A1402" s="400" t="s">
        <v>8</v>
      </c>
      <c r="B1402" s="563" t="s">
        <v>1069</v>
      </c>
      <c r="C1402" s="397" t="s">
        <v>23</v>
      </c>
      <c r="D1402" s="398"/>
      <c r="E1402" s="398"/>
      <c r="F1402" s="398"/>
      <c r="G1402" s="398">
        <f t="shared" si="368"/>
        <v>0</v>
      </c>
      <c r="H1402" s="398">
        <f t="shared" si="369"/>
        <v>0</v>
      </c>
      <c r="I1402" s="399"/>
      <c r="J1402" s="411" t="s">
        <v>21</v>
      </c>
      <c r="K1402" s="575" t="s">
        <v>145</v>
      </c>
      <c r="L1402" s="411" t="s">
        <v>112</v>
      </c>
      <c r="M1402" s="411" t="s">
        <v>32</v>
      </c>
      <c r="N1402" s="460"/>
      <c r="P1402" s="417"/>
    </row>
    <row r="1403" spans="1:16" s="416" customFormat="1" ht="14" outlineLevel="5">
      <c r="A1403" s="400" t="s">
        <v>8</v>
      </c>
      <c r="B1403" s="563" t="s">
        <v>1070</v>
      </c>
      <c r="C1403" s="397" t="s">
        <v>23</v>
      </c>
      <c r="D1403" s="398"/>
      <c r="E1403" s="398"/>
      <c r="F1403" s="398"/>
      <c r="G1403" s="398">
        <f t="shared" si="368"/>
        <v>0</v>
      </c>
      <c r="H1403" s="398">
        <f t="shared" si="369"/>
        <v>0</v>
      </c>
      <c r="I1403" s="399"/>
      <c r="J1403" s="411" t="s">
        <v>21</v>
      </c>
      <c r="K1403" s="575" t="s">
        <v>145</v>
      </c>
      <c r="L1403" s="411" t="s">
        <v>112</v>
      </c>
      <c r="M1403" s="411" t="s">
        <v>32</v>
      </c>
      <c r="N1403" s="460"/>
      <c r="P1403" s="417"/>
    </row>
    <row r="1404" spans="1:16" s="416" customFormat="1" ht="14" outlineLevel="5">
      <c r="A1404" s="405" t="s">
        <v>8</v>
      </c>
      <c r="B1404" s="564" t="s">
        <v>1073</v>
      </c>
      <c r="C1404" s="397" t="s">
        <v>23</v>
      </c>
      <c r="D1404" s="398"/>
      <c r="E1404" s="398"/>
      <c r="F1404" s="398"/>
      <c r="G1404" s="398">
        <f t="shared" si="368"/>
        <v>0</v>
      </c>
      <c r="H1404" s="398">
        <f t="shared" si="369"/>
        <v>0</v>
      </c>
      <c r="I1404" s="399"/>
      <c r="J1404" s="411" t="s">
        <v>21</v>
      </c>
      <c r="K1404" s="575" t="s">
        <v>145</v>
      </c>
      <c r="L1404" s="411" t="s">
        <v>112</v>
      </c>
      <c r="M1404" s="411" t="s">
        <v>32</v>
      </c>
      <c r="N1404" s="460"/>
      <c r="P1404" s="417"/>
    </row>
    <row r="1405" spans="1:16" s="416" customFormat="1" ht="14" outlineLevel="5">
      <c r="A1405" s="400" t="s">
        <v>8</v>
      </c>
      <c r="B1405" s="563" t="s">
        <v>1040</v>
      </c>
      <c r="C1405" s="397" t="s">
        <v>166</v>
      </c>
      <c r="D1405" s="398"/>
      <c r="E1405" s="398"/>
      <c r="F1405" s="398"/>
      <c r="G1405" s="398">
        <f t="shared" si="368"/>
        <v>0</v>
      </c>
      <c r="H1405" s="398">
        <f t="shared" si="369"/>
        <v>0</v>
      </c>
      <c r="I1405" s="399"/>
      <c r="J1405" s="411" t="s">
        <v>21</v>
      </c>
      <c r="K1405" s="575" t="s">
        <v>145</v>
      </c>
      <c r="L1405" s="411" t="s">
        <v>112</v>
      </c>
      <c r="M1405" s="411" t="s">
        <v>32</v>
      </c>
      <c r="N1405" s="460"/>
      <c r="P1405" s="417"/>
    </row>
    <row r="1406" spans="1:16" s="416" customFormat="1" ht="14" outlineLevel="5">
      <c r="A1406" s="400" t="s">
        <v>8</v>
      </c>
      <c r="B1406" s="563" t="s">
        <v>1047</v>
      </c>
      <c r="C1406" s="397" t="s">
        <v>166</v>
      </c>
      <c r="D1406" s="398"/>
      <c r="E1406" s="398"/>
      <c r="F1406" s="398"/>
      <c r="G1406" s="398">
        <f t="shared" si="368"/>
        <v>0</v>
      </c>
      <c r="H1406" s="398">
        <f t="shared" si="369"/>
        <v>0</v>
      </c>
      <c r="I1406" s="399"/>
      <c r="J1406" s="411" t="s">
        <v>21</v>
      </c>
      <c r="K1406" s="575" t="s">
        <v>145</v>
      </c>
      <c r="L1406" s="411" t="s">
        <v>112</v>
      </c>
      <c r="M1406" s="411" t="s">
        <v>32</v>
      </c>
      <c r="N1406" s="460"/>
      <c r="P1406" s="417"/>
    </row>
    <row r="1407" spans="1:16" s="416" customFormat="1" ht="14" outlineLevel="5">
      <c r="A1407" s="400" t="s">
        <v>8</v>
      </c>
      <c r="B1407" s="563" t="s">
        <v>1059</v>
      </c>
      <c r="C1407" s="397" t="s">
        <v>166</v>
      </c>
      <c r="D1407" s="398"/>
      <c r="E1407" s="398"/>
      <c r="F1407" s="398"/>
      <c r="G1407" s="398">
        <f t="shared" si="368"/>
        <v>0</v>
      </c>
      <c r="H1407" s="398">
        <f t="shared" si="369"/>
        <v>0</v>
      </c>
      <c r="I1407" s="399"/>
      <c r="J1407" s="411" t="s">
        <v>21</v>
      </c>
      <c r="K1407" s="575" t="s">
        <v>145</v>
      </c>
      <c r="L1407" s="411" t="s">
        <v>112</v>
      </c>
      <c r="M1407" s="411" t="s">
        <v>32</v>
      </c>
      <c r="N1407" s="460"/>
      <c r="P1407" s="417"/>
    </row>
    <row r="1408" spans="1:16" s="416" customFormat="1" ht="14" outlineLevel="5">
      <c r="A1408" s="405" t="s">
        <v>8</v>
      </c>
      <c r="B1408" s="564" t="s">
        <v>1032</v>
      </c>
      <c r="C1408" s="397" t="s">
        <v>1064</v>
      </c>
      <c r="D1408" s="398"/>
      <c r="E1408" s="398"/>
      <c r="F1408" s="398"/>
      <c r="G1408" s="398">
        <f t="shared" si="368"/>
        <v>0</v>
      </c>
      <c r="H1408" s="398">
        <f t="shared" si="369"/>
        <v>0</v>
      </c>
      <c r="I1408" s="399"/>
      <c r="J1408" s="411" t="s">
        <v>21</v>
      </c>
      <c r="K1408" s="575" t="s">
        <v>145</v>
      </c>
      <c r="L1408" s="411" t="s">
        <v>112</v>
      </c>
      <c r="M1408" s="411" t="s">
        <v>32</v>
      </c>
      <c r="N1408" s="460"/>
      <c r="P1408" s="417"/>
    </row>
    <row r="1409" spans="1:16" s="413" customFormat="1" ht="13" customHeight="1" outlineLevel="4">
      <c r="A1409" s="388">
        <v>4.4000000000000004</v>
      </c>
      <c r="B1409" s="532" t="s">
        <v>1074</v>
      </c>
      <c r="C1409" s="390"/>
      <c r="D1409" s="391"/>
      <c r="E1409" s="391"/>
      <c r="F1409" s="391"/>
      <c r="G1409" s="391">
        <f>SUBTOTAL(9,G1410:G1421)</f>
        <v>0</v>
      </c>
      <c r="H1409" s="391">
        <f>SUBTOTAL(9,H1410:H1421)</f>
        <v>0</v>
      </c>
      <c r="I1409" s="391"/>
      <c r="J1409" s="410"/>
      <c r="K1409" s="411"/>
      <c r="L1409" s="411"/>
      <c r="M1409" s="412"/>
      <c r="N1409" s="412"/>
      <c r="P1409" s="414"/>
    </row>
    <row r="1410" spans="1:16" s="416" customFormat="1" ht="14" outlineLevel="5">
      <c r="A1410" s="405" t="s">
        <v>8</v>
      </c>
      <c r="B1410" s="564" t="s">
        <v>1075</v>
      </c>
      <c r="C1410" s="397" t="s">
        <v>1063</v>
      </c>
      <c r="D1410" s="562"/>
      <c r="E1410" s="398"/>
      <c r="F1410" s="398"/>
      <c r="G1410" s="398">
        <f t="shared" ref="G1410:G1421" si="370">F1410*D1410</f>
        <v>0</v>
      </c>
      <c r="H1410" s="398">
        <f t="shared" ref="H1410:H1421" si="371">F1410*E1410</f>
        <v>0</v>
      </c>
      <c r="I1410" s="399"/>
      <c r="J1410" s="411" t="s">
        <v>21</v>
      </c>
      <c r="K1410" s="575" t="s">
        <v>145</v>
      </c>
      <c r="L1410" s="411" t="s">
        <v>112</v>
      </c>
      <c r="M1410" s="411" t="s">
        <v>32</v>
      </c>
      <c r="N1410" s="460"/>
      <c r="P1410" s="417"/>
    </row>
    <row r="1411" spans="1:16" s="416" customFormat="1" ht="14" outlineLevel="5">
      <c r="A1411" s="400" t="s">
        <v>8</v>
      </c>
      <c r="B1411" s="563" t="s">
        <v>1076</v>
      </c>
      <c r="C1411" s="397" t="s">
        <v>23</v>
      </c>
      <c r="D1411" s="562"/>
      <c r="E1411" s="398"/>
      <c r="F1411" s="398"/>
      <c r="G1411" s="398">
        <f t="shared" si="370"/>
        <v>0</v>
      </c>
      <c r="H1411" s="398">
        <f t="shared" si="371"/>
        <v>0</v>
      </c>
      <c r="I1411" s="399"/>
      <c r="J1411" s="411" t="s">
        <v>21</v>
      </c>
      <c r="K1411" s="575" t="s">
        <v>145</v>
      </c>
      <c r="L1411" s="411" t="s">
        <v>112</v>
      </c>
      <c r="M1411" s="411" t="s">
        <v>32</v>
      </c>
      <c r="N1411" s="460"/>
      <c r="P1411" s="417"/>
    </row>
    <row r="1412" spans="1:16" s="416" customFormat="1" ht="14" outlineLevel="5">
      <c r="A1412" s="400" t="s">
        <v>8</v>
      </c>
      <c r="B1412" s="563" t="s">
        <v>1067</v>
      </c>
      <c r="C1412" s="397" t="s">
        <v>23</v>
      </c>
      <c r="D1412" s="562"/>
      <c r="E1412" s="398"/>
      <c r="F1412" s="398"/>
      <c r="G1412" s="398">
        <f t="shared" si="370"/>
        <v>0</v>
      </c>
      <c r="H1412" s="398">
        <f t="shared" si="371"/>
        <v>0</v>
      </c>
      <c r="I1412" s="399"/>
      <c r="J1412" s="411" t="s">
        <v>21</v>
      </c>
      <c r="K1412" s="575" t="s">
        <v>145</v>
      </c>
      <c r="L1412" s="411" t="s">
        <v>112</v>
      </c>
      <c r="M1412" s="411" t="s">
        <v>32</v>
      </c>
      <c r="N1412" s="460"/>
      <c r="P1412" s="417"/>
    </row>
    <row r="1413" spans="1:16" s="416" customFormat="1" ht="14" outlineLevel="5">
      <c r="A1413" s="405" t="s">
        <v>8</v>
      </c>
      <c r="B1413" s="564" t="s">
        <v>1069</v>
      </c>
      <c r="C1413" s="397" t="s">
        <v>23</v>
      </c>
      <c r="D1413" s="562"/>
      <c r="E1413" s="398"/>
      <c r="F1413" s="398"/>
      <c r="G1413" s="398">
        <f t="shared" si="370"/>
        <v>0</v>
      </c>
      <c r="H1413" s="398">
        <f t="shared" si="371"/>
        <v>0</v>
      </c>
      <c r="I1413" s="399"/>
      <c r="J1413" s="411" t="s">
        <v>21</v>
      </c>
      <c r="K1413" s="575" t="s">
        <v>145</v>
      </c>
      <c r="L1413" s="411" t="s">
        <v>112</v>
      </c>
      <c r="M1413" s="411" t="s">
        <v>32</v>
      </c>
      <c r="N1413" s="460"/>
      <c r="P1413" s="417"/>
    </row>
    <row r="1414" spans="1:16" s="416" customFormat="1" ht="14" outlineLevel="5">
      <c r="A1414" s="405" t="s">
        <v>8</v>
      </c>
      <c r="B1414" s="564" t="s">
        <v>1070</v>
      </c>
      <c r="C1414" s="397" t="s">
        <v>23</v>
      </c>
      <c r="D1414" s="562"/>
      <c r="E1414" s="398"/>
      <c r="F1414" s="398"/>
      <c r="G1414" s="398">
        <f t="shared" si="370"/>
        <v>0</v>
      </c>
      <c r="H1414" s="398">
        <f t="shared" si="371"/>
        <v>0</v>
      </c>
      <c r="I1414" s="399"/>
      <c r="J1414" s="411" t="s">
        <v>21</v>
      </c>
      <c r="K1414" s="575" t="s">
        <v>145</v>
      </c>
      <c r="L1414" s="411" t="s">
        <v>112</v>
      </c>
      <c r="M1414" s="411" t="s">
        <v>32</v>
      </c>
      <c r="N1414" s="460"/>
      <c r="P1414" s="417"/>
    </row>
    <row r="1415" spans="1:16" s="416" customFormat="1" ht="14" outlineLevel="5">
      <c r="A1415" s="400" t="s">
        <v>8</v>
      </c>
      <c r="B1415" s="563" t="s">
        <v>1077</v>
      </c>
      <c r="C1415" s="397" t="s">
        <v>166</v>
      </c>
      <c r="D1415" s="562"/>
      <c r="E1415" s="398"/>
      <c r="F1415" s="398"/>
      <c r="G1415" s="398">
        <f t="shared" si="370"/>
        <v>0</v>
      </c>
      <c r="H1415" s="398">
        <f t="shared" si="371"/>
        <v>0</v>
      </c>
      <c r="I1415" s="399"/>
      <c r="J1415" s="411" t="s">
        <v>21</v>
      </c>
      <c r="K1415" s="575" t="s">
        <v>145</v>
      </c>
      <c r="L1415" s="411" t="s">
        <v>112</v>
      </c>
      <c r="M1415" s="411" t="s">
        <v>32</v>
      </c>
      <c r="N1415" s="460"/>
      <c r="P1415" s="417"/>
    </row>
    <row r="1416" spans="1:16" s="416" customFormat="1" ht="14" outlineLevel="5">
      <c r="A1416" s="400" t="s">
        <v>8</v>
      </c>
      <c r="B1416" s="563" t="s">
        <v>1078</v>
      </c>
      <c r="C1416" s="397" t="s">
        <v>166</v>
      </c>
      <c r="D1416" s="562"/>
      <c r="E1416" s="398"/>
      <c r="F1416" s="398"/>
      <c r="G1416" s="398">
        <f t="shared" si="370"/>
        <v>0</v>
      </c>
      <c r="H1416" s="398">
        <f t="shared" si="371"/>
        <v>0</v>
      </c>
      <c r="I1416" s="399"/>
      <c r="J1416" s="411" t="s">
        <v>21</v>
      </c>
      <c r="K1416" s="575" t="s">
        <v>145</v>
      </c>
      <c r="L1416" s="411" t="s">
        <v>112</v>
      </c>
      <c r="M1416" s="411" t="s">
        <v>32</v>
      </c>
      <c r="N1416" s="460"/>
      <c r="P1416" s="417"/>
    </row>
    <row r="1417" spans="1:16" s="416" customFormat="1" ht="14" outlineLevel="5">
      <c r="A1417" s="405" t="s">
        <v>8</v>
      </c>
      <c r="B1417" s="564" t="s">
        <v>1040</v>
      </c>
      <c r="C1417" s="397" t="s">
        <v>166</v>
      </c>
      <c r="D1417" s="562"/>
      <c r="E1417" s="398"/>
      <c r="F1417" s="398"/>
      <c r="G1417" s="398">
        <f t="shared" si="370"/>
        <v>0</v>
      </c>
      <c r="H1417" s="398">
        <f t="shared" si="371"/>
        <v>0</v>
      </c>
      <c r="I1417" s="399"/>
      <c r="J1417" s="411" t="s">
        <v>21</v>
      </c>
      <c r="K1417" s="575" t="s">
        <v>145</v>
      </c>
      <c r="L1417" s="411" t="s">
        <v>112</v>
      </c>
      <c r="M1417" s="411" t="s">
        <v>32</v>
      </c>
      <c r="N1417" s="460"/>
      <c r="P1417" s="417"/>
    </row>
    <row r="1418" spans="1:16" s="416" customFormat="1" ht="14" outlineLevel="5">
      <c r="A1418" s="400" t="s">
        <v>8</v>
      </c>
      <c r="B1418" s="563" t="s">
        <v>1047</v>
      </c>
      <c r="C1418" s="397" t="s">
        <v>166</v>
      </c>
      <c r="D1418" s="562"/>
      <c r="E1418" s="398"/>
      <c r="F1418" s="398"/>
      <c r="G1418" s="398">
        <f t="shared" si="370"/>
        <v>0</v>
      </c>
      <c r="H1418" s="398">
        <f t="shared" si="371"/>
        <v>0</v>
      </c>
      <c r="I1418" s="399"/>
      <c r="J1418" s="411" t="s">
        <v>21</v>
      </c>
      <c r="K1418" s="575" t="s">
        <v>145</v>
      </c>
      <c r="L1418" s="411" t="s">
        <v>112</v>
      </c>
      <c r="M1418" s="411" t="s">
        <v>32</v>
      </c>
      <c r="N1418" s="460"/>
      <c r="P1418" s="417"/>
    </row>
    <row r="1419" spans="1:16" s="416" customFormat="1" ht="14" outlineLevel="5">
      <c r="A1419" s="400" t="s">
        <v>8</v>
      </c>
      <c r="B1419" s="563" t="s">
        <v>472</v>
      </c>
      <c r="C1419" s="397" t="s">
        <v>1064</v>
      </c>
      <c r="D1419" s="562"/>
      <c r="E1419" s="398"/>
      <c r="F1419" s="398"/>
      <c r="G1419" s="398">
        <f t="shared" si="370"/>
        <v>0</v>
      </c>
      <c r="H1419" s="398">
        <f t="shared" si="371"/>
        <v>0</v>
      </c>
      <c r="I1419" s="399"/>
      <c r="J1419" s="411" t="s">
        <v>21</v>
      </c>
      <c r="K1419" s="575" t="s">
        <v>145</v>
      </c>
      <c r="L1419" s="411" t="s">
        <v>112</v>
      </c>
      <c r="M1419" s="411" t="s">
        <v>32</v>
      </c>
      <c r="N1419" s="460"/>
      <c r="P1419" s="417"/>
    </row>
    <row r="1420" spans="1:16" s="416" customFormat="1" ht="14" outlineLevel="5">
      <c r="A1420" s="400" t="s">
        <v>8</v>
      </c>
      <c r="B1420" s="563" t="s">
        <v>474</v>
      </c>
      <c r="C1420" s="397" t="s">
        <v>1064</v>
      </c>
      <c r="D1420" s="562"/>
      <c r="E1420" s="398"/>
      <c r="F1420" s="398"/>
      <c r="G1420" s="398">
        <f t="shared" si="370"/>
        <v>0</v>
      </c>
      <c r="H1420" s="398">
        <f t="shared" si="371"/>
        <v>0</v>
      </c>
      <c r="I1420" s="399"/>
      <c r="J1420" s="411" t="s">
        <v>21</v>
      </c>
      <c r="K1420" s="575" t="s">
        <v>145</v>
      </c>
      <c r="L1420" s="411" t="s">
        <v>112</v>
      </c>
      <c r="M1420" s="411" t="s">
        <v>32</v>
      </c>
      <c r="N1420" s="460"/>
      <c r="P1420" s="417"/>
    </row>
    <row r="1421" spans="1:16" s="416" customFormat="1" ht="14" outlineLevel="5">
      <c r="A1421" s="405" t="s">
        <v>8</v>
      </c>
      <c r="B1421" s="564" t="s">
        <v>1032</v>
      </c>
      <c r="C1421" s="397" t="s">
        <v>1064</v>
      </c>
      <c r="D1421" s="562"/>
      <c r="E1421" s="398"/>
      <c r="F1421" s="398"/>
      <c r="G1421" s="398">
        <f t="shared" si="370"/>
        <v>0</v>
      </c>
      <c r="H1421" s="398">
        <f t="shared" si="371"/>
        <v>0</v>
      </c>
      <c r="I1421" s="399"/>
      <c r="J1421" s="411" t="s">
        <v>21</v>
      </c>
      <c r="K1421" s="575" t="s">
        <v>145</v>
      </c>
      <c r="L1421" s="411" t="s">
        <v>112</v>
      </c>
      <c r="M1421" s="411" t="s">
        <v>32</v>
      </c>
      <c r="N1421" s="460"/>
      <c r="P1421" s="417"/>
    </row>
    <row r="1422" spans="1:16" s="413" customFormat="1" ht="13" customHeight="1" outlineLevel="4">
      <c r="A1422" s="388">
        <v>4.5</v>
      </c>
      <c r="B1422" s="532" t="s">
        <v>1079</v>
      </c>
      <c r="C1422" s="390"/>
      <c r="D1422" s="391"/>
      <c r="E1422" s="391"/>
      <c r="F1422" s="391"/>
      <c r="G1422" s="391">
        <f>SUBTOTAL(9,G1423:G1435)</f>
        <v>0</v>
      </c>
      <c r="H1422" s="391">
        <f>SUBTOTAL(9,H1423:H1435)</f>
        <v>0</v>
      </c>
      <c r="I1422" s="391"/>
      <c r="J1422" s="410"/>
      <c r="K1422" s="411"/>
      <c r="L1422" s="411"/>
      <c r="M1422" s="412"/>
      <c r="N1422" s="412"/>
      <c r="P1422" s="414"/>
    </row>
    <row r="1423" spans="1:16" s="416" customFormat="1" ht="14" outlineLevel="5">
      <c r="A1423" s="405" t="s">
        <v>8</v>
      </c>
      <c r="B1423" s="564" t="s">
        <v>1075</v>
      </c>
      <c r="C1423" s="397" t="s">
        <v>1063</v>
      </c>
      <c r="D1423" s="398"/>
      <c r="E1423" s="398"/>
      <c r="F1423" s="398"/>
      <c r="G1423" s="398">
        <f t="shared" ref="G1423:G1435" si="372">F1423*D1423</f>
        <v>0</v>
      </c>
      <c r="H1423" s="398">
        <f t="shared" ref="H1423:H1435" si="373">F1423*E1423</f>
        <v>0</v>
      </c>
      <c r="I1423" s="399"/>
      <c r="J1423" s="411" t="s">
        <v>21</v>
      </c>
      <c r="K1423" s="575" t="s">
        <v>145</v>
      </c>
      <c r="L1423" s="411" t="s">
        <v>112</v>
      </c>
      <c r="M1423" s="411" t="s">
        <v>32</v>
      </c>
      <c r="N1423" s="460"/>
      <c r="P1423" s="417"/>
    </row>
    <row r="1424" spans="1:16" s="416" customFormat="1" ht="14" outlineLevel="5">
      <c r="A1424" s="405" t="s">
        <v>8</v>
      </c>
      <c r="B1424" s="564" t="s">
        <v>1080</v>
      </c>
      <c r="C1424" s="397" t="s">
        <v>23</v>
      </c>
      <c r="D1424" s="398"/>
      <c r="E1424" s="398"/>
      <c r="F1424" s="398"/>
      <c r="G1424" s="398">
        <f t="shared" si="372"/>
        <v>0</v>
      </c>
      <c r="H1424" s="398">
        <f t="shared" si="373"/>
        <v>0</v>
      </c>
      <c r="I1424" s="399"/>
      <c r="J1424" s="411" t="s">
        <v>21</v>
      </c>
      <c r="K1424" s="575" t="s">
        <v>145</v>
      </c>
      <c r="L1424" s="411" t="s">
        <v>112</v>
      </c>
      <c r="M1424" s="411" t="s">
        <v>32</v>
      </c>
      <c r="N1424" s="460"/>
      <c r="P1424" s="417"/>
    </row>
    <row r="1425" spans="1:16" s="416" customFormat="1" ht="14" outlineLevel="5">
      <c r="A1425" s="400" t="s">
        <v>8</v>
      </c>
      <c r="B1425" s="563" t="s">
        <v>1081</v>
      </c>
      <c r="C1425" s="397" t="s">
        <v>23</v>
      </c>
      <c r="D1425" s="398"/>
      <c r="E1425" s="398"/>
      <c r="F1425" s="398"/>
      <c r="G1425" s="398">
        <f t="shared" si="372"/>
        <v>0</v>
      </c>
      <c r="H1425" s="398">
        <f t="shared" si="373"/>
        <v>0</v>
      </c>
      <c r="I1425" s="399"/>
      <c r="J1425" s="411" t="s">
        <v>21</v>
      </c>
      <c r="K1425" s="575" t="s">
        <v>145</v>
      </c>
      <c r="L1425" s="411" t="s">
        <v>112</v>
      </c>
      <c r="M1425" s="411" t="s">
        <v>32</v>
      </c>
      <c r="N1425" s="460"/>
      <c r="P1425" s="417"/>
    </row>
    <row r="1426" spans="1:16" s="416" customFormat="1" ht="14" outlineLevel="5">
      <c r="A1426" s="400" t="s">
        <v>8</v>
      </c>
      <c r="B1426" s="563" t="s">
        <v>1082</v>
      </c>
      <c r="C1426" s="397" t="s">
        <v>23</v>
      </c>
      <c r="D1426" s="398"/>
      <c r="E1426" s="398"/>
      <c r="F1426" s="398"/>
      <c r="G1426" s="398">
        <f t="shared" si="372"/>
        <v>0</v>
      </c>
      <c r="H1426" s="398">
        <f t="shared" si="373"/>
        <v>0</v>
      </c>
      <c r="I1426" s="399"/>
      <c r="J1426" s="411" t="s">
        <v>21</v>
      </c>
      <c r="K1426" s="575" t="s">
        <v>145</v>
      </c>
      <c r="L1426" s="411" t="s">
        <v>112</v>
      </c>
      <c r="M1426" s="411" t="s">
        <v>32</v>
      </c>
      <c r="N1426" s="460"/>
      <c r="P1426" s="417"/>
    </row>
    <row r="1427" spans="1:16" s="416" customFormat="1" ht="14" outlineLevel="5">
      <c r="A1427" s="405" t="s">
        <v>8</v>
      </c>
      <c r="B1427" s="564" t="s">
        <v>1083</v>
      </c>
      <c r="C1427" s="397" t="s">
        <v>23</v>
      </c>
      <c r="D1427" s="398"/>
      <c r="E1427" s="398"/>
      <c r="F1427" s="398"/>
      <c r="G1427" s="398">
        <f t="shared" si="372"/>
        <v>0</v>
      </c>
      <c r="H1427" s="398">
        <f t="shared" si="373"/>
        <v>0</v>
      </c>
      <c r="I1427" s="399"/>
      <c r="J1427" s="411" t="s">
        <v>21</v>
      </c>
      <c r="K1427" s="575" t="s">
        <v>145</v>
      </c>
      <c r="L1427" s="411" t="s">
        <v>112</v>
      </c>
      <c r="M1427" s="411" t="s">
        <v>32</v>
      </c>
      <c r="N1427" s="460"/>
      <c r="P1427" s="417"/>
    </row>
    <row r="1428" spans="1:16" s="416" customFormat="1" ht="14" outlineLevel="5">
      <c r="A1428" s="405" t="s">
        <v>8</v>
      </c>
      <c r="B1428" s="564" t="s">
        <v>1076</v>
      </c>
      <c r="C1428" s="397" t="s">
        <v>23</v>
      </c>
      <c r="D1428" s="398"/>
      <c r="E1428" s="398"/>
      <c r="F1428" s="398"/>
      <c r="G1428" s="398">
        <f t="shared" si="372"/>
        <v>0</v>
      </c>
      <c r="H1428" s="398">
        <f t="shared" si="373"/>
        <v>0</v>
      </c>
      <c r="I1428" s="399"/>
      <c r="J1428" s="411" t="s">
        <v>21</v>
      </c>
      <c r="K1428" s="575" t="s">
        <v>145</v>
      </c>
      <c r="L1428" s="411" t="s">
        <v>112</v>
      </c>
      <c r="M1428" s="411" t="s">
        <v>32</v>
      </c>
      <c r="N1428" s="460"/>
      <c r="P1428" s="417"/>
    </row>
    <row r="1429" spans="1:16" s="416" customFormat="1" ht="14" outlineLevel="5">
      <c r="A1429" s="400" t="s">
        <v>8</v>
      </c>
      <c r="B1429" s="563" t="s">
        <v>1077</v>
      </c>
      <c r="C1429" s="397" t="s">
        <v>166</v>
      </c>
      <c r="D1429" s="398"/>
      <c r="E1429" s="398"/>
      <c r="F1429" s="398"/>
      <c r="G1429" s="398">
        <f t="shared" si="372"/>
        <v>0</v>
      </c>
      <c r="H1429" s="398">
        <f t="shared" si="373"/>
        <v>0</v>
      </c>
      <c r="I1429" s="399"/>
      <c r="J1429" s="411" t="s">
        <v>21</v>
      </c>
      <c r="K1429" s="575" t="s">
        <v>145</v>
      </c>
      <c r="L1429" s="411" t="s">
        <v>112</v>
      </c>
      <c r="M1429" s="411" t="s">
        <v>32</v>
      </c>
      <c r="N1429" s="460"/>
      <c r="P1429" s="417"/>
    </row>
    <row r="1430" spans="1:16" s="416" customFormat="1" ht="14" outlineLevel="5">
      <c r="A1430" s="400" t="s">
        <v>8</v>
      </c>
      <c r="B1430" s="563" t="s">
        <v>1078</v>
      </c>
      <c r="C1430" s="397" t="s">
        <v>166</v>
      </c>
      <c r="D1430" s="398"/>
      <c r="E1430" s="398"/>
      <c r="F1430" s="398"/>
      <c r="G1430" s="398">
        <f t="shared" si="372"/>
        <v>0</v>
      </c>
      <c r="H1430" s="398">
        <f t="shared" si="373"/>
        <v>0</v>
      </c>
      <c r="I1430" s="399"/>
      <c r="J1430" s="411" t="s">
        <v>21</v>
      </c>
      <c r="K1430" s="575" t="s">
        <v>145</v>
      </c>
      <c r="L1430" s="411" t="s">
        <v>112</v>
      </c>
      <c r="M1430" s="411" t="s">
        <v>32</v>
      </c>
      <c r="N1430" s="460"/>
      <c r="P1430" s="417"/>
    </row>
    <row r="1431" spans="1:16" s="416" customFormat="1" ht="14" outlineLevel="5">
      <c r="A1431" s="405" t="s">
        <v>8</v>
      </c>
      <c r="B1431" s="564" t="s">
        <v>1040</v>
      </c>
      <c r="C1431" s="397" t="s">
        <v>166</v>
      </c>
      <c r="D1431" s="398"/>
      <c r="E1431" s="398"/>
      <c r="F1431" s="398"/>
      <c r="G1431" s="398">
        <f t="shared" si="372"/>
        <v>0</v>
      </c>
      <c r="H1431" s="398">
        <f t="shared" si="373"/>
        <v>0</v>
      </c>
      <c r="I1431" s="399"/>
      <c r="J1431" s="411" t="s">
        <v>21</v>
      </c>
      <c r="K1431" s="575" t="s">
        <v>145</v>
      </c>
      <c r="L1431" s="411" t="s">
        <v>112</v>
      </c>
      <c r="M1431" s="411" t="s">
        <v>32</v>
      </c>
      <c r="N1431" s="460"/>
      <c r="P1431" s="417"/>
    </row>
    <row r="1432" spans="1:16" s="416" customFormat="1" ht="14" outlineLevel="5">
      <c r="A1432" s="400" t="s">
        <v>8</v>
      </c>
      <c r="B1432" s="563" t="s">
        <v>1047</v>
      </c>
      <c r="C1432" s="397" t="s">
        <v>166</v>
      </c>
      <c r="D1432" s="398"/>
      <c r="E1432" s="398"/>
      <c r="F1432" s="398"/>
      <c r="G1432" s="398">
        <f t="shared" si="372"/>
        <v>0</v>
      </c>
      <c r="H1432" s="398">
        <f t="shared" si="373"/>
        <v>0</v>
      </c>
      <c r="I1432" s="399"/>
      <c r="J1432" s="411" t="s">
        <v>21</v>
      </c>
      <c r="K1432" s="575" t="s">
        <v>145</v>
      </c>
      <c r="L1432" s="411" t="s">
        <v>112</v>
      </c>
      <c r="M1432" s="411" t="s">
        <v>32</v>
      </c>
      <c r="N1432" s="460"/>
      <c r="P1432" s="417"/>
    </row>
    <row r="1433" spans="1:16" s="416" customFormat="1" ht="14" outlineLevel="5">
      <c r="A1433" s="400" t="s">
        <v>8</v>
      </c>
      <c r="B1433" s="563" t="s">
        <v>472</v>
      </c>
      <c r="C1433" s="397" t="s">
        <v>1064</v>
      </c>
      <c r="D1433" s="398"/>
      <c r="E1433" s="398"/>
      <c r="F1433" s="398"/>
      <c r="G1433" s="398">
        <f t="shared" si="372"/>
        <v>0</v>
      </c>
      <c r="H1433" s="398">
        <f t="shared" si="373"/>
        <v>0</v>
      </c>
      <c r="I1433" s="399"/>
      <c r="J1433" s="411" t="s">
        <v>21</v>
      </c>
      <c r="K1433" s="575" t="s">
        <v>145</v>
      </c>
      <c r="L1433" s="411" t="s">
        <v>112</v>
      </c>
      <c r="M1433" s="411" t="s">
        <v>32</v>
      </c>
      <c r="N1433" s="460"/>
      <c r="P1433" s="417"/>
    </row>
    <row r="1434" spans="1:16" s="416" customFormat="1" ht="14" outlineLevel="5">
      <c r="A1434" s="400" t="s">
        <v>8</v>
      </c>
      <c r="B1434" s="563" t="s">
        <v>474</v>
      </c>
      <c r="C1434" s="397" t="s">
        <v>1064</v>
      </c>
      <c r="D1434" s="398"/>
      <c r="E1434" s="398"/>
      <c r="F1434" s="398"/>
      <c r="G1434" s="398">
        <f t="shared" si="372"/>
        <v>0</v>
      </c>
      <c r="H1434" s="398">
        <f t="shared" si="373"/>
        <v>0</v>
      </c>
      <c r="I1434" s="399"/>
      <c r="J1434" s="411" t="s">
        <v>21</v>
      </c>
      <c r="K1434" s="575" t="s">
        <v>145</v>
      </c>
      <c r="L1434" s="411" t="s">
        <v>112</v>
      </c>
      <c r="M1434" s="411" t="s">
        <v>32</v>
      </c>
      <c r="N1434" s="460"/>
      <c r="P1434" s="417"/>
    </row>
    <row r="1435" spans="1:16" s="416" customFormat="1" ht="14" outlineLevel="5">
      <c r="A1435" s="405" t="s">
        <v>8</v>
      </c>
      <c r="B1435" s="564" t="s">
        <v>1032</v>
      </c>
      <c r="C1435" s="397" t="s">
        <v>1064</v>
      </c>
      <c r="D1435" s="398"/>
      <c r="E1435" s="398"/>
      <c r="F1435" s="398"/>
      <c r="G1435" s="398">
        <f t="shared" si="372"/>
        <v>0</v>
      </c>
      <c r="H1435" s="398">
        <f t="shared" si="373"/>
        <v>0</v>
      </c>
      <c r="I1435" s="399"/>
      <c r="J1435" s="411" t="s">
        <v>21</v>
      </c>
      <c r="K1435" s="575" t="s">
        <v>145</v>
      </c>
      <c r="L1435" s="411" t="s">
        <v>112</v>
      </c>
      <c r="M1435" s="411" t="s">
        <v>32</v>
      </c>
      <c r="N1435" s="460"/>
      <c r="P1435" s="417"/>
    </row>
    <row r="1436" spans="1:16" s="413" customFormat="1" ht="13" customHeight="1" outlineLevel="4">
      <c r="A1436" s="388">
        <v>4.5999999999999996</v>
      </c>
      <c r="B1436" s="565" t="s">
        <v>1084</v>
      </c>
      <c r="C1436" s="390"/>
      <c r="D1436" s="391"/>
      <c r="E1436" s="391"/>
      <c r="F1436" s="391"/>
      <c r="G1436" s="391">
        <f>SUBTOTAL(9,G1437:G1443)</f>
        <v>0</v>
      </c>
      <c r="H1436" s="391">
        <f>SUBTOTAL(9,H1437:H1443)</f>
        <v>0</v>
      </c>
      <c r="I1436" s="391"/>
      <c r="J1436" s="410"/>
      <c r="K1436" s="411"/>
      <c r="L1436" s="411"/>
      <c r="M1436" s="412"/>
      <c r="N1436" s="412"/>
      <c r="P1436" s="414"/>
    </row>
    <row r="1437" spans="1:16" s="416" customFormat="1" ht="14" outlineLevel="5">
      <c r="A1437" s="405" t="s">
        <v>8</v>
      </c>
      <c r="B1437" s="564" t="s">
        <v>1085</v>
      </c>
      <c r="C1437" s="397" t="s">
        <v>1063</v>
      </c>
      <c r="D1437" s="398"/>
      <c r="E1437" s="398"/>
      <c r="F1437" s="398"/>
      <c r="G1437" s="398">
        <f t="shared" ref="G1437:G1443" si="374">F1437*D1437</f>
        <v>0</v>
      </c>
      <c r="H1437" s="398">
        <f t="shared" ref="H1437:H1443" si="375">F1437*E1437</f>
        <v>0</v>
      </c>
      <c r="I1437" s="399"/>
      <c r="J1437" s="411" t="s">
        <v>21</v>
      </c>
      <c r="K1437" s="575" t="s">
        <v>145</v>
      </c>
      <c r="L1437" s="411" t="s">
        <v>112</v>
      </c>
      <c r="M1437" s="411" t="s">
        <v>32</v>
      </c>
      <c r="N1437" s="460"/>
      <c r="P1437" s="417"/>
    </row>
    <row r="1438" spans="1:16" s="416" customFormat="1" ht="14" outlineLevel="5">
      <c r="A1438" s="405" t="s">
        <v>8</v>
      </c>
      <c r="B1438" s="564" t="s">
        <v>1077</v>
      </c>
      <c r="C1438" s="397" t="s">
        <v>166</v>
      </c>
      <c r="D1438" s="398"/>
      <c r="E1438" s="398"/>
      <c r="F1438" s="398"/>
      <c r="G1438" s="398">
        <f t="shared" si="374"/>
        <v>0</v>
      </c>
      <c r="H1438" s="398">
        <f t="shared" si="375"/>
        <v>0</v>
      </c>
      <c r="I1438" s="399"/>
      <c r="J1438" s="411" t="s">
        <v>21</v>
      </c>
      <c r="K1438" s="575" t="s">
        <v>145</v>
      </c>
      <c r="L1438" s="411" t="s">
        <v>112</v>
      </c>
      <c r="M1438" s="411" t="s">
        <v>32</v>
      </c>
      <c r="N1438" s="460"/>
      <c r="P1438" s="417"/>
    </row>
    <row r="1439" spans="1:16" s="416" customFormat="1" ht="14" outlineLevel="5">
      <c r="A1439" s="400" t="s">
        <v>8</v>
      </c>
      <c r="B1439" s="563" t="s">
        <v>1078</v>
      </c>
      <c r="C1439" s="397" t="s">
        <v>166</v>
      </c>
      <c r="D1439" s="398"/>
      <c r="E1439" s="398"/>
      <c r="F1439" s="398"/>
      <c r="G1439" s="398">
        <f t="shared" si="374"/>
        <v>0</v>
      </c>
      <c r="H1439" s="398">
        <f t="shared" si="375"/>
        <v>0</v>
      </c>
      <c r="I1439" s="399"/>
      <c r="J1439" s="411" t="s">
        <v>21</v>
      </c>
      <c r="K1439" s="575" t="s">
        <v>145</v>
      </c>
      <c r="L1439" s="411" t="s">
        <v>112</v>
      </c>
      <c r="M1439" s="411" t="s">
        <v>32</v>
      </c>
      <c r="N1439" s="460"/>
      <c r="P1439" s="417"/>
    </row>
    <row r="1440" spans="1:16" s="416" customFormat="1" ht="14" outlineLevel="5">
      <c r="A1440" s="400" t="s">
        <v>8</v>
      </c>
      <c r="B1440" s="563" t="s">
        <v>1040</v>
      </c>
      <c r="C1440" s="397" t="s">
        <v>166</v>
      </c>
      <c r="D1440" s="398"/>
      <c r="E1440" s="398"/>
      <c r="F1440" s="398"/>
      <c r="G1440" s="398">
        <f t="shared" si="374"/>
        <v>0</v>
      </c>
      <c r="H1440" s="398">
        <f t="shared" si="375"/>
        <v>0</v>
      </c>
      <c r="I1440" s="399"/>
      <c r="J1440" s="411" t="s">
        <v>21</v>
      </c>
      <c r="K1440" s="575" t="s">
        <v>145</v>
      </c>
      <c r="L1440" s="411" t="s">
        <v>112</v>
      </c>
      <c r="M1440" s="411" t="s">
        <v>32</v>
      </c>
      <c r="N1440" s="460"/>
      <c r="P1440" s="417"/>
    </row>
    <row r="1441" spans="1:16" s="416" customFormat="1" ht="14" outlineLevel="5">
      <c r="A1441" s="405" t="s">
        <v>8</v>
      </c>
      <c r="B1441" s="564" t="s">
        <v>472</v>
      </c>
      <c r="C1441" s="397" t="s">
        <v>166</v>
      </c>
      <c r="D1441" s="398"/>
      <c r="E1441" s="398"/>
      <c r="F1441" s="398"/>
      <c r="G1441" s="398">
        <f t="shared" si="374"/>
        <v>0</v>
      </c>
      <c r="H1441" s="398">
        <f t="shared" si="375"/>
        <v>0</v>
      </c>
      <c r="I1441" s="399"/>
      <c r="J1441" s="411" t="s">
        <v>21</v>
      </c>
      <c r="K1441" s="575" t="s">
        <v>145</v>
      </c>
      <c r="L1441" s="411" t="s">
        <v>112</v>
      </c>
      <c r="M1441" s="411" t="s">
        <v>32</v>
      </c>
      <c r="N1441" s="460"/>
      <c r="P1441" s="417"/>
    </row>
    <row r="1442" spans="1:16" s="416" customFormat="1" ht="14" outlineLevel="5">
      <c r="A1442" s="405" t="s">
        <v>8</v>
      </c>
      <c r="B1442" s="564" t="s">
        <v>474</v>
      </c>
      <c r="C1442" s="397" t="s">
        <v>166</v>
      </c>
      <c r="D1442" s="398"/>
      <c r="E1442" s="398"/>
      <c r="F1442" s="398"/>
      <c r="G1442" s="398">
        <f t="shared" si="374"/>
        <v>0</v>
      </c>
      <c r="H1442" s="398">
        <f t="shared" si="375"/>
        <v>0</v>
      </c>
      <c r="I1442" s="399"/>
      <c r="J1442" s="411" t="s">
        <v>21</v>
      </c>
      <c r="K1442" s="575" t="s">
        <v>145</v>
      </c>
      <c r="L1442" s="411" t="s">
        <v>112</v>
      </c>
      <c r="M1442" s="411" t="s">
        <v>32</v>
      </c>
      <c r="N1442" s="460"/>
      <c r="P1442" s="417"/>
    </row>
    <row r="1443" spans="1:16" s="416" customFormat="1" ht="14" outlineLevel="5">
      <c r="A1443" s="400" t="s">
        <v>8</v>
      </c>
      <c r="B1443" s="563" t="s">
        <v>1086</v>
      </c>
      <c r="C1443" s="397" t="s">
        <v>1064</v>
      </c>
      <c r="D1443" s="398"/>
      <c r="E1443" s="398"/>
      <c r="F1443" s="398"/>
      <c r="G1443" s="398">
        <f t="shared" si="374"/>
        <v>0</v>
      </c>
      <c r="H1443" s="398">
        <f t="shared" si="375"/>
        <v>0</v>
      </c>
      <c r="I1443" s="399"/>
      <c r="J1443" s="411" t="s">
        <v>21</v>
      </c>
      <c r="K1443" s="575" t="s">
        <v>145</v>
      </c>
      <c r="L1443" s="411" t="s">
        <v>112</v>
      </c>
      <c r="M1443" s="411" t="s">
        <v>32</v>
      </c>
      <c r="N1443" s="460"/>
      <c r="P1443" s="417"/>
    </row>
    <row r="1444" spans="1:16" s="413" customFormat="1" ht="13" customHeight="1" outlineLevel="4">
      <c r="A1444" s="388">
        <v>4.7</v>
      </c>
      <c r="B1444" s="565" t="s">
        <v>1087</v>
      </c>
      <c r="C1444" s="390"/>
      <c r="D1444" s="391"/>
      <c r="E1444" s="391"/>
      <c r="F1444" s="391"/>
      <c r="G1444" s="391">
        <f>SUBTOTAL(9,G1445:G1451)</f>
        <v>0</v>
      </c>
      <c r="H1444" s="391">
        <f>SUBTOTAL(9,H1445:H1451)</f>
        <v>0</v>
      </c>
      <c r="I1444" s="391"/>
      <c r="J1444" s="410"/>
      <c r="K1444" s="411"/>
      <c r="L1444" s="411"/>
      <c r="M1444" s="412"/>
      <c r="N1444" s="412"/>
      <c r="P1444" s="414"/>
    </row>
    <row r="1445" spans="1:16" s="416" customFormat="1" ht="14" outlineLevel="5">
      <c r="A1445" s="405" t="s">
        <v>8</v>
      </c>
      <c r="B1445" s="564" t="s">
        <v>1088</v>
      </c>
      <c r="C1445" s="397" t="s">
        <v>23</v>
      </c>
      <c r="D1445" s="398"/>
      <c r="E1445" s="398"/>
      <c r="F1445" s="398"/>
      <c r="G1445" s="398">
        <f t="shared" ref="G1445:G1451" si="376">F1445*D1445</f>
        <v>0</v>
      </c>
      <c r="H1445" s="398">
        <f t="shared" ref="H1445:H1451" si="377">F1445*E1445</f>
        <v>0</v>
      </c>
      <c r="I1445" s="399"/>
      <c r="J1445" s="411" t="s">
        <v>21</v>
      </c>
      <c r="K1445" s="575" t="s">
        <v>145</v>
      </c>
      <c r="L1445" s="411" t="s">
        <v>112</v>
      </c>
      <c r="M1445" s="411" t="s">
        <v>32</v>
      </c>
      <c r="N1445" s="460"/>
      <c r="P1445" s="417"/>
    </row>
    <row r="1446" spans="1:16" s="416" customFormat="1" ht="14" outlineLevel="5">
      <c r="A1446" s="405" t="s">
        <v>8</v>
      </c>
      <c r="B1446" s="564" t="s">
        <v>1069</v>
      </c>
      <c r="C1446" s="397" t="s">
        <v>23</v>
      </c>
      <c r="D1446" s="398"/>
      <c r="E1446" s="398"/>
      <c r="F1446" s="398"/>
      <c r="G1446" s="398">
        <f t="shared" si="376"/>
        <v>0</v>
      </c>
      <c r="H1446" s="398">
        <f t="shared" si="377"/>
        <v>0</v>
      </c>
      <c r="I1446" s="399"/>
      <c r="J1446" s="411" t="s">
        <v>21</v>
      </c>
      <c r="K1446" s="575" t="s">
        <v>145</v>
      </c>
      <c r="L1446" s="411" t="s">
        <v>112</v>
      </c>
      <c r="M1446" s="411" t="s">
        <v>32</v>
      </c>
      <c r="N1446" s="460"/>
      <c r="P1446" s="417"/>
    </row>
    <row r="1447" spans="1:16" s="416" customFormat="1" ht="14" outlineLevel="5">
      <c r="A1447" s="400" t="s">
        <v>8</v>
      </c>
      <c r="B1447" s="563" t="s">
        <v>1089</v>
      </c>
      <c r="C1447" s="397" t="s">
        <v>23</v>
      </c>
      <c r="D1447" s="398"/>
      <c r="E1447" s="398"/>
      <c r="F1447" s="398"/>
      <c r="G1447" s="398">
        <f t="shared" si="376"/>
        <v>0</v>
      </c>
      <c r="H1447" s="398">
        <f t="shared" si="377"/>
        <v>0</v>
      </c>
      <c r="I1447" s="399"/>
      <c r="J1447" s="411" t="s">
        <v>21</v>
      </c>
      <c r="K1447" s="575" t="s">
        <v>145</v>
      </c>
      <c r="L1447" s="411" t="s">
        <v>112</v>
      </c>
      <c r="M1447" s="411" t="s">
        <v>32</v>
      </c>
      <c r="N1447" s="460"/>
      <c r="P1447" s="417"/>
    </row>
    <row r="1448" spans="1:16" s="416" customFormat="1" ht="14" outlineLevel="5">
      <c r="A1448" s="400" t="s">
        <v>8</v>
      </c>
      <c r="B1448" s="563" t="s">
        <v>1035</v>
      </c>
      <c r="C1448" s="397" t="s">
        <v>166</v>
      </c>
      <c r="D1448" s="398"/>
      <c r="E1448" s="398"/>
      <c r="F1448" s="398"/>
      <c r="G1448" s="398">
        <f t="shared" si="376"/>
        <v>0</v>
      </c>
      <c r="H1448" s="398">
        <f t="shared" si="377"/>
        <v>0</v>
      </c>
      <c r="I1448" s="399"/>
      <c r="J1448" s="411" t="s">
        <v>21</v>
      </c>
      <c r="K1448" s="575" t="s">
        <v>145</v>
      </c>
      <c r="L1448" s="411" t="s">
        <v>112</v>
      </c>
      <c r="M1448" s="411" t="s">
        <v>32</v>
      </c>
      <c r="N1448" s="460"/>
      <c r="P1448" s="417"/>
    </row>
    <row r="1449" spans="1:16" s="416" customFormat="1" ht="14" outlineLevel="5">
      <c r="A1449" s="405" t="s">
        <v>8</v>
      </c>
      <c r="B1449" s="564" t="s">
        <v>1078</v>
      </c>
      <c r="C1449" s="397" t="s">
        <v>166</v>
      </c>
      <c r="D1449" s="398"/>
      <c r="E1449" s="398"/>
      <c r="F1449" s="398"/>
      <c r="G1449" s="398">
        <f t="shared" si="376"/>
        <v>0</v>
      </c>
      <c r="H1449" s="398">
        <f t="shared" si="377"/>
        <v>0</v>
      </c>
      <c r="I1449" s="399"/>
      <c r="J1449" s="411" t="s">
        <v>21</v>
      </c>
      <c r="K1449" s="575" t="s">
        <v>145</v>
      </c>
      <c r="L1449" s="411" t="s">
        <v>112</v>
      </c>
      <c r="M1449" s="411" t="s">
        <v>32</v>
      </c>
      <c r="N1449" s="460"/>
      <c r="P1449" s="417"/>
    </row>
    <row r="1450" spans="1:16" s="416" customFormat="1" ht="14" outlineLevel="5">
      <c r="A1450" s="405" t="s">
        <v>8</v>
      </c>
      <c r="B1450" s="564" t="s">
        <v>1040</v>
      </c>
      <c r="C1450" s="397" t="s">
        <v>166</v>
      </c>
      <c r="D1450" s="398"/>
      <c r="E1450" s="398"/>
      <c r="F1450" s="398"/>
      <c r="G1450" s="398">
        <f t="shared" si="376"/>
        <v>0</v>
      </c>
      <c r="H1450" s="398">
        <f t="shared" si="377"/>
        <v>0</v>
      </c>
      <c r="I1450" s="399"/>
      <c r="J1450" s="411" t="s">
        <v>21</v>
      </c>
      <c r="K1450" s="575" t="s">
        <v>145</v>
      </c>
      <c r="L1450" s="411" t="s">
        <v>112</v>
      </c>
      <c r="M1450" s="411" t="s">
        <v>32</v>
      </c>
      <c r="N1450" s="460"/>
      <c r="P1450" s="417"/>
    </row>
    <row r="1451" spans="1:16" s="416" customFormat="1" ht="14" outlineLevel="5">
      <c r="A1451" s="400" t="s">
        <v>8</v>
      </c>
      <c r="B1451" s="563" t="s">
        <v>1032</v>
      </c>
      <c r="C1451" s="397" t="s">
        <v>1064</v>
      </c>
      <c r="D1451" s="398"/>
      <c r="E1451" s="398"/>
      <c r="F1451" s="398"/>
      <c r="G1451" s="398">
        <f t="shared" si="376"/>
        <v>0</v>
      </c>
      <c r="H1451" s="398">
        <f t="shared" si="377"/>
        <v>0</v>
      </c>
      <c r="I1451" s="399"/>
      <c r="J1451" s="411" t="s">
        <v>21</v>
      </c>
      <c r="K1451" s="575" t="s">
        <v>145</v>
      </c>
      <c r="L1451" s="411" t="s">
        <v>112</v>
      </c>
      <c r="M1451" s="411" t="s">
        <v>32</v>
      </c>
      <c r="N1451" s="460"/>
      <c r="P1451" s="417"/>
    </row>
    <row r="1452" spans="1:16" s="413" customFormat="1" ht="13" customHeight="1" outlineLevel="4">
      <c r="A1452" s="388">
        <v>4.8</v>
      </c>
      <c r="B1452" s="565" t="s">
        <v>1090</v>
      </c>
      <c r="C1452" s="390"/>
      <c r="D1452" s="391"/>
      <c r="E1452" s="391"/>
      <c r="F1452" s="391"/>
      <c r="G1452" s="391">
        <f>SUBTOTAL(9,G1453:G1457)</f>
        <v>0</v>
      </c>
      <c r="H1452" s="391"/>
      <c r="I1452" s="391"/>
      <c r="J1452" s="410"/>
      <c r="K1452" s="411"/>
      <c r="L1452" s="411"/>
      <c r="M1452" s="412"/>
      <c r="N1452" s="412"/>
      <c r="P1452" s="414"/>
    </row>
    <row r="1453" spans="1:16" s="416" customFormat="1" ht="14" outlineLevel="5">
      <c r="A1453" s="405" t="s">
        <v>8</v>
      </c>
      <c r="B1453" s="564" t="s">
        <v>468</v>
      </c>
      <c r="C1453" s="397" t="s">
        <v>31</v>
      </c>
      <c r="D1453" s="562"/>
      <c r="E1453" s="398"/>
      <c r="F1453" s="398"/>
      <c r="G1453" s="398">
        <f t="shared" ref="G1453:G1457" si="378">F1453*D1453</f>
        <v>0</v>
      </c>
      <c r="H1453" s="398">
        <f t="shared" ref="H1453:H1457" si="379">F1453*E1453</f>
        <v>0</v>
      </c>
      <c r="I1453" s="399"/>
      <c r="J1453" s="411" t="s">
        <v>21</v>
      </c>
      <c r="K1453" s="575" t="s">
        <v>145</v>
      </c>
      <c r="L1453" s="411" t="s">
        <v>112</v>
      </c>
      <c r="M1453" s="411" t="s">
        <v>32</v>
      </c>
      <c r="N1453" s="460"/>
      <c r="P1453" s="417"/>
    </row>
    <row r="1454" spans="1:16" s="416" customFormat="1" ht="14" outlineLevel="5">
      <c r="A1454" s="405" t="s">
        <v>8</v>
      </c>
      <c r="B1454" s="564" t="s">
        <v>469</v>
      </c>
      <c r="C1454" s="397" t="s">
        <v>470</v>
      </c>
      <c r="D1454" s="562"/>
      <c r="E1454" s="398"/>
      <c r="F1454" s="398"/>
      <c r="G1454" s="398">
        <f t="shared" si="378"/>
        <v>0</v>
      </c>
      <c r="H1454" s="398">
        <f t="shared" si="379"/>
        <v>0</v>
      </c>
      <c r="I1454" s="399"/>
      <c r="J1454" s="411" t="s">
        <v>21</v>
      </c>
      <c r="K1454" s="575" t="s">
        <v>145</v>
      </c>
      <c r="L1454" s="411" t="s">
        <v>112</v>
      </c>
      <c r="M1454" s="411" t="s">
        <v>32</v>
      </c>
      <c r="N1454" s="460"/>
      <c r="P1454" s="417"/>
    </row>
    <row r="1455" spans="1:16" s="416" customFormat="1" ht="14" outlineLevel="5">
      <c r="A1455" s="400" t="s">
        <v>8</v>
      </c>
      <c r="B1455" s="563" t="s">
        <v>471</v>
      </c>
      <c r="C1455" s="397" t="s">
        <v>470</v>
      </c>
      <c r="D1455" s="562"/>
      <c r="E1455" s="398"/>
      <c r="F1455" s="398"/>
      <c r="G1455" s="398">
        <f t="shared" si="378"/>
        <v>0</v>
      </c>
      <c r="H1455" s="398">
        <f t="shared" si="379"/>
        <v>0</v>
      </c>
      <c r="I1455" s="399"/>
      <c r="J1455" s="411" t="s">
        <v>21</v>
      </c>
      <c r="K1455" s="575" t="s">
        <v>145</v>
      </c>
      <c r="L1455" s="411" t="s">
        <v>112</v>
      </c>
      <c r="M1455" s="411" t="s">
        <v>32</v>
      </c>
      <c r="N1455" s="460"/>
      <c r="P1455" s="417"/>
    </row>
    <row r="1456" spans="1:16" s="416" customFormat="1" ht="14" outlineLevel="5">
      <c r="A1456" s="400" t="s">
        <v>8</v>
      </c>
      <c r="B1456" s="563" t="s">
        <v>472</v>
      </c>
      <c r="C1456" s="397" t="s">
        <v>1064</v>
      </c>
      <c r="D1456" s="562"/>
      <c r="E1456" s="398"/>
      <c r="F1456" s="398"/>
      <c r="G1456" s="398">
        <f t="shared" si="378"/>
        <v>0</v>
      </c>
      <c r="H1456" s="398">
        <f t="shared" si="379"/>
        <v>0</v>
      </c>
      <c r="I1456" s="399"/>
      <c r="J1456" s="411" t="s">
        <v>21</v>
      </c>
      <c r="K1456" s="575" t="s">
        <v>145</v>
      </c>
      <c r="L1456" s="411" t="s">
        <v>112</v>
      </c>
      <c r="M1456" s="411" t="s">
        <v>32</v>
      </c>
      <c r="N1456" s="460"/>
      <c r="P1456" s="417"/>
    </row>
    <row r="1457" spans="1:16" s="416" customFormat="1" ht="14" outlineLevel="5">
      <c r="A1457" s="405" t="s">
        <v>8</v>
      </c>
      <c r="B1457" s="564" t="s">
        <v>474</v>
      </c>
      <c r="C1457" s="397" t="s">
        <v>1064</v>
      </c>
      <c r="D1457" s="562"/>
      <c r="E1457" s="398"/>
      <c r="F1457" s="398"/>
      <c r="G1457" s="398">
        <f t="shared" si="378"/>
        <v>0</v>
      </c>
      <c r="H1457" s="398">
        <f t="shared" si="379"/>
        <v>0</v>
      </c>
      <c r="I1457" s="399"/>
      <c r="J1457" s="411" t="s">
        <v>21</v>
      </c>
      <c r="K1457" s="575" t="s">
        <v>145</v>
      </c>
      <c r="L1457" s="411" t="s">
        <v>112</v>
      </c>
      <c r="M1457" s="411" t="s">
        <v>32</v>
      </c>
      <c r="N1457" s="460"/>
      <c r="P1457" s="417"/>
    </row>
    <row r="1458" spans="1:16" s="413" customFormat="1" ht="14" outlineLevel="1">
      <c r="A1458" s="388" t="s">
        <v>322</v>
      </c>
      <c r="B1458" s="350" t="s">
        <v>401</v>
      </c>
      <c r="C1458" s="390"/>
      <c r="D1458" s="391"/>
      <c r="E1458" s="391"/>
      <c r="F1458" s="391"/>
      <c r="G1458" s="391">
        <f>SUBTOTAL(9,G1459:G1632)</f>
        <v>231324</v>
      </c>
      <c r="H1458" s="391">
        <f>SUBTOTAL(9,H1459:H1632)</f>
        <v>104240</v>
      </c>
      <c r="I1458" s="391"/>
      <c r="J1458" s="410"/>
      <c r="K1458" s="411"/>
      <c r="L1458" s="411"/>
      <c r="M1458" s="412"/>
      <c r="N1458" s="412"/>
      <c r="P1458" s="414"/>
    </row>
    <row r="1459" spans="1:16" s="413" customFormat="1" ht="14" outlineLevel="1">
      <c r="A1459" s="388" t="s">
        <v>43</v>
      </c>
      <c r="B1459" s="350" t="s">
        <v>74</v>
      </c>
      <c r="C1459" s="390"/>
      <c r="D1459" s="391"/>
      <c r="E1459" s="391"/>
      <c r="F1459" s="391"/>
      <c r="G1459" s="391">
        <f>SUBTOTAL(9,G1460:G1496)</f>
        <v>91500</v>
      </c>
      <c r="H1459" s="391">
        <f>SUBTOTAL(9,H1460:H1496)</f>
        <v>70000</v>
      </c>
      <c r="I1459" s="391"/>
      <c r="J1459" s="410"/>
      <c r="K1459" s="411"/>
      <c r="L1459" s="411"/>
      <c r="M1459" s="411" t="s">
        <v>165</v>
      </c>
      <c r="N1459" s="412"/>
      <c r="P1459" s="710" t="s">
        <v>1451</v>
      </c>
    </row>
    <row r="1460" spans="1:16" s="413" customFormat="1" ht="14" outlineLevel="1">
      <c r="A1460" s="388">
        <v>1</v>
      </c>
      <c r="B1460" s="350" t="s">
        <v>935</v>
      </c>
      <c r="C1460" s="390"/>
      <c r="D1460" s="391"/>
      <c r="E1460" s="391"/>
      <c r="F1460" s="391"/>
      <c r="G1460" s="391"/>
      <c r="H1460" s="391"/>
      <c r="I1460" s="391"/>
      <c r="J1460" s="410"/>
      <c r="K1460" s="411"/>
      <c r="L1460" s="411"/>
      <c r="M1460" s="411" t="s">
        <v>165</v>
      </c>
      <c r="N1460" s="412"/>
      <c r="P1460" s="414"/>
    </row>
    <row r="1461" spans="1:16" s="416" customFormat="1" ht="14" outlineLevel="2">
      <c r="A1461" s="405">
        <v>1.1000000000000001</v>
      </c>
      <c r="B1461" s="577" t="s">
        <v>936</v>
      </c>
      <c r="C1461" s="397" t="s">
        <v>15</v>
      </c>
      <c r="D1461" s="398"/>
      <c r="E1461" s="398"/>
      <c r="F1461" s="398"/>
      <c r="G1461" s="398">
        <f t="shared" ref="G1461:G1467" si="380">F1461*D1461</f>
        <v>0</v>
      </c>
      <c r="H1461" s="398">
        <f t="shared" ref="H1461:H1467" si="381">F1461*E1461</f>
        <v>0</v>
      </c>
      <c r="I1461" s="399"/>
      <c r="J1461" s="411" t="s">
        <v>21</v>
      </c>
      <c r="K1461" s="411" t="s">
        <v>402</v>
      </c>
      <c r="L1461" s="411" t="s">
        <v>112</v>
      </c>
      <c r="M1461" s="411" t="s">
        <v>165</v>
      </c>
      <c r="N1461" s="411"/>
      <c r="P1461" s="417"/>
    </row>
    <row r="1462" spans="1:16" s="416" customFormat="1" ht="14" outlineLevel="2">
      <c r="A1462" s="405">
        <v>1.2</v>
      </c>
      <c r="B1462" s="415" t="s">
        <v>937</v>
      </c>
      <c r="C1462" s="397" t="s">
        <v>15</v>
      </c>
      <c r="D1462" s="398"/>
      <c r="E1462" s="398"/>
      <c r="F1462" s="398"/>
      <c r="G1462" s="398">
        <f t="shared" si="380"/>
        <v>0</v>
      </c>
      <c r="H1462" s="398">
        <f t="shared" si="381"/>
        <v>0</v>
      </c>
      <c r="I1462" s="399"/>
      <c r="J1462" s="411" t="s">
        <v>21</v>
      </c>
      <c r="K1462" s="411" t="s">
        <v>402</v>
      </c>
      <c r="L1462" s="411" t="s">
        <v>112</v>
      </c>
      <c r="M1462" s="411" t="s">
        <v>165</v>
      </c>
      <c r="N1462" s="411"/>
      <c r="P1462" s="417"/>
    </row>
    <row r="1463" spans="1:16" s="416" customFormat="1" ht="14" outlineLevel="2">
      <c r="A1463" s="405">
        <v>1.3</v>
      </c>
      <c r="B1463" s="415" t="s">
        <v>938</v>
      </c>
      <c r="C1463" s="397" t="s">
        <v>15</v>
      </c>
      <c r="D1463" s="398"/>
      <c r="E1463" s="398"/>
      <c r="F1463" s="398"/>
      <c r="G1463" s="398">
        <f t="shared" si="380"/>
        <v>0</v>
      </c>
      <c r="H1463" s="398">
        <f t="shared" si="381"/>
        <v>0</v>
      </c>
      <c r="I1463" s="399"/>
      <c r="J1463" s="411" t="s">
        <v>21</v>
      </c>
      <c r="K1463" s="411" t="s">
        <v>402</v>
      </c>
      <c r="L1463" s="411" t="s">
        <v>112</v>
      </c>
      <c r="M1463" s="411" t="s">
        <v>165</v>
      </c>
      <c r="N1463" s="411"/>
      <c r="P1463" s="417"/>
    </row>
    <row r="1464" spans="1:16" s="416" customFormat="1" ht="14" outlineLevel="2">
      <c r="A1464" s="405">
        <v>1.4</v>
      </c>
      <c r="B1464" s="415" t="s">
        <v>939</v>
      </c>
      <c r="C1464" s="397" t="s">
        <v>15</v>
      </c>
      <c r="D1464" s="398"/>
      <c r="E1464" s="398"/>
      <c r="F1464" s="398"/>
      <c r="G1464" s="398">
        <f t="shared" si="380"/>
        <v>0</v>
      </c>
      <c r="H1464" s="398">
        <f t="shared" si="381"/>
        <v>0</v>
      </c>
      <c r="I1464" s="399"/>
      <c r="J1464" s="411" t="s">
        <v>21</v>
      </c>
      <c r="K1464" s="411" t="s">
        <v>402</v>
      </c>
      <c r="L1464" s="411" t="s">
        <v>112</v>
      </c>
      <c r="M1464" s="411" t="s">
        <v>165</v>
      </c>
      <c r="N1464" s="411"/>
      <c r="P1464" s="417"/>
    </row>
    <row r="1465" spans="1:16" s="416" customFormat="1" ht="14" outlineLevel="2">
      <c r="A1465" s="405">
        <v>1.5</v>
      </c>
      <c r="B1465" s="577" t="s">
        <v>940</v>
      </c>
      <c r="C1465" s="397" t="s">
        <v>15</v>
      </c>
      <c r="D1465" s="398"/>
      <c r="E1465" s="398"/>
      <c r="F1465" s="398"/>
      <c r="G1465" s="398">
        <f t="shared" si="380"/>
        <v>0</v>
      </c>
      <c r="H1465" s="398">
        <f t="shared" si="381"/>
        <v>0</v>
      </c>
      <c r="I1465" s="399"/>
      <c r="J1465" s="411" t="s">
        <v>21</v>
      </c>
      <c r="K1465" s="411" t="s">
        <v>402</v>
      </c>
      <c r="L1465" s="411" t="s">
        <v>112</v>
      </c>
      <c r="M1465" s="411" t="s">
        <v>165</v>
      </c>
      <c r="N1465" s="411"/>
      <c r="P1465" s="417"/>
    </row>
    <row r="1466" spans="1:16" s="416" customFormat="1" ht="14" outlineLevel="2">
      <c r="A1466" s="405">
        <v>1.6</v>
      </c>
      <c r="B1466" s="415" t="s">
        <v>941</v>
      </c>
      <c r="C1466" s="397" t="s">
        <v>15</v>
      </c>
      <c r="D1466" s="398"/>
      <c r="E1466" s="398"/>
      <c r="F1466" s="398"/>
      <c r="G1466" s="398">
        <f t="shared" si="380"/>
        <v>0</v>
      </c>
      <c r="H1466" s="398">
        <f t="shared" si="381"/>
        <v>0</v>
      </c>
      <c r="I1466" s="399"/>
      <c r="J1466" s="411" t="s">
        <v>21</v>
      </c>
      <c r="K1466" s="411" t="s">
        <v>402</v>
      </c>
      <c r="L1466" s="411" t="s">
        <v>112</v>
      </c>
      <c r="M1466" s="411" t="s">
        <v>165</v>
      </c>
      <c r="N1466" s="411"/>
      <c r="P1466" s="417"/>
    </row>
    <row r="1467" spans="1:16" s="416" customFormat="1" ht="14" outlineLevel="2">
      <c r="A1467" s="405">
        <v>1.7</v>
      </c>
      <c r="B1467" s="415" t="s">
        <v>942</v>
      </c>
      <c r="C1467" s="397" t="s">
        <v>15</v>
      </c>
      <c r="D1467" s="398"/>
      <c r="E1467" s="398"/>
      <c r="F1467" s="398"/>
      <c r="G1467" s="398">
        <f t="shared" si="380"/>
        <v>0</v>
      </c>
      <c r="H1467" s="398">
        <f t="shared" si="381"/>
        <v>0</v>
      </c>
      <c r="I1467" s="399"/>
      <c r="J1467" s="411" t="s">
        <v>21</v>
      </c>
      <c r="K1467" s="411" t="s">
        <v>402</v>
      </c>
      <c r="L1467" s="411" t="s">
        <v>112</v>
      </c>
      <c r="M1467" s="411" t="s">
        <v>165</v>
      </c>
      <c r="N1467" s="411"/>
      <c r="P1467" s="417"/>
    </row>
    <row r="1468" spans="1:16" s="416" customFormat="1" ht="14" outlineLevel="2">
      <c r="A1468" s="405">
        <v>1.8</v>
      </c>
      <c r="B1468" s="577" t="s">
        <v>943</v>
      </c>
      <c r="C1468" s="397" t="s">
        <v>15</v>
      </c>
      <c r="D1468" s="398"/>
      <c r="E1468" s="398"/>
      <c r="F1468" s="398"/>
      <c r="G1468" s="398">
        <f t="shared" ref="G1468:G1471" si="382">F1468*D1468</f>
        <v>0</v>
      </c>
      <c r="H1468" s="398">
        <f t="shared" ref="H1468:H1471" si="383">F1468*E1468</f>
        <v>0</v>
      </c>
      <c r="I1468" s="399"/>
      <c r="J1468" s="411" t="s">
        <v>21</v>
      </c>
      <c r="K1468" s="411" t="s">
        <v>402</v>
      </c>
      <c r="L1468" s="411" t="s">
        <v>112</v>
      </c>
      <c r="M1468" s="411" t="s">
        <v>165</v>
      </c>
      <c r="N1468" s="411"/>
      <c r="P1468" s="417"/>
    </row>
    <row r="1469" spans="1:16" s="416" customFormat="1" ht="14" outlineLevel="2">
      <c r="A1469" s="405">
        <v>1.9</v>
      </c>
      <c r="B1469" s="415" t="s">
        <v>944</v>
      </c>
      <c r="C1469" s="397" t="s">
        <v>15</v>
      </c>
      <c r="D1469" s="398"/>
      <c r="E1469" s="398"/>
      <c r="F1469" s="398"/>
      <c r="G1469" s="398">
        <f t="shared" si="382"/>
        <v>0</v>
      </c>
      <c r="H1469" s="398">
        <f t="shared" si="383"/>
        <v>0</v>
      </c>
      <c r="I1469" s="399"/>
      <c r="J1469" s="411" t="s">
        <v>21</v>
      </c>
      <c r="K1469" s="411" t="s">
        <v>402</v>
      </c>
      <c r="L1469" s="411" t="s">
        <v>112</v>
      </c>
      <c r="M1469" s="411" t="s">
        <v>165</v>
      </c>
      <c r="N1469" s="411"/>
      <c r="P1469" s="417"/>
    </row>
    <row r="1470" spans="1:16" s="416" customFormat="1" ht="14" outlineLevel="2">
      <c r="A1470" s="578">
        <v>1.1000000000000001</v>
      </c>
      <c r="B1470" s="2" t="s">
        <v>1304</v>
      </c>
      <c r="C1470" s="397" t="s">
        <v>15</v>
      </c>
      <c r="D1470" s="398">
        <v>5</v>
      </c>
      <c r="E1470" s="398"/>
      <c r="F1470" s="398">
        <v>4300</v>
      </c>
      <c r="G1470" s="398">
        <f t="shared" si="382"/>
        <v>21500</v>
      </c>
      <c r="H1470" s="398">
        <f t="shared" si="383"/>
        <v>0</v>
      </c>
      <c r="I1470" s="399"/>
      <c r="J1470" s="411" t="s">
        <v>21</v>
      </c>
      <c r="K1470" s="411" t="s">
        <v>402</v>
      </c>
      <c r="L1470" s="411" t="s">
        <v>112</v>
      </c>
      <c r="M1470" s="411" t="s">
        <v>165</v>
      </c>
      <c r="N1470" s="411"/>
      <c r="P1470" s="417"/>
    </row>
    <row r="1471" spans="1:16" s="416" customFormat="1" ht="14" outlineLevel="2">
      <c r="A1471" s="405">
        <v>1.1100000000000001</v>
      </c>
      <c r="B1471" s="415" t="s">
        <v>945</v>
      </c>
      <c r="C1471" s="397" t="s">
        <v>15</v>
      </c>
      <c r="D1471" s="398"/>
      <c r="E1471" s="398"/>
      <c r="F1471" s="398"/>
      <c r="G1471" s="398">
        <f t="shared" si="382"/>
        <v>0</v>
      </c>
      <c r="H1471" s="398">
        <f t="shared" si="383"/>
        <v>0</v>
      </c>
      <c r="I1471" s="399"/>
      <c r="J1471" s="411" t="s">
        <v>21</v>
      </c>
      <c r="K1471" s="411" t="s">
        <v>402</v>
      </c>
      <c r="L1471" s="411" t="s">
        <v>112</v>
      </c>
      <c r="M1471" s="411" t="s">
        <v>165</v>
      </c>
      <c r="N1471" s="411"/>
      <c r="P1471" s="417"/>
    </row>
    <row r="1472" spans="1:16" s="416" customFormat="1" ht="14" outlineLevel="2">
      <c r="A1472" s="405">
        <v>1.1200000000000001</v>
      </c>
      <c r="B1472" s="577" t="s">
        <v>946</v>
      </c>
      <c r="C1472" s="397" t="s">
        <v>15</v>
      </c>
      <c r="D1472" s="398"/>
      <c r="E1472" s="398"/>
      <c r="F1472" s="398"/>
      <c r="G1472" s="398">
        <f t="shared" ref="G1472:G1473" si="384">F1472*D1472</f>
        <v>0</v>
      </c>
      <c r="H1472" s="398">
        <f t="shared" ref="H1472:H1473" si="385">F1472*E1472</f>
        <v>0</v>
      </c>
      <c r="I1472" s="399"/>
      <c r="J1472" s="411" t="s">
        <v>21</v>
      </c>
      <c r="K1472" s="411" t="s">
        <v>402</v>
      </c>
      <c r="L1472" s="411" t="s">
        <v>112</v>
      </c>
      <c r="M1472" s="411" t="s">
        <v>165</v>
      </c>
      <c r="N1472" s="411"/>
      <c r="P1472" s="417"/>
    </row>
    <row r="1473" spans="1:16" s="416" customFormat="1" ht="14" outlineLevel="2">
      <c r="A1473" s="405">
        <v>1.1299999999999999</v>
      </c>
      <c r="B1473" s="415" t="s">
        <v>947</v>
      </c>
      <c r="C1473" s="397" t="s">
        <v>15</v>
      </c>
      <c r="D1473" s="398"/>
      <c r="E1473" s="398"/>
      <c r="F1473" s="398"/>
      <c r="G1473" s="398">
        <f t="shared" si="384"/>
        <v>0</v>
      </c>
      <c r="H1473" s="398">
        <f t="shared" si="385"/>
        <v>0</v>
      </c>
      <c r="I1473" s="399"/>
      <c r="J1473" s="411" t="s">
        <v>21</v>
      </c>
      <c r="K1473" s="411" t="s">
        <v>402</v>
      </c>
      <c r="L1473" s="411" t="s">
        <v>112</v>
      </c>
      <c r="M1473" s="411" t="s">
        <v>165</v>
      </c>
      <c r="N1473" s="411"/>
      <c r="P1473" s="417"/>
    </row>
    <row r="1474" spans="1:16" s="413" customFormat="1" ht="14" outlineLevel="1">
      <c r="A1474" s="388">
        <v>2</v>
      </c>
      <c r="B1474" s="350" t="s">
        <v>948</v>
      </c>
      <c r="C1474" s="390"/>
      <c r="D1474" s="391"/>
      <c r="E1474" s="391"/>
      <c r="F1474" s="391"/>
      <c r="G1474" s="391"/>
      <c r="H1474" s="391"/>
      <c r="I1474" s="391"/>
      <c r="J1474" s="410"/>
      <c r="K1474" s="411"/>
      <c r="L1474" s="411"/>
      <c r="M1474" s="411" t="s">
        <v>165</v>
      </c>
      <c r="N1474" s="412"/>
      <c r="P1474" s="414"/>
    </row>
    <row r="1475" spans="1:16" s="416" customFormat="1" ht="14" outlineLevel="2">
      <c r="A1475" s="405">
        <v>1.1000000000000001</v>
      </c>
      <c r="B1475" s="577" t="s">
        <v>949</v>
      </c>
      <c r="C1475" s="397" t="s">
        <v>30</v>
      </c>
      <c r="D1475" s="398">
        <v>50</v>
      </c>
      <c r="E1475" s="398">
        <v>50</v>
      </c>
      <c r="F1475" s="398">
        <v>600</v>
      </c>
      <c r="G1475" s="398">
        <f t="shared" ref="G1475:G1479" si="386">F1475*D1475</f>
        <v>30000</v>
      </c>
      <c r="H1475" s="398">
        <f t="shared" ref="H1475:H1479" si="387">F1475*E1475</f>
        <v>30000</v>
      </c>
      <c r="I1475" s="399"/>
      <c r="J1475" s="411" t="s">
        <v>21</v>
      </c>
      <c r="K1475" s="411" t="s">
        <v>402</v>
      </c>
      <c r="L1475" s="411" t="s">
        <v>112</v>
      </c>
      <c r="M1475" s="411" t="s">
        <v>165</v>
      </c>
      <c r="N1475" s="411"/>
      <c r="P1475" s="417"/>
    </row>
    <row r="1476" spans="1:16" s="416" customFormat="1" ht="14" outlineLevel="2">
      <c r="A1476" s="405">
        <v>1.2</v>
      </c>
      <c r="B1476" s="415" t="s">
        <v>1305</v>
      </c>
      <c r="C1476" s="397" t="s">
        <v>30</v>
      </c>
      <c r="D1476" s="398">
        <v>50</v>
      </c>
      <c r="E1476" s="398">
        <v>50</v>
      </c>
      <c r="F1476" s="398">
        <v>800</v>
      </c>
      <c r="G1476" s="398">
        <f t="shared" si="386"/>
        <v>40000</v>
      </c>
      <c r="H1476" s="398">
        <f t="shared" si="387"/>
        <v>40000</v>
      </c>
      <c r="I1476" s="399"/>
      <c r="J1476" s="411" t="s">
        <v>21</v>
      </c>
      <c r="K1476" s="411" t="s">
        <v>402</v>
      </c>
      <c r="L1476" s="411" t="s">
        <v>112</v>
      </c>
      <c r="M1476" s="411" t="s">
        <v>165</v>
      </c>
      <c r="N1476" s="411"/>
      <c r="P1476" s="417"/>
    </row>
    <row r="1477" spans="1:16" s="416" customFormat="1" ht="14" outlineLevel="2">
      <c r="A1477" s="405">
        <v>1.3</v>
      </c>
      <c r="B1477" s="415" t="s">
        <v>951</v>
      </c>
      <c r="C1477" s="397" t="s">
        <v>30</v>
      </c>
      <c r="D1477" s="398"/>
      <c r="E1477" s="398"/>
      <c r="F1477" s="398"/>
      <c r="G1477" s="398">
        <f t="shared" si="386"/>
        <v>0</v>
      </c>
      <c r="H1477" s="398">
        <f t="shared" si="387"/>
        <v>0</v>
      </c>
      <c r="I1477" s="399"/>
      <c r="J1477" s="411" t="s">
        <v>21</v>
      </c>
      <c r="K1477" s="411" t="s">
        <v>402</v>
      </c>
      <c r="L1477" s="411" t="s">
        <v>112</v>
      </c>
      <c r="M1477" s="411" t="s">
        <v>165</v>
      </c>
      <c r="N1477" s="411"/>
      <c r="P1477" s="417"/>
    </row>
    <row r="1478" spans="1:16" s="416" customFormat="1" ht="14" outlineLevel="2">
      <c r="A1478" s="405">
        <v>1.4</v>
      </c>
      <c r="B1478" s="415" t="s">
        <v>952</v>
      </c>
      <c r="C1478" s="397" t="s">
        <v>36</v>
      </c>
      <c r="D1478" s="398"/>
      <c r="E1478" s="398"/>
      <c r="F1478" s="398"/>
      <c r="G1478" s="398">
        <f t="shared" si="386"/>
        <v>0</v>
      </c>
      <c r="H1478" s="398">
        <f t="shared" si="387"/>
        <v>0</v>
      </c>
      <c r="I1478" s="399"/>
      <c r="J1478" s="411" t="s">
        <v>21</v>
      </c>
      <c r="K1478" s="411" t="s">
        <v>402</v>
      </c>
      <c r="L1478" s="411" t="s">
        <v>112</v>
      </c>
      <c r="M1478" s="411" t="s">
        <v>165</v>
      </c>
      <c r="N1478" s="411"/>
      <c r="P1478" s="417"/>
    </row>
    <row r="1479" spans="1:16" s="416" customFormat="1" ht="14" outlineLevel="2">
      <c r="A1479" s="405">
        <v>1.5</v>
      </c>
      <c r="B1479" s="577" t="s">
        <v>953</v>
      </c>
      <c r="C1479" s="397" t="s">
        <v>36</v>
      </c>
      <c r="D1479" s="398"/>
      <c r="E1479" s="398"/>
      <c r="F1479" s="398"/>
      <c r="G1479" s="398">
        <f t="shared" si="386"/>
        <v>0</v>
      </c>
      <c r="H1479" s="398">
        <f t="shared" si="387"/>
        <v>0</v>
      </c>
      <c r="I1479" s="399"/>
      <c r="J1479" s="411" t="s">
        <v>21</v>
      </c>
      <c r="K1479" s="411" t="s">
        <v>402</v>
      </c>
      <c r="L1479" s="411" t="s">
        <v>112</v>
      </c>
      <c r="M1479" s="411" t="s">
        <v>165</v>
      </c>
      <c r="N1479" s="411"/>
      <c r="P1479" s="417"/>
    </row>
    <row r="1480" spans="1:16" s="413" customFormat="1" ht="14" outlineLevel="1">
      <c r="A1480" s="388">
        <v>1</v>
      </c>
      <c r="B1480" s="350" t="s">
        <v>112</v>
      </c>
      <c r="C1480" s="390"/>
      <c r="D1480" s="391"/>
      <c r="E1480" s="391"/>
      <c r="F1480" s="391"/>
      <c r="G1480" s="391"/>
      <c r="H1480" s="391"/>
      <c r="I1480" s="391"/>
      <c r="J1480" s="410"/>
      <c r="K1480" s="411"/>
      <c r="L1480" s="411"/>
      <c r="M1480" s="411" t="s">
        <v>165</v>
      </c>
      <c r="N1480" s="412"/>
      <c r="P1480" s="414"/>
    </row>
    <row r="1481" spans="1:16" s="416" customFormat="1" ht="14" outlineLevel="2">
      <c r="A1481" s="405">
        <v>1.1000000000000001</v>
      </c>
      <c r="B1481" s="577" t="s">
        <v>954</v>
      </c>
      <c r="C1481" s="397" t="s">
        <v>15</v>
      </c>
      <c r="D1481" s="398"/>
      <c r="E1481" s="398"/>
      <c r="F1481" s="398"/>
      <c r="G1481" s="398">
        <f t="shared" ref="G1481:G1493" si="388">F1481*D1481</f>
        <v>0</v>
      </c>
      <c r="H1481" s="398">
        <f t="shared" ref="H1481:H1493" si="389">F1481*E1481</f>
        <v>0</v>
      </c>
      <c r="I1481" s="399"/>
      <c r="J1481" s="411" t="s">
        <v>21</v>
      </c>
      <c r="K1481" s="411" t="s">
        <v>402</v>
      </c>
      <c r="L1481" s="411" t="s">
        <v>112</v>
      </c>
      <c r="M1481" s="411" t="s">
        <v>165</v>
      </c>
      <c r="N1481" s="411"/>
      <c r="P1481" s="417"/>
    </row>
    <row r="1482" spans="1:16" s="416" customFormat="1" ht="14" outlineLevel="2">
      <c r="A1482" s="405">
        <v>1.2</v>
      </c>
      <c r="B1482" s="415" t="s">
        <v>955</v>
      </c>
      <c r="C1482" s="397" t="s">
        <v>15</v>
      </c>
      <c r="D1482" s="398"/>
      <c r="E1482" s="398"/>
      <c r="F1482" s="398"/>
      <c r="G1482" s="398">
        <f t="shared" si="388"/>
        <v>0</v>
      </c>
      <c r="H1482" s="398">
        <f t="shared" si="389"/>
        <v>0</v>
      </c>
      <c r="I1482" s="399"/>
      <c r="J1482" s="411" t="s">
        <v>21</v>
      </c>
      <c r="K1482" s="411" t="s">
        <v>402</v>
      </c>
      <c r="L1482" s="411" t="s">
        <v>112</v>
      </c>
      <c r="M1482" s="411" t="s">
        <v>165</v>
      </c>
      <c r="N1482" s="411"/>
      <c r="P1482" s="417"/>
    </row>
    <row r="1483" spans="1:16" s="416" customFormat="1" ht="14" outlineLevel="2">
      <c r="A1483" s="405">
        <v>1.3</v>
      </c>
      <c r="B1483" s="415" t="s">
        <v>956</v>
      </c>
      <c r="C1483" s="397" t="s">
        <v>15</v>
      </c>
      <c r="D1483" s="398"/>
      <c r="E1483" s="398"/>
      <c r="F1483" s="398"/>
      <c r="G1483" s="398">
        <f t="shared" si="388"/>
        <v>0</v>
      </c>
      <c r="H1483" s="398">
        <f t="shared" si="389"/>
        <v>0</v>
      </c>
      <c r="I1483" s="399"/>
      <c r="J1483" s="411" t="s">
        <v>21</v>
      </c>
      <c r="K1483" s="411" t="s">
        <v>402</v>
      </c>
      <c r="L1483" s="411" t="s">
        <v>112</v>
      </c>
      <c r="M1483" s="411" t="s">
        <v>165</v>
      </c>
      <c r="N1483" s="411"/>
      <c r="P1483" s="417"/>
    </row>
    <row r="1484" spans="1:16" s="416" customFormat="1" ht="14" outlineLevel="2">
      <c r="A1484" s="405">
        <v>1.4</v>
      </c>
      <c r="B1484" s="415" t="s">
        <v>957</v>
      </c>
      <c r="C1484" s="397" t="s">
        <v>15</v>
      </c>
      <c r="D1484" s="398"/>
      <c r="E1484" s="398"/>
      <c r="F1484" s="398"/>
      <c r="G1484" s="398">
        <f t="shared" si="388"/>
        <v>0</v>
      </c>
      <c r="H1484" s="398">
        <f t="shared" si="389"/>
        <v>0</v>
      </c>
      <c r="I1484" s="399"/>
      <c r="J1484" s="411" t="s">
        <v>21</v>
      </c>
      <c r="K1484" s="411" t="s">
        <v>402</v>
      </c>
      <c r="L1484" s="411" t="s">
        <v>112</v>
      </c>
      <c r="M1484" s="411" t="s">
        <v>165</v>
      </c>
      <c r="N1484" s="411"/>
      <c r="P1484" s="417"/>
    </row>
    <row r="1485" spans="1:16" s="416" customFormat="1" ht="14" outlineLevel="2">
      <c r="A1485" s="405">
        <v>1.5</v>
      </c>
      <c r="B1485" s="577" t="s">
        <v>958</v>
      </c>
      <c r="C1485" s="397" t="s">
        <v>15</v>
      </c>
      <c r="D1485" s="398"/>
      <c r="E1485" s="398"/>
      <c r="F1485" s="398"/>
      <c r="G1485" s="398">
        <f t="shared" si="388"/>
        <v>0</v>
      </c>
      <c r="H1485" s="398">
        <f t="shared" si="389"/>
        <v>0</v>
      </c>
      <c r="I1485" s="399"/>
      <c r="J1485" s="411" t="s">
        <v>21</v>
      </c>
      <c r="K1485" s="411" t="s">
        <v>402</v>
      </c>
      <c r="L1485" s="411" t="s">
        <v>112</v>
      </c>
      <c r="M1485" s="411" t="s">
        <v>165</v>
      </c>
      <c r="N1485" s="411"/>
      <c r="P1485" s="417"/>
    </row>
    <row r="1486" spans="1:16" s="416" customFormat="1" ht="14" outlineLevel="2">
      <c r="A1486" s="405">
        <v>1.6</v>
      </c>
      <c r="B1486" s="415" t="s">
        <v>959</v>
      </c>
      <c r="C1486" s="397" t="s">
        <v>15</v>
      </c>
      <c r="D1486" s="398"/>
      <c r="E1486" s="398"/>
      <c r="F1486" s="398"/>
      <c r="G1486" s="398">
        <f t="shared" si="388"/>
        <v>0</v>
      </c>
      <c r="H1486" s="398">
        <f t="shared" si="389"/>
        <v>0</v>
      </c>
      <c r="I1486" s="399"/>
      <c r="J1486" s="411" t="s">
        <v>21</v>
      </c>
      <c r="K1486" s="411" t="s">
        <v>402</v>
      </c>
      <c r="L1486" s="411" t="s">
        <v>112</v>
      </c>
      <c r="M1486" s="411" t="s">
        <v>165</v>
      </c>
      <c r="N1486" s="411"/>
      <c r="P1486" s="417"/>
    </row>
    <row r="1487" spans="1:16" s="416" customFormat="1" ht="14" outlineLevel="2">
      <c r="A1487" s="405">
        <v>1.7</v>
      </c>
      <c r="B1487" s="415" t="s">
        <v>960</v>
      </c>
      <c r="C1487" s="397" t="s">
        <v>15</v>
      </c>
      <c r="D1487" s="398"/>
      <c r="E1487" s="398"/>
      <c r="F1487" s="398"/>
      <c r="G1487" s="398">
        <f t="shared" si="388"/>
        <v>0</v>
      </c>
      <c r="H1487" s="398">
        <f t="shared" si="389"/>
        <v>0</v>
      </c>
      <c r="I1487" s="399"/>
      <c r="J1487" s="411" t="s">
        <v>21</v>
      </c>
      <c r="K1487" s="411" t="s">
        <v>402</v>
      </c>
      <c r="L1487" s="411" t="s">
        <v>112</v>
      </c>
      <c r="M1487" s="411" t="s">
        <v>165</v>
      </c>
      <c r="N1487" s="411"/>
      <c r="P1487" s="417"/>
    </row>
    <row r="1488" spans="1:16" s="416" customFormat="1" ht="14" outlineLevel="2">
      <c r="A1488" s="405">
        <v>1.8</v>
      </c>
      <c r="B1488" s="577" t="s">
        <v>961</v>
      </c>
      <c r="C1488" s="397" t="s">
        <v>15</v>
      </c>
      <c r="D1488" s="398"/>
      <c r="E1488" s="398"/>
      <c r="F1488" s="398"/>
      <c r="G1488" s="398">
        <f t="shared" si="388"/>
        <v>0</v>
      </c>
      <c r="H1488" s="398">
        <f t="shared" si="389"/>
        <v>0</v>
      </c>
      <c r="I1488" s="399"/>
      <c r="J1488" s="411" t="s">
        <v>21</v>
      </c>
      <c r="K1488" s="411" t="s">
        <v>402</v>
      </c>
      <c r="L1488" s="411" t="s">
        <v>112</v>
      </c>
      <c r="M1488" s="411" t="s">
        <v>165</v>
      </c>
      <c r="N1488" s="411"/>
      <c r="P1488" s="417"/>
    </row>
    <row r="1489" spans="1:16" s="416" customFormat="1" ht="14" outlineLevel="2">
      <c r="A1489" s="405">
        <v>1.9</v>
      </c>
      <c r="B1489" s="415" t="s">
        <v>962</v>
      </c>
      <c r="C1489" s="397" t="s">
        <v>36</v>
      </c>
      <c r="D1489" s="398"/>
      <c r="E1489" s="398"/>
      <c r="F1489" s="398"/>
      <c r="G1489" s="398">
        <f t="shared" si="388"/>
        <v>0</v>
      </c>
      <c r="H1489" s="398">
        <f t="shared" si="389"/>
        <v>0</v>
      </c>
      <c r="I1489" s="399"/>
      <c r="J1489" s="411" t="s">
        <v>21</v>
      </c>
      <c r="K1489" s="411" t="s">
        <v>402</v>
      </c>
      <c r="L1489" s="411" t="s">
        <v>112</v>
      </c>
      <c r="M1489" s="411" t="s">
        <v>165</v>
      </c>
      <c r="N1489" s="411"/>
      <c r="P1489" s="417"/>
    </row>
    <row r="1490" spans="1:16" s="416" customFormat="1" ht="14" outlineLevel="2">
      <c r="A1490" s="578">
        <v>1.1000000000000001</v>
      </c>
      <c r="B1490" s="415" t="s">
        <v>963</v>
      </c>
      <c r="C1490" s="397" t="s">
        <v>15</v>
      </c>
      <c r="D1490" s="398"/>
      <c r="E1490" s="398"/>
      <c r="F1490" s="398"/>
      <c r="G1490" s="398">
        <f t="shared" si="388"/>
        <v>0</v>
      </c>
      <c r="H1490" s="398">
        <f t="shared" si="389"/>
        <v>0</v>
      </c>
      <c r="I1490" s="399"/>
      <c r="J1490" s="411" t="s">
        <v>21</v>
      </c>
      <c r="K1490" s="411" t="s">
        <v>402</v>
      </c>
      <c r="L1490" s="411" t="s">
        <v>112</v>
      </c>
      <c r="M1490" s="411" t="s">
        <v>165</v>
      </c>
      <c r="N1490" s="411"/>
      <c r="P1490" s="417"/>
    </row>
    <row r="1491" spans="1:16" s="416" customFormat="1" ht="14" outlineLevel="2">
      <c r="A1491" s="405">
        <v>1.1100000000000001</v>
      </c>
      <c r="B1491" s="415" t="s">
        <v>964</v>
      </c>
      <c r="C1491" s="397" t="s">
        <v>15</v>
      </c>
      <c r="D1491" s="398"/>
      <c r="E1491" s="398"/>
      <c r="F1491" s="398"/>
      <c r="G1491" s="398">
        <f t="shared" si="388"/>
        <v>0</v>
      </c>
      <c r="H1491" s="398">
        <f t="shared" si="389"/>
        <v>0</v>
      </c>
      <c r="I1491" s="399"/>
      <c r="J1491" s="411" t="s">
        <v>21</v>
      </c>
      <c r="K1491" s="411" t="s">
        <v>402</v>
      </c>
      <c r="L1491" s="411" t="s">
        <v>112</v>
      </c>
      <c r="M1491" s="411" t="s">
        <v>165</v>
      </c>
      <c r="N1491" s="411"/>
      <c r="P1491" s="417"/>
    </row>
    <row r="1492" spans="1:16" s="416" customFormat="1" ht="14" outlineLevel="2">
      <c r="A1492" s="405">
        <v>1.1200000000000001</v>
      </c>
      <c r="B1492" s="577" t="s">
        <v>965</v>
      </c>
      <c r="C1492" s="397" t="s">
        <v>15</v>
      </c>
      <c r="D1492" s="398"/>
      <c r="E1492" s="398"/>
      <c r="F1492" s="398"/>
      <c r="G1492" s="398">
        <f t="shared" si="388"/>
        <v>0</v>
      </c>
      <c r="H1492" s="398">
        <f t="shared" si="389"/>
        <v>0</v>
      </c>
      <c r="I1492" s="399"/>
      <c r="J1492" s="411" t="s">
        <v>21</v>
      </c>
      <c r="K1492" s="411" t="s">
        <v>402</v>
      </c>
      <c r="L1492" s="411" t="s">
        <v>112</v>
      </c>
      <c r="M1492" s="411" t="s">
        <v>165</v>
      </c>
      <c r="N1492" s="411"/>
      <c r="P1492" s="417"/>
    </row>
    <row r="1493" spans="1:16" s="416" customFormat="1" ht="14" outlineLevel="2">
      <c r="A1493" s="405">
        <v>1.1299999999999999</v>
      </c>
      <c r="B1493" s="415" t="s">
        <v>966</v>
      </c>
      <c r="C1493" s="397" t="s">
        <v>970</v>
      </c>
      <c r="D1493" s="398"/>
      <c r="E1493" s="398"/>
      <c r="F1493" s="398"/>
      <c r="G1493" s="398">
        <f t="shared" si="388"/>
        <v>0</v>
      </c>
      <c r="H1493" s="398">
        <f t="shared" si="389"/>
        <v>0</v>
      </c>
      <c r="I1493" s="399"/>
      <c r="J1493" s="411" t="s">
        <v>21</v>
      </c>
      <c r="K1493" s="411" t="s">
        <v>402</v>
      </c>
      <c r="L1493" s="411" t="s">
        <v>112</v>
      </c>
      <c r="M1493" s="411" t="s">
        <v>165</v>
      </c>
      <c r="N1493" s="411"/>
      <c r="P1493" s="417"/>
    </row>
    <row r="1494" spans="1:16" s="413" customFormat="1" ht="14" outlineLevel="1">
      <c r="A1494" s="405">
        <v>1.1399999999999999</v>
      </c>
      <c r="B1494" s="415" t="s">
        <v>967</v>
      </c>
      <c r="C1494" s="390" t="s">
        <v>970</v>
      </c>
      <c r="D1494" s="391"/>
      <c r="E1494" s="391"/>
      <c r="F1494" s="391"/>
      <c r="G1494" s="398">
        <f t="shared" ref="G1494" si="390">F1494*D1494</f>
        <v>0</v>
      </c>
      <c r="H1494" s="398">
        <f t="shared" ref="H1494" si="391">F1494*E1494</f>
        <v>0</v>
      </c>
      <c r="I1494" s="391"/>
      <c r="J1494" s="410"/>
      <c r="K1494" s="411"/>
      <c r="L1494" s="411"/>
      <c r="M1494" s="411" t="s">
        <v>165</v>
      </c>
      <c r="N1494" s="412"/>
      <c r="P1494" s="414"/>
    </row>
    <row r="1495" spans="1:16" s="416" customFormat="1" ht="14" outlineLevel="2">
      <c r="A1495" s="405">
        <v>1.1499999999999999</v>
      </c>
      <c r="B1495" s="577" t="s">
        <v>968</v>
      </c>
      <c r="C1495" s="397" t="s">
        <v>36</v>
      </c>
      <c r="D1495" s="398"/>
      <c r="E1495" s="398"/>
      <c r="F1495" s="398"/>
      <c r="G1495" s="398">
        <f t="shared" ref="G1495:G1496" si="392">F1495*D1495</f>
        <v>0</v>
      </c>
      <c r="H1495" s="398">
        <f t="shared" ref="H1495:H1496" si="393">F1495*E1495</f>
        <v>0</v>
      </c>
      <c r="I1495" s="399"/>
      <c r="J1495" s="411" t="s">
        <v>21</v>
      </c>
      <c r="K1495" s="411" t="s">
        <v>402</v>
      </c>
      <c r="L1495" s="411" t="s">
        <v>112</v>
      </c>
      <c r="M1495" s="411" t="s">
        <v>165</v>
      </c>
      <c r="N1495" s="411"/>
      <c r="P1495" s="417"/>
    </row>
    <row r="1496" spans="1:16" s="416" customFormat="1" ht="14" outlineLevel="2">
      <c r="A1496" s="405">
        <v>1.1599999999999999</v>
      </c>
      <c r="B1496" s="415" t="s">
        <v>969</v>
      </c>
      <c r="C1496" s="397" t="s">
        <v>15</v>
      </c>
      <c r="D1496" s="398"/>
      <c r="E1496" s="398"/>
      <c r="F1496" s="398"/>
      <c r="G1496" s="398">
        <f t="shared" si="392"/>
        <v>0</v>
      </c>
      <c r="H1496" s="398">
        <f t="shared" si="393"/>
        <v>0</v>
      </c>
      <c r="I1496" s="399"/>
      <c r="J1496" s="411" t="s">
        <v>21</v>
      </c>
      <c r="K1496" s="411" t="s">
        <v>402</v>
      </c>
      <c r="L1496" s="411" t="s">
        <v>112</v>
      </c>
      <c r="M1496" s="411" t="s">
        <v>165</v>
      </c>
      <c r="N1496" s="411"/>
      <c r="P1496" s="417"/>
    </row>
    <row r="1497" spans="1:16" s="413" customFormat="1" ht="14" outlineLevel="1">
      <c r="A1497" s="388" t="s">
        <v>45</v>
      </c>
      <c r="B1497" s="350" t="s">
        <v>32</v>
      </c>
      <c r="C1497" s="390"/>
      <c r="D1497" s="391"/>
      <c r="E1497" s="391"/>
      <c r="F1497" s="391"/>
      <c r="G1497" s="391">
        <f>SUBTOTAL(9,G1498:G1632)</f>
        <v>139824</v>
      </c>
      <c r="H1497" s="391">
        <f>SUBTOTAL(9,H1498:H1632)</f>
        <v>34240</v>
      </c>
      <c r="I1497" s="391"/>
      <c r="J1497" s="410"/>
      <c r="K1497" s="411"/>
      <c r="L1497" s="411"/>
      <c r="M1497" s="412"/>
      <c r="N1497" s="412"/>
      <c r="P1497" s="414"/>
    </row>
    <row r="1498" spans="1:16" s="413" customFormat="1" ht="14" outlineLevel="3">
      <c r="A1498" s="388">
        <v>1</v>
      </c>
      <c r="B1498" s="389" t="s">
        <v>307</v>
      </c>
      <c r="C1498" s="549"/>
      <c r="D1498" s="479"/>
      <c r="E1498" s="479"/>
      <c r="F1498" s="479"/>
      <c r="G1498" s="479">
        <f>SUBTOTAL(9,G1499:G1514)</f>
        <v>34240</v>
      </c>
      <c r="H1498" s="479">
        <f>SUBTOTAL(9,H1499:H1514)</f>
        <v>34240</v>
      </c>
      <c r="I1498" s="392"/>
      <c r="J1498" s="411"/>
      <c r="K1498" s="411"/>
      <c r="L1498" s="411"/>
      <c r="M1498" s="412"/>
      <c r="N1498" s="412"/>
      <c r="P1498" s="414"/>
    </row>
    <row r="1499" spans="1:16" s="413" customFormat="1" ht="14" outlineLevel="3">
      <c r="A1499" s="388">
        <v>1.1000000000000001</v>
      </c>
      <c r="B1499" s="532" t="s">
        <v>307</v>
      </c>
      <c r="C1499" s="549"/>
      <c r="D1499" s="479"/>
      <c r="E1499" s="479"/>
      <c r="F1499" s="479"/>
      <c r="G1499" s="479">
        <f>SUBTOTAL(9,G1500:G1514)</f>
        <v>34240</v>
      </c>
      <c r="H1499" s="479">
        <f>SUBTOTAL(9,H1500:H1514)</f>
        <v>34240</v>
      </c>
      <c r="I1499" s="561"/>
      <c r="J1499" s="411"/>
      <c r="K1499" s="411"/>
      <c r="L1499" s="411"/>
      <c r="M1499" s="412"/>
      <c r="N1499" s="412"/>
      <c r="P1499" s="414"/>
    </row>
    <row r="1500" spans="1:16" s="416" customFormat="1" ht="14" outlineLevel="4">
      <c r="A1500" s="400" t="s">
        <v>8</v>
      </c>
      <c r="B1500" s="415" t="s">
        <v>1024</v>
      </c>
      <c r="C1500" s="397" t="s">
        <v>166</v>
      </c>
      <c r="D1500" s="398">
        <v>28</v>
      </c>
      <c r="E1500" s="398">
        <v>28</v>
      </c>
      <c r="F1500" s="398">
        <v>80</v>
      </c>
      <c r="G1500" s="398">
        <f t="shared" ref="G1500:G1508" si="394">F1500*D1500</f>
        <v>2240</v>
      </c>
      <c r="H1500" s="398">
        <f t="shared" ref="H1500:H1508" si="395">F1500*E1500</f>
        <v>2240</v>
      </c>
      <c r="I1500" s="399"/>
      <c r="J1500" s="411" t="s">
        <v>21</v>
      </c>
      <c r="K1500" s="411" t="s">
        <v>402</v>
      </c>
      <c r="L1500" s="411" t="s">
        <v>112</v>
      </c>
      <c r="M1500" s="411" t="s">
        <v>32</v>
      </c>
      <c r="N1500" s="460"/>
      <c r="P1500" s="417"/>
    </row>
    <row r="1501" spans="1:16" s="416" customFormat="1" ht="14" outlineLevel="4">
      <c r="A1501" s="400" t="s">
        <v>8</v>
      </c>
      <c r="B1501" s="415" t="s">
        <v>1025</v>
      </c>
      <c r="C1501" s="397" t="s">
        <v>166</v>
      </c>
      <c r="D1501" s="398">
        <v>36</v>
      </c>
      <c r="E1501" s="398">
        <v>36</v>
      </c>
      <c r="F1501" s="398">
        <v>100</v>
      </c>
      <c r="G1501" s="398">
        <f t="shared" si="394"/>
        <v>3600</v>
      </c>
      <c r="H1501" s="398">
        <f t="shared" si="395"/>
        <v>3600</v>
      </c>
      <c r="I1501" s="399"/>
      <c r="J1501" s="411" t="s">
        <v>21</v>
      </c>
      <c r="K1501" s="411" t="s">
        <v>402</v>
      </c>
      <c r="L1501" s="411" t="s">
        <v>112</v>
      </c>
      <c r="M1501" s="411" t="s">
        <v>32</v>
      </c>
      <c r="N1501" s="460"/>
      <c r="P1501" s="417"/>
    </row>
    <row r="1502" spans="1:16" s="416" customFormat="1" ht="14" outlineLevel="4">
      <c r="A1502" s="400" t="s">
        <v>8</v>
      </c>
      <c r="B1502" s="415" t="s">
        <v>1026</v>
      </c>
      <c r="C1502" s="397" t="s">
        <v>166</v>
      </c>
      <c r="D1502" s="398">
        <v>8</v>
      </c>
      <c r="E1502" s="398">
        <v>8</v>
      </c>
      <c r="F1502" s="398">
        <v>110</v>
      </c>
      <c r="G1502" s="398">
        <f t="shared" si="394"/>
        <v>880</v>
      </c>
      <c r="H1502" s="398">
        <f t="shared" si="395"/>
        <v>880</v>
      </c>
      <c r="I1502" s="399"/>
      <c r="J1502" s="411" t="s">
        <v>21</v>
      </c>
      <c r="K1502" s="411" t="s">
        <v>402</v>
      </c>
      <c r="L1502" s="411" t="s">
        <v>112</v>
      </c>
      <c r="M1502" s="411" t="s">
        <v>32</v>
      </c>
      <c r="N1502" s="460"/>
      <c r="P1502" s="417"/>
    </row>
    <row r="1503" spans="1:16" s="416" customFormat="1" ht="14" outlineLevel="4">
      <c r="A1503" s="400" t="s">
        <v>8</v>
      </c>
      <c r="B1503" s="415" t="s">
        <v>1027</v>
      </c>
      <c r="C1503" s="397" t="s">
        <v>23</v>
      </c>
      <c r="D1503" s="398"/>
      <c r="E1503" s="398"/>
      <c r="F1503" s="398"/>
      <c r="G1503" s="398">
        <f t="shared" si="394"/>
        <v>0</v>
      </c>
      <c r="H1503" s="398">
        <f t="shared" si="395"/>
        <v>0</v>
      </c>
      <c r="I1503" s="399"/>
      <c r="J1503" s="411" t="s">
        <v>21</v>
      </c>
      <c r="K1503" s="411" t="s">
        <v>402</v>
      </c>
      <c r="L1503" s="411" t="s">
        <v>112</v>
      </c>
      <c r="M1503" s="411" t="s">
        <v>32</v>
      </c>
      <c r="N1503" s="460"/>
      <c r="P1503" s="417"/>
    </row>
    <row r="1504" spans="1:16" s="416" customFormat="1" ht="14" outlineLevel="4">
      <c r="A1504" s="400" t="s">
        <v>8</v>
      </c>
      <c r="B1504" s="415" t="s">
        <v>1028</v>
      </c>
      <c r="C1504" s="397" t="s">
        <v>166</v>
      </c>
      <c r="D1504" s="398"/>
      <c r="E1504" s="398"/>
      <c r="F1504" s="398"/>
      <c r="G1504" s="398">
        <f t="shared" si="394"/>
        <v>0</v>
      </c>
      <c r="H1504" s="398">
        <f t="shared" si="395"/>
        <v>0</v>
      </c>
      <c r="I1504" s="399"/>
      <c r="J1504" s="411" t="s">
        <v>21</v>
      </c>
      <c r="K1504" s="411" t="s">
        <v>402</v>
      </c>
      <c r="L1504" s="411" t="s">
        <v>112</v>
      </c>
      <c r="M1504" s="411" t="s">
        <v>32</v>
      </c>
      <c r="N1504" s="460"/>
      <c r="P1504" s="417"/>
    </row>
    <row r="1505" spans="1:16" s="416" customFormat="1" ht="14" outlineLevel="4">
      <c r="A1505" s="400" t="s">
        <v>8</v>
      </c>
      <c r="B1505" s="415" t="s">
        <v>1029</v>
      </c>
      <c r="C1505" s="397" t="s">
        <v>166</v>
      </c>
      <c r="D1505" s="398">
        <v>28</v>
      </c>
      <c r="E1505" s="398">
        <v>28</v>
      </c>
      <c r="F1505" s="398">
        <v>80</v>
      </c>
      <c r="G1505" s="398">
        <f t="shared" si="394"/>
        <v>2240</v>
      </c>
      <c r="H1505" s="398">
        <f t="shared" si="395"/>
        <v>2240</v>
      </c>
      <c r="I1505" s="399"/>
      <c r="J1505" s="411" t="s">
        <v>21</v>
      </c>
      <c r="K1505" s="411" t="s">
        <v>402</v>
      </c>
      <c r="L1505" s="411" t="s">
        <v>112</v>
      </c>
      <c r="M1505" s="411" t="s">
        <v>32</v>
      </c>
      <c r="N1505" s="460"/>
      <c r="P1505" s="417"/>
    </row>
    <row r="1506" spans="1:16" s="416" customFormat="1" ht="14" outlineLevel="4">
      <c r="A1506" s="400" t="s">
        <v>8</v>
      </c>
      <c r="B1506" s="415" t="s">
        <v>1030</v>
      </c>
      <c r="C1506" s="397" t="s">
        <v>166</v>
      </c>
      <c r="D1506" s="398">
        <v>36</v>
      </c>
      <c r="E1506" s="398">
        <v>36</v>
      </c>
      <c r="F1506" s="398">
        <v>100</v>
      </c>
      <c r="G1506" s="398">
        <f t="shared" si="394"/>
        <v>3600</v>
      </c>
      <c r="H1506" s="398">
        <f t="shared" si="395"/>
        <v>3600</v>
      </c>
      <c r="I1506" s="399"/>
      <c r="J1506" s="411" t="s">
        <v>21</v>
      </c>
      <c r="K1506" s="411" t="s">
        <v>402</v>
      </c>
      <c r="L1506" s="411" t="s">
        <v>112</v>
      </c>
      <c r="M1506" s="411" t="s">
        <v>32</v>
      </c>
      <c r="N1506" s="460"/>
      <c r="P1506" s="417"/>
    </row>
    <row r="1507" spans="1:16" s="416" customFormat="1" ht="14" outlineLevel="4">
      <c r="A1507" s="400" t="s">
        <v>8</v>
      </c>
      <c r="B1507" s="415" t="s">
        <v>1031</v>
      </c>
      <c r="C1507" s="397" t="s">
        <v>166</v>
      </c>
      <c r="D1507" s="398">
        <v>8</v>
      </c>
      <c r="E1507" s="398">
        <v>8</v>
      </c>
      <c r="F1507" s="398">
        <v>110</v>
      </c>
      <c r="G1507" s="398">
        <f t="shared" si="394"/>
        <v>880</v>
      </c>
      <c r="H1507" s="398">
        <f t="shared" si="395"/>
        <v>880</v>
      </c>
      <c r="I1507" s="399"/>
      <c r="J1507" s="411" t="s">
        <v>21</v>
      </c>
      <c r="K1507" s="411" t="s">
        <v>402</v>
      </c>
      <c r="L1507" s="411" t="s">
        <v>112</v>
      </c>
      <c r="M1507" s="411" t="s">
        <v>32</v>
      </c>
      <c r="N1507" s="460"/>
      <c r="P1507" s="417"/>
    </row>
    <row r="1508" spans="1:16" s="416" customFormat="1" ht="14" outlineLevel="4">
      <c r="A1508" s="400" t="s">
        <v>8</v>
      </c>
      <c r="B1508" s="415" t="s">
        <v>1032</v>
      </c>
      <c r="C1508" s="397" t="s">
        <v>1064</v>
      </c>
      <c r="D1508" s="398"/>
      <c r="E1508" s="398"/>
      <c r="F1508" s="398"/>
      <c r="G1508" s="398">
        <f t="shared" si="394"/>
        <v>0</v>
      </c>
      <c r="H1508" s="398">
        <f t="shared" si="395"/>
        <v>0</v>
      </c>
      <c r="I1508" s="399"/>
      <c r="J1508" s="411" t="s">
        <v>21</v>
      </c>
      <c r="K1508" s="411" t="s">
        <v>402</v>
      </c>
      <c r="L1508" s="411" t="s">
        <v>112</v>
      </c>
      <c r="M1508" s="411" t="s">
        <v>32</v>
      </c>
      <c r="N1508" s="460"/>
      <c r="P1508" s="417"/>
    </row>
    <row r="1509" spans="1:16" s="416" customFormat="1" ht="14" outlineLevel="4">
      <c r="A1509" s="400" t="s">
        <v>8</v>
      </c>
      <c r="B1509" s="415" t="s">
        <v>1103</v>
      </c>
      <c r="C1509" s="397" t="s">
        <v>1063</v>
      </c>
      <c r="D1509" s="398">
        <v>16</v>
      </c>
      <c r="E1509" s="43">
        <v>16</v>
      </c>
      <c r="F1509" s="686">
        <v>1300</v>
      </c>
      <c r="G1509" s="398">
        <f t="shared" ref="G1509" si="396">F1509*D1509</f>
        <v>20800</v>
      </c>
      <c r="H1509" s="398">
        <f t="shared" ref="H1509" si="397">F1509*E1509</f>
        <v>20800</v>
      </c>
      <c r="I1509" s="399"/>
      <c r="J1509" s="411" t="s">
        <v>21</v>
      </c>
      <c r="K1509" s="411" t="s">
        <v>402</v>
      </c>
      <c r="L1509" s="411" t="s">
        <v>112</v>
      </c>
      <c r="M1509" s="411" t="s">
        <v>32</v>
      </c>
      <c r="N1509" s="460"/>
      <c r="P1509" s="417"/>
    </row>
    <row r="1510" spans="1:16" s="416" customFormat="1" ht="14" outlineLevel="4">
      <c r="A1510" s="400" t="s">
        <v>8</v>
      </c>
      <c r="B1510" s="415" t="s">
        <v>1306</v>
      </c>
      <c r="C1510" s="397" t="s">
        <v>166</v>
      </c>
      <c r="D1510" s="398"/>
      <c r="E1510" s="398"/>
      <c r="F1510" s="398"/>
      <c r="G1510" s="398">
        <f t="shared" ref="G1510:G1514" si="398">F1510*D1510</f>
        <v>0</v>
      </c>
      <c r="H1510" s="398">
        <f t="shared" ref="H1510:H1514" si="399">F1510*E1510</f>
        <v>0</v>
      </c>
      <c r="I1510" s="399"/>
      <c r="J1510" s="411" t="s">
        <v>21</v>
      </c>
      <c r="K1510" s="411" t="s">
        <v>402</v>
      </c>
      <c r="L1510" s="411" t="s">
        <v>112</v>
      </c>
      <c r="M1510" s="411" t="s">
        <v>32</v>
      </c>
      <c r="N1510" s="460"/>
      <c r="P1510" s="417"/>
    </row>
    <row r="1511" spans="1:16" s="416" customFormat="1" ht="14" outlineLevel="4">
      <c r="A1511" s="400" t="s">
        <v>8</v>
      </c>
      <c r="B1511" s="415" t="s">
        <v>1307</v>
      </c>
      <c r="C1511" s="397" t="s">
        <v>166</v>
      </c>
      <c r="D1511" s="398"/>
      <c r="E1511" s="398"/>
      <c r="F1511" s="398"/>
      <c r="G1511" s="398">
        <f t="shared" si="398"/>
        <v>0</v>
      </c>
      <c r="H1511" s="398">
        <f t="shared" si="399"/>
        <v>0</v>
      </c>
      <c r="I1511" s="399"/>
      <c r="J1511" s="411" t="s">
        <v>21</v>
      </c>
      <c r="K1511" s="411" t="s">
        <v>402</v>
      </c>
      <c r="L1511" s="411" t="s">
        <v>112</v>
      </c>
      <c r="M1511" s="411" t="s">
        <v>32</v>
      </c>
      <c r="N1511" s="460"/>
      <c r="P1511" s="417"/>
    </row>
    <row r="1512" spans="1:16" s="416" customFormat="1" ht="14" outlineLevel="4">
      <c r="A1512" s="400" t="s">
        <v>8</v>
      </c>
      <c r="B1512" s="415" t="s">
        <v>1308</v>
      </c>
      <c r="C1512" s="397" t="s">
        <v>166</v>
      </c>
      <c r="D1512" s="398"/>
      <c r="E1512" s="398"/>
      <c r="F1512" s="398"/>
      <c r="G1512" s="398">
        <f t="shared" si="398"/>
        <v>0</v>
      </c>
      <c r="H1512" s="398">
        <f t="shared" si="399"/>
        <v>0</v>
      </c>
      <c r="I1512" s="399"/>
      <c r="J1512" s="411" t="s">
        <v>21</v>
      </c>
      <c r="K1512" s="411" t="s">
        <v>402</v>
      </c>
      <c r="L1512" s="411" t="s">
        <v>112</v>
      </c>
      <c r="M1512" s="411" t="s">
        <v>32</v>
      </c>
      <c r="N1512" s="460"/>
      <c r="P1512" s="417"/>
    </row>
    <row r="1513" spans="1:16" s="416" customFormat="1" ht="14" outlineLevel="4">
      <c r="A1513" s="400" t="s">
        <v>8</v>
      </c>
      <c r="B1513" s="415" t="s">
        <v>1102</v>
      </c>
      <c r="C1513" s="397" t="s">
        <v>166</v>
      </c>
      <c r="D1513" s="398"/>
      <c r="E1513" s="398"/>
      <c r="F1513" s="398"/>
      <c r="G1513" s="398">
        <f t="shared" si="398"/>
        <v>0</v>
      </c>
      <c r="H1513" s="398">
        <f t="shared" si="399"/>
        <v>0</v>
      </c>
      <c r="I1513" s="399"/>
      <c r="J1513" s="411" t="s">
        <v>21</v>
      </c>
      <c r="K1513" s="411" t="s">
        <v>402</v>
      </c>
      <c r="L1513" s="411" t="s">
        <v>112</v>
      </c>
      <c r="M1513" s="411" t="s">
        <v>32</v>
      </c>
      <c r="N1513" s="460"/>
      <c r="P1513" s="417"/>
    </row>
    <row r="1514" spans="1:16" s="416" customFormat="1" ht="14" outlineLevel="4">
      <c r="A1514" s="400" t="s">
        <v>8</v>
      </c>
      <c r="B1514" s="415" t="s">
        <v>1032</v>
      </c>
      <c r="C1514" s="397" t="s">
        <v>1064</v>
      </c>
      <c r="D1514" s="398"/>
      <c r="E1514" s="398"/>
      <c r="F1514" s="398"/>
      <c r="G1514" s="398">
        <f t="shared" si="398"/>
        <v>0</v>
      </c>
      <c r="H1514" s="398">
        <f t="shared" si="399"/>
        <v>0</v>
      </c>
      <c r="I1514" s="399"/>
      <c r="J1514" s="411" t="s">
        <v>21</v>
      </c>
      <c r="K1514" s="411" t="s">
        <v>402</v>
      </c>
      <c r="L1514" s="411" t="s">
        <v>112</v>
      </c>
      <c r="M1514" s="411" t="s">
        <v>32</v>
      </c>
      <c r="N1514" s="460"/>
      <c r="P1514" s="417"/>
    </row>
    <row r="1515" spans="1:16" s="413" customFormat="1" ht="15" customHeight="1" outlineLevel="2">
      <c r="A1515" s="388">
        <v>2</v>
      </c>
      <c r="B1515" s="389" t="s">
        <v>308</v>
      </c>
      <c r="C1515" s="390"/>
      <c r="D1515" s="391"/>
      <c r="E1515" s="391"/>
      <c r="F1515" s="391"/>
      <c r="G1515" s="391">
        <f>SUBTOTAL(9,G1516:G1543)</f>
        <v>0</v>
      </c>
      <c r="H1515" s="391">
        <f>SUBTOTAL(9,H1516:H1543)</f>
        <v>0</v>
      </c>
      <c r="I1515" s="391"/>
      <c r="J1515" s="410"/>
      <c r="K1515" s="411"/>
      <c r="L1515" s="411"/>
      <c r="M1515" s="412"/>
      <c r="N1515" s="412"/>
      <c r="P1515" s="414"/>
    </row>
    <row r="1516" spans="1:16" s="413" customFormat="1" ht="14" outlineLevel="5">
      <c r="A1516" s="388">
        <v>2.1</v>
      </c>
      <c r="B1516" s="408" t="s">
        <v>309</v>
      </c>
      <c r="C1516" s="390"/>
      <c r="D1516" s="391"/>
      <c r="E1516" s="391"/>
      <c r="F1516" s="391"/>
      <c r="G1516" s="391">
        <f>SUBTOTAL(9,G1517:G1532)</f>
        <v>0</v>
      </c>
      <c r="H1516" s="391">
        <f>SUBTOTAL(9,H1517:H1532)</f>
        <v>0</v>
      </c>
      <c r="I1516" s="391"/>
      <c r="J1516" s="411"/>
      <c r="K1516" s="411"/>
      <c r="L1516" s="411"/>
      <c r="M1516" s="412"/>
      <c r="N1516" s="412"/>
      <c r="P1516" s="414"/>
    </row>
    <row r="1517" spans="1:16" s="416" customFormat="1" ht="14" outlineLevel="5">
      <c r="A1517" s="400" t="s">
        <v>8</v>
      </c>
      <c r="B1517" s="563" t="s">
        <v>1043</v>
      </c>
      <c r="C1517" s="397" t="s">
        <v>24</v>
      </c>
      <c r="D1517" s="398"/>
      <c r="E1517" s="398"/>
      <c r="F1517" s="398"/>
      <c r="G1517" s="398">
        <f t="shared" ref="G1517:G1532" si="400">F1517*D1517</f>
        <v>0</v>
      </c>
      <c r="H1517" s="398">
        <f t="shared" ref="H1517:H1532" si="401">F1517*E1517</f>
        <v>0</v>
      </c>
      <c r="I1517" s="399"/>
      <c r="J1517" s="411" t="s">
        <v>21</v>
      </c>
      <c r="K1517" s="411" t="s">
        <v>402</v>
      </c>
      <c r="L1517" s="411" t="s">
        <v>112</v>
      </c>
      <c r="M1517" s="411" t="s">
        <v>32</v>
      </c>
      <c r="N1517" s="460"/>
      <c r="P1517" s="417"/>
    </row>
    <row r="1518" spans="1:16" s="416" customFormat="1" ht="14" outlineLevel="5">
      <c r="A1518" s="400" t="s">
        <v>8</v>
      </c>
      <c r="B1518" s="563" t="s">
        <v>1044</v>
      </c>
      <c r="C1518" s="397" t="s">
        <v>15</v>
      </c>
      <c r="D1518" s="398"/>
      <c r="E1518" s="398"/>
      <c r="F1518" s="398"/>
      <c r="G1518" s="398">
        <f t="shared" si="400"/>
        <v>0</v>
      </c>
      <c r="H1518" s="398">
        <f t="shared" si="401"/>
        <v>0</v>
      </c>
      <c r="I1518" s="399"/>
      <c r="J1518" s="411" t="s">
        <v>21</v>
      </c>
      <c r="K1518" s="411" t="s">
        <v>402</v>
      </c>
      <c r="L1518" s="411" t="s">
        <v>112</v>
      </c>
      <c r="M1518" s="411" t="s">
        <v>32</v>
      </c>
      <c r="N1518" s="460"/>
      <c r="P1518" s="417"/>
    </row>
    <row r="1519" spans="1:16" s="416" customFormat="1" ht="14" outlineLevel="5">
      <c r="A1519" s="400" t="s">
        <v>8</v>
      </c>
      <c r="B1519" s="563" t="s">
        <v>1045</v>
      </c>
      <c r="C1519" s="397" t="s">
        <v>15</v>
      </c>
      <c r="D1519" s="398"/>
      <c r="E1519" s="398"/>
      <c r="F1519" s="398"/>
      <c r="G1519" s="398">
        <f t="shared" si="400"/>
        <v>0</v>
      </c>
      <c r="H1519" s="398">
        <f t="shared" si="401"/>
        <v>0</v>
      </c>
      <c r="I1519" s="399"/>
      <c r="J1519" s="411" t="s">
        <v>21</v>
      </c>
      <c r="K1519" s="411" t="s">
        <v>402</v>
      </c>
      <c r="L1519" s="411" t="s">
        <v>112</v>
      </c>
      <c r="M1519" s="411" t="s">
        <v>32</v>
      </c>
      <c r="N1519" s="460"/>
      <c r="P1519" s="417"/>
    </row>
    <row r="1520" spans="1:16" s="416" customFormat="1" ht="14" outlineLevel="5">
      <c r="A1520" s="400" t="s">
        <v>8</v>
      </c>
      <c r="B1520" s="563" t="s">
        <v>1027</v>
      </c>
      <c r="C1520" s="397" t="s">
        <v>15</v>
      </c>
      <c r="D1520" s="398"/>
      <c r="E1520" s="398"/>
      <c r="F1520" s="398"/>
      <c r="G1520" s="398">
        <f t="shared" si="400"/>
        <v>0</v>
      </c>
      <c r="H1520" s="398">
        <f t="shared" si="401"/>
        <v>0</v>
      </c>
      <c r="I1520" s="399"/>
      <c r="J1520" s="411" t="s">
        <v>21</v>
      </c>
      <c r="K1520" s="411" t="s">
        <v>402</v>
      </c>
      <c r="L1520" s="411" t="s">
        <v>112</v>
      </c>
      <c r="M1520" s="411" t="s">
        <v>32</v>
      </c>
      <c r="N1520" s="460"/>
      <c r="P1520" s="417"/>
    </row>
    <row r="1521" spans="1:16" s="416" customFormat="1" ht="14" outlineLevel="5">
      <c r="A1521" s="400" t="s">
        <v>8</v>
      </c>
      <c r="B1521" s="563" t="s">
        <v>1028</v>
      </c>
      <c r="C1521" s="397" t="s">
        <v>24</v>
      </c>
      <c r="D1521" s="398"/>
      <c r="E1521" s="398"/>
      <c r="F1521" s="398"/>
      <c r="G1521" s="398">
        <f t="shared" si="400"/>
        <v>0</v>
      </c>
      <c r="H1521" s="398">
        <f t="shared" si="401"/>
        <v>0</v>
      </c>
      <c r="I1521" s="399"/>
      <c r="J1521" s="411" t="s">
        <v>21</v>
      </c>
      <c r="K1521" s="411" t="s">
        <v>402</v>
      </c>
      <c r="L1521" s="411" t="s">
        <v>112</v>
      </c>
      <c r="M1521" s="411" t="s">
        <v>32</v>
      </c>
      <c r="N1521" s="460"/>
      <c r="P1521" s="417"/>
    </row>
    <row r="1522" spans="1:16" s="416" customFormat="1" ht="14" outlineLevel="5">
      <c r="A1522" s="400" t="s">
        <v>8</v>
      </c>
      <c r="B1522" s="563" t="s">
        <v>1046</v>
      </c>
      <c r="C1522" s="397" t="s">
        <v>15</v>
      </c>
      <c r="D1522" s="398"/>
      <c r="E1522" s="398"/>
      <c r="F1522" s="398"/>
      <c r="G1522" s="398">
        <f t="shared" si="400"/>
        <v>0</v>
      </c>
      <c r="H1522" s="398">
        <f t="shared" si="401"/>
        <v>0</v>
      </c>
      <c r="I1522" s="399"/>
      <c r="J1522" s="411" t="s">
        <v>21</v>
      </c>
      <c r="K1522" s="411" t="s">
        <v>402</v>
      </c>
      <c r="L1522" s="411" t="s">
        <v>112</v>
      </c>
      <c r="M1522" s="411" t="s">
        <v>32</v>
      </c>
      <c r="N1522" s="460"/>
      <c r="P1522" s="417"/>
    </row>
    <row r="1523" spans="1:16" s="416" customFormat="1" ht="14" outlineLevel="5">
      <c r="A1523" s="400" t="s">
        <v>8</v>
      </c>
      <c r="B1523" s="563" t="s">
        <v>1024</v>
      </c>
      <c r="C1523" s="397" t="s">
        <v>15</v>
      </c>
      <c r="D1523" s="398"/>
      <c r="E1523" s="398"/>
      <c r="F1523" s="398"/>
      <c r="G1523" s="398">
        <f t="shared" si="400"/>
        <v>0</v>
      </c>
      <c r="H1523" s="398">
        <f t="shared" si="401"/>
        <v>0</v>
      </c>
      <c r="I1523" s="399"/>
      <c r="J1523" s="411" t="s">
        <v>21</v>
      </c>
      <c r="K1523" s="411" t="s">
        <v>402</v>
      </c>
      <c r="L1523" s="411" t="s">
        <v>112</v>
      </c>
      <c r="M1523" s="411" t="s">
        <v>32</v>
      </c>
      <c r="N1523" s="460"/>
      <c r="P1523" s="417"/>
    </row>
    <row r="1524" spans="1:16" s="416" customFormat="1" ht="14" outlineLevel="5">
      <c r="A1524" s="400" t="s">
        <v>8</v>
      </c>
      <c r="B1524" s="563" t="s">
        <v>1025</v>
      </c>
      <c r="C1524" s="397" t="s">
        <v>15</v>
      </c>
      <c r="D1524" s="398"/>
      <c r="E1524" s="398"/>
      <c r="F1524" s="398"/>
      <c r="G1524" s="398">
        <f t="shared" si="400"/>
        <v>0</v>
      </c>
      <c r="H1524" s="398">
        <f t="shared" si="401"/>
        <v>0</v>
      </c>
      <c r="I1524" s="399"/>
      <c r="J1524" s="411" t="s">
        <v>21</v>
      </c>
      <c r="K1524" s="411" t="s">
        <v>402</v>
      </c>
      <c r="L1524" s="411" t="s">
        <v>112</v>
      </c>
      <c r="M1524" s="411" t="s">
        <v>32</v>
      </c>
      <c r="N1524" s="460"/>
      <c r="P1524" s="417"/>
    </row>
    <row r="1525" spans="1:16" s="416" customFormat="1" ht="14" outlineLevel="5">
      <c r="A1525" s="400" t="s">
        <v>8</v>
      </c>
      <c r="B1525" s="563" t="s">
        <v>1026</v>
      </c>
      <c r="C1525" s="397" t="s">
        <v>24</v>
      </c>
      <c r="D1525" s="398"/>
      <c r="E1525" s="398"/>
      <c r="F1525" s="398"/>
      <c r="G1525" s="398">
        <f t="shared" si="400"/>
        <v>0</v>
      </c>
      <c r="H1525" s="398">
        <f t="shared" si="401"/>
        <v>0</v>
      </c>
      <c r="I1525" s="399"/>
      <c r="J1525" s="411" t="s">
        <v>21</v>
      </c>
      <c r="K1525" s="411" t="s">
        <v>402</v>
      </c>
      <c r="L1525" s="411" t="s">
        <v>112</v>
      </c>
      <c r="M1525" s="411" t="s">
        <v>32</v>
      </c>
      <c r="N1525" s="460"/>
      <c r="P1525" s="417"/>
    </row>
    <row r="1526" spans="1:16" s="416" customFormat="1" ht="14" outlineLevel="5">
      <c r="A1526" s="400" t="s">
        <v>8</v>
      </c>
      <c r="B1526" s="563" t="s">
        <v>1029</v>
      </c>
      <c r="C1526" s="397" t="s">
        <v>15</v>
      </c>
      <c r="D1526" s="398"/>
      <c r="E1526" s="398"/>
      <c r="F1526" s="398"/>
      <c r="G1526" s="398">
        <f t="shared" si="400"/>
        <v>0</v>
      </c>
      <c r="H1526" s="398">
        <f t="shared" si="401"/>
        <v>0</v>
      </c>
      <c r="I1526" s="399"/>
      <c r="J1526" s="411" t="s">
        <v>21</v>
      </c>
      <c r="K1526" s="411" t="s">
        <v>402</v>
      </c>
      <c r="L1526" s="411" t="s">
        <v>112</v>
      </c>
      <c r="M1526" s="411" t="s">
        <v>32</v>
      </c>
      <c r="N1526" s="460"/>
      <c r="P1526" s="417"/>
    </row>
    <row r="1527" spans="1:16" s="416" customFormat="1" ht="14" outlineLevel="5">
      <c r="A1527" s="400" t="s">
        <v>8</v>
      </c>
      <c r="B1527" s="563" t="s">
        <v>1030</v>
      </c>
      <c r="C1527" s="397" t="s">
        <v>15</v>
      </c>
      <c r="D1527" s="398"/>
      <c r="E1527" s="398"/>
      <c r="F1527" s="398"/>
      <c r="G1527" s="398">
        <f t="shared" si="400"/>
        <v>0</v>
      </c>
      <c r="H1527" s="398">
        <f t="shared" si="401"/>
        <v>0</v>
      </c>
      <c r="I1527" s="399"/>
      <c r="J1527" s="411" t="s">
        <v>21</v>
      </c>
      <c r="K1527" s="411" t="s">
        <v>402</v>
      </c>
      <c r="L1527" s="411" t="s">
        <v>112</v>
      </c>
      <c r="M1527" s="411" t="s">
        <v>32</v>
      </c>
      <c r="N1527" s="460"/>
      <c r="P1527" s="417"/>
    </row>
    <row r="1528" spans="1:16" s="416" customFormat="1" ht="14" outlineLevel="5">
      <c r="A1528" s="400" t="s">
        <v>8</v>
      </c>
      <c r="B1528" s="563" t="s">
        <v>1031</v>
      </c>
      <c r="C1528" s="397" t="s">
        <v>15</v>
      </c>
      <c r="D1528" s="398"/>
      <c r="E1528" s="398"/>
      <c r="F1528" s="398"/>
      <c r="G1528" s="398">
        <f t="shared" si="400"/>
        <v>0</v>
      </c>
      <c r="H1528" s="398">
        <f t="shared" si="401"/>
        <v>0</v>
      </c>
      <c r="I1528" s="399"/>
      <c r="J1528" s="411" t="s">
        <v>21</v>
      </c>
      <c r="K1528" s="411" t="s">
        <v>402</v>
      </c>
      <c r="L1528" s="411" t="s">
        <v>112</v>
      </c>
      <c r="M1528" s="411" t="s">
        <v>32</v>
      </c>
      <c r="N1528" s="460"/>
      <c r="P1528" s="417"/>
    </row>
    <row r="1529" spans="1:16" s="416" customFormat="1" ht="14" outlineLevel="5">
      <c r="A1529" s="400" t="s">
        <v>8</v>
      </c>
      <c r="B1529" s="563" t="s">
        <v>1047</v>
      </c>
      <c r="C1529" s="397" t="s">
        <v>24</v>
      </c>
      <c r="D1529" s="398"/>
      <c r="E1529" s="398"/>
      <c r="F1529" s="398"/>
      <c r="G1529" s="398">
        <f t="shared" si="400"/>
        <v>0</v>
      </c>
      <c r="H1529" s="398">
        <f t="shared" si="401"/>
        <v>0</v>
      </c>
      <c r="I1529" s="399"/>
      <c r="J1529" s="411" t="s">
        <v>21</v>
      </c>
      <c r="K1529" s="411" t="s">
        <v>402</v>
      </c>
      <c r="L1529" s="411" t="s">
        <v>112</v>
      </c>
      <c r="M1529" s="411" t="s">
        <v>32</v>
      </c>
      <c r="N1529" s="460"/>
      <c r="P1529" s="417"/>
    </row>
    <row r="1530" spans="1:16" s="416" customFormat="1" ht="14" outlineLevel="5">
      <c r="A1530" s="400" t="s">
        <v>8</v>
      </c>
      <c r="B1530" s="563" t="s">
        <v>1048</v>
      </c>
      <c r="C1530" s="397" t="s">
        <v>15</v>
      </c>
      <c r="D1530" s="398"/>
      <c r="E1530" s="398"/>
      <c r="F1530" s="398"/>
      <c r="G1530" s="398">
        <f t="shared" si="400"/>
        <v>0</v>
      </c>
      <c r="H1530" s="398">
        <f t="shared" si="401"/>
        <v>0</v>
      </c>
      <c r="I1530" s="399"/>
      <c r="J1530" s="411" t="s">
        <v>21</v>
      </c>
      <c r="K1530" s="411" t="s">
        <v>402</v>
      </c>
      <c r="L1530" s="411" t="s">
        <v>112</v>
      </c>
      <c r="M1530" s="411" t="s">
        <v>32</v>
      </c>
      <c r="N1530" s="460"/>
      <c r="P1530" s="417"/>
    </row>
    <row r="1531" spans="1:16" s="416" customFormat="1" ht="14" outlineLevel="5">
      <c r="A1531" s="400" t="s">
        <v>8</v>
      </c>
      <c r="B1531" s="563" t="s">
        <v>1049</v>
      </c>
      <c r="C1531" s="397" t="s">
        <v>15</v>
      </c>
      <c r="D1531" s="398"/>
      <c r="E1531" s="398"/>
      <c r="F1531" s="398"/>
      <c r="G1531" s="398">
        <f t="shared" si="400"/>
        <v>0</v>
      </c>
      <c r="H1531" s="398">
        <f t="shared" si="401"/>
        <v>0</v>
      </c>
      <c r="I1531" s="399"/>
      <c r="J1531" s="411" t="s">
        <v>21</v>
      </c>
      <c r="K1531" s="411" t="s">
        <v>402</v>
      </c>
      <c r="L1531" s="411" t="s">
        <v>112</v>
      </c>
      <c r="M1531" s="411" t="s">
        <v>32</v>
      </c>
      <c r="N1531" s="460"/>
      <c r="P1531" s="417"/>
    </row>
    <row r="1532" spans="1:16" s="416" customFormat="1" ht="14" outlineLevel="5">
      <c r="A1532" s="400" t="s">
        <v>8</v>
      </c>
      <c r="B1532" s="563" t="s">
        <v>1032</v>
      </c>
      <c r="C1532" s="397" t="s">
        <v>15</v>
      </c>
      <c r="D1532" s="398"/>
      <c r="E1532" s="398"/>
      <c r="F1532" s="398"/>
      <c r="G1532" s="398">
        <f t="shared" si="400"/>
        <v>0</v>
      </c>
      <c r="H1532" s="398">
        <f t="shared" si="401"/>
        <v>0</v>
      </c>
      <c r="I1532" s="399"/>
      <c r="J1532" s="411" t="s">
        <v>21</v>
      </c>
      <c r="K1532" s="411" t="s">
        <v>402</v>
      </c>
      <c r="L1532" s="411" t="s">
        <v>112</v>
      </c>
      <c r="M1532" s="411" t="s">
        <v>32</v>
      </c>
      <c r="N1532" s="460"/>
      <c r="P1532" s="417"/>
    </row>
    <row r="1533" spans="1:16" s="413" customFormat="1" ht="14" outlineLevel="5">
      <c r="A1533" s="388">
        <v>2.2000000000000002</v>
      </c>
      <c r="B1533" s="408" t="s">
        <v>310</v>
      </c>
      <c r="C1533" s="390"/>
      <c r="D1533" s="391"/>
      <c r="E1533" s="391"/>
      <c r="F1533" s="391"/>
      <c r="G1533" s="391">
        <f>SUBTOTAL(9,G1534:G1543)</f>
        <v>0</v>
      </c>
      <c r="H1533" s="391">
        <f>SUBTOTAL(9,H1534:H1543)</f>
        <v>0</v>
      </c>
      <c r="I1533" s="391"/>
      <c r="J1533" s="411"/>
      <c r="K1533" s="411"/>
      <c r="L1533" s="411"/>
      <c r="M1533" s="412"/>
      <c r="N1533" s="412"/>
      <c r="P1533" s="414"/>
    </row>
    <row r="1534" spans="1:16" s="416" customFormat="1" ht="14" outlineLevel="5">
      <c r="A1534" s="400" t="s">
        <v>8</v>
      </c>
      <c r="B1534" s="563" t="s">
        <v>1050</v>
      </c>
      <c r="C1534" s="397" t="s">
        <v>24</v>
      </c>
      <c r="D1534" s="398"/>
      <c r="E1534" s="398"/>
      <c r="F1534" s="398"/>
      <c r="G1534" s="398">
        <f t="shared" ref="G1534:G1543" si="402">F1534*D1534</f>
        <v>0</v>
      </c>
      <c r="H1534" s="398">
        <f t="shared" ref="H1534:H1543" si="403">F1534*E1534</f>
        <v>0</v>
      </c>
      <c r="I1534" s="399"/>
      <c r="J1534" s="411" t="s">
        <v>21</v>
      </c>
      <c r="K1534" s="411" t="s">
        <v>402</v>
      </c>
      <c r="L1534" s="411" t="s">
        <v>112</v>
      </c>
      <c r="M1534" s="411" t="s">
        <v>32</v>
      </c>
      <c r="N1534" s="460"/>
      <c r="P1534" s="417"/>
    </row>
    <row r="1535" spans="1:16" s="416" customFormat="1" ht="14" outlineLevel="5">
      <c r="A1535" s="400" t="s">
        <v>8</v>
      </c>
      <c r="B1535" s="563" t="s">
        <v>1051</v>
      </c>
      <c r="C1535" s="397" t="s">
        <v>15</v>
      </c>
      <c r="D1535" s="398"/>
      <c r="E1535" s="398"/>
      <c r="F1535" s="398"/>
      <c r="G1535" s="398">
        <f t="shared" si="402"/>
        <v>0</v>
      </c>
      <c r="H1535" s="398">
        <f t="shared" si="403"/>
        <v>0</v>
      </c>
      <c r="I1535" s="399"/>
      <c r="J1535" s="411" t="s">
        <v>21</v>
      </c>
      <c r="K1535" s="411" t="s">
        <v>402</v>
      </c>
      <c r="L1535" s="411" t="s">
        <v>112</v>
      </c>
      <c r="M1535" s="411" t="s">
        <v>32</v>
      </c>
      <c r="N1535" s="460"/>
      <c r="P1535" s="417"/>
    </row>
    <row r="1536" spans="1:16" s="416" customFormat="1" ht="14" outlineLevel="5">
      <c r="A1536" s="400" t="s">
        <v>8</v>
      </c>
      <c r="B1536" s="563" t="s">
        <v>1052</v>
      </c>
      <c r="C1536" s="397" t="s">
        <v>15</v>
      </c>
      <c r="D1536" s="398"/>
      <c r="E1536" s="398"/>
      <c r="F1536" s="398"/>
      <c r="G1536" s="398">
        <f t="shared" si="402"/>
        <v>0</v>
      </c>
      <c r="H1536" s="398">
        <f t="shared" si="403"/>
        <v>0</v>
      </c>
      <c r="I1536" s="399"/>
      <c r="J1536" s="411" t="s">
        <v>21</v>
      </c>
      <c r="K1536" s="411" t="s">
        <v>402</v>
      </c>
      <c r="L1536" s="411" t="s">
        <v>112</v>
      </c>
      <c r="M1536" s="411" t="s">
        <v>32</v>
      </c>
      <c r="N1536" s="460"/>
      <c r="P1536" s="417"/>
    </row>
    <row r="1537" spans="1:16" s="416" customFormat="1" ht="14" outlineLevel="5">
      <c r="A1537" s="400" t="s">
        <v>8</v>
      </c>
      <c r="B1537" s="563" t="s">
        <v>1040</v>
      </c>
      <c r="C1537" s="397" t="s">
        <v>15</v>
      </c>
      <c r="D1537" s="398"/>
      <c r="E1537" s="398"/>
      <c r="F1537" s="398"/>
      <c r="G1537" s="398">
        <f t="shared" si="402"/>
        <v>0</v>
      </c>
      <c r="H1537" s="398">
        <f t="shared" si="403"/>
        <v>0</v>
      </c>
      <c r="I1537" s="399"/>
      <c r="J1537" s="411" t="s">
        <v>21</v>
      </c>
      <c r="K1537" s="411" t="s">
        <v>402</v>
      </c>
      <c r="L1537" s="411" t="s">
        <v>112</v>
      </c>
      <c r="M1537" s="411" t="s">
        <v>32</v>
      </c>
      <c r="N1537" s="460"/>
      <c r="P1537" s="417"/>
    </row>
    <row r="1538" spans="1:16" s="416" customFormat="1" ht="14" outlineLevel="5">
      <c r="A1538" s="400" t="s">
        <v>8</v>
      </c>
      <c r="B1538" s="563" t="s">
        <v>1041</v>
      </c>
      <c r="C1538" s="397" t="s">
        <v>24</v>
      </c>
      <c r="D1538" s="398"/>
      <c r="E1538" s="398"/>
      <c r="F1538" s="398"/>
      <c r="G1538" s="398">
        <f t="shared" si="402"/>
        <v>0</v>
      </c>
      <c r="H1538" s="398">
        <f t="shared" si="403"/>
        <v>0</v>
      </c>
      <c r="I1538" s="399"/>
      <c r="J1538" s="411" t="s">
        <v>21</v>
      </c>
      <c r="K1538" s="411" t="s">
        <v>402</v>
      </c>
      <c r="L1538" s="411" t="s">
        <v>112</v>
      </c>
      <c r="M1538" s="411" t="s">
        <v>32</v>
      </c>
      <c r="N1538" s="460"/>
      <c r="P1538" s="417"/>
    </row>
    <row r="1539" spans="1:16" s="416" customFormat="1" ht="14" outlineLevel="5">
      <c r="A1539" s="400" t="s">
        <v>8</v>
      </c>
      <c r="B1539" s="563" t="s">
        <v>1042</v>
      </c>
      <c r="C1539" s="397" t="s">
        <v>15</v>
      </c>
      <c r="D1539" s="398"/>
      <c r="E1539" s="398"/>
      <c r="F1539" s="398"/>
      <c r="G1539" s="398">
        <f t="shared" si="402"/>
        <v>0</v>
      </c>
      <c r="H1539" s="398">
        <f t="shared" si="403"/>
        <v>0</v>
      </c>
      <c r="I1539" s="399"/>
      <c r="J1539" s="411" t="s">
        <v>21</v>
      </c>
      <c r="K1539" s="411" t="s">
        <v>402</v>
      </c>
      <c r="L1539" s="411" t="s">
        <v>112</v>
      </c>
      <c r="M1539" s="411" t="s">
        <v>32</v>
      </c>
      <c r="N1539" s="460"/>
      <c r="P1539" s="417"/>
    </row>
    <row r="1540" spans="1:16" s="416" customFormat="1" ht="14" outlineLevel="5">
      <c r="A1540" s="400" t="s">
        <v>8</v>
      </c>
      <c r="B1540" s="563" t="s">
        <v>1053</v>
      </c>
      <c r="C1540" s="397" t="s">
        <v>15</v>
      </c>
      <c r="D1540" s="398"/>
      <c r="E1540" s="398"/>
      <c r="F1540" s="398"/>
      <c r="G1540" s="398">
        <f t="shared" si="402"/>
        <v>0</v>
      </c>
      <c r="H1540" s="398">
        <f t="shared" si="403"/>
        <v>0</v>
      </c>
      <c r="I1540" s="399"/>
      <c r="J1540" s="411" t="s">
        <v>21</v>
      </c>
      <c r="K1540" s="411" t="s">
        <v>402</v>
      </c>
      <c r="L1540" s="411" t="s">
        <v>112</v>
      </c>
      <c r="M1540" s="411" t="s">
        <v>32</v>
      </c>
      <c r="N1540" s="460"/>
      <c r="P1540" s="417"/>
    </row>
    <row r="1541" spans="1:16" s="416" customFormat="1" ht="14" outlineLevel="5">
      <c r="A1541" s="400" t="s">
        <v>8</v>
      </c>
      <c r="B1541" s="563" t="s">
        <v>1054</v>
      </c>
      <c r="C1541" s="397" t="s">
        <v>15</v>
      </c>
      <c r="D1541" s="398"/>
      <c r="E1541" s="398"/>
      <c r="F1541" s="398"/>
      <c r="G1541" s="398">
        <f t="shared" si="402"/>
        <v>0</v>
      </c>
      <c r="H1541" s="398">
        <f t="shared" si="403"/>
        <v>0</v>
      </c>
      <c r="I1541" s="399"/>
      <c r="J1541" s="411" t="s">
        <v>21</v>
      </c>
      <c r="K1541" s="411" t="s">
        <v>402</v>
      </c>
      <c r="L1541" s="411" t="s">
        <v>112</v>
      </c>
      <c r="M1541" s="411" t="s">
        <v>32</v>
      </c>
      <c r="N1541" s="460"/>
      <c r="P1541" s="417"/>
    </row>
    <row r="1542" spans="1:16" s="416" customFormat="1" ht="14" outlineLevel="5">
      <c r="A1542" s="400" t="s">
        <v>8</v>
      </c>
      <c r="B1542" s="563" t="s">
        <v>1055</v>
      </c>
      <c r="C1542" s="397" t="s">
        <v>24</v>
      </c>
      <c r="D1542" s="398"/>
      <c r="E1542" s="398"/>
      <c r="F1542" s="398"/>
      <c r="G1542" s="398">
        <f t="shared" si="402"/>
        <v>0</v>
      </c>
      <c r="H1542" s="398">
        <f t="shared" si="403"/>
        <v>0</v>
      </c>
      <c r="I1542" s="399"/>
      <c r="J1542" s="411" t="s">
        <v>21</v>
      </c>
      <c r="K1542" s="411" t="s">
        <v>402</v>
      </c>
      <c r="L1542" s="411" t="s">
        <v>112</v>
      </c>
      <c r="M1542" s="411" t="s">
        <v>32</v>
      </c>
      <c r="N1542" s="460"/>
      <c r="P1542" s="417"/>
    </row>
    <row r="1543" spans="1:16" s="416" customFormat="1" ht="14" outlineLevel="5">
      <c r="A1543" s="400" t="s">
        <v>8</v>
      </c>
      <c r="B1543" s="563" t="s">
        <v>1032</v>
      </c>
      <c r="C1543" s="397" t="s">
        <v>15</v>
      </c>
      <c r="D1543" s="398"/>
      <c r="E1543" s="398"/>
      <c r="F1543" s="398"/>
      <c r="G1543" s="398">
        <f t="shared" si="402"/>
        <v>0</v>
      </c>
      <c r="H1543" s="398">
        <f t="shared" si="403"/>
        <v>0</v>
      </c>
      <c r="I1543" s="399"/>
      <c r="J1543" s="411" t="s">
        <v>21</v>
      </c>
      <c r="K1543" s="411" t="s">
        <v>402</v>
      </c>
      <c r="L1543" s="411" t="s">
        <v>112</v>
      </c>
      <c r="M1543" s="411" t="s">
        <v>32</v>
      </c>
      <c r="N1543" s="460"/>
      <c r="P1543" s="417"/>
    </row>
    <row r="1544" spans="1:16" s="413" customFormat="1" ht="15" customHeight="1" outlineLevel="3">
      <c r="A1544" s="388">
        <v>3</v>
      </c>
      <c r="B1544" s="389" t="s">
        <v>311</v>
      </c>
      <c r="C1544" s="390"/>
      <c r="D1544" s="391"/>
      <c r="E1544" s="391"/>
      <c r="F1544" s="391"/>
      <c r="G1544" s="391">
        <f>SUBTOTAL(9,G1545:G1559)</f>
        <v>0</v>
      </c>
      <c r="H1544" s="391">
        <f>SUBTOTAL(9,H1545:H1559)</f>
        <v>0</v>
      </c>
      <c r="I1544" s="391"/>
      <c r="J1544" s="410"/>
      <c r="K1544" s="411"/>
      <c r="L1544" s="411"/>
      <c r="M1544" s="412"/>
      <c r="N1544" s="412"/>
      <c r="P1544" s="414"/>
    </row>
    <row r="1545" spans="1:16" s="413" customFormat="1" ht="14" outlineLevel="5">
      <c r="A1545" s="576">
        <v>3.1</v>
      </c>
      <c r="B1545" s="408" t="s">
        <v>104</v>
      </c>
      <c r="C1545" s="390"/>
      <c r="D1545" s="391"/>
      <c r="E1545" s="391"/>
      <c r="F1545" s="391"/>
      <c r="G1545" s="391">
        <f>SUBTOTAL(9,G1546:G1559)</f>
        <v>0</v>
      </c>
      <c r="H1545" s="391">
        <f>SUBTOTAL(9,H1546:H1559)</f>
        <v>0</v>
      </c>
      <c r="I1545" s="391"/>
      <c r="J1545" s="411"/>
      <c r="K1545" s="411"/>
      <c r="L1545" s="411"/>
      <c r="M1545" s="412"/>
      <c r="N1545" s="412"/>
      <c r="P1545" s="414"/>
    </row>
    <row r="1546" spans="1:16" s="416" customFormat="1" ht="14" outlineLevel="5">
      <c r="A1546" s="400" t="s">
        <v>8</v>
      </c>
      <c r="B1546" s="563" t="s">
        <v>1056</v>
      </c>
      <c r="C1546" s="397" t="s">
        <v>24</v>
      </c>
      <c r="D1546" s="398"/>
      <c r="E1546" s="398"/>
      <c r="F1546" s="398"/>
      <c r="G1546" s="398">
        <f t="shared" ref="G1546:G1559" si="404">F1546*D1546</f>
        <v>0</v>
      </c>
      <c r="H1546" s="398">
        <f t="shared" ref="H1546:H1559" si="405">F1546*E1546</f>
        <v>0</v>
      </c>
      <c r="I1546" s="399"/>
      <c r="J1546" s="411" t="s">
        <v>21</v>
      </c>
      <c r="K1546" s="411" t="s">
        <v>402</v>
      </c>
      <c r="L1546" s="411" t="s">
        <v>112</v>
      </c>
      <c r="M1546" s="411" t="s">
        <v>32</v>
      </c>
      <c r="N1546" s="460"/>
      <c r="P1546" s="417"/>
    </row>
    <row r="1547" spans="1:16" s="416" customFormat="1" ht="14" outlineLevel="5">
      <c r="A1547" s="400" t="s">
        <v>8</v>
      </c>
      <c r="B1547" s="563" t="s">
        <v>1044</v>
      </c>
      <c r="C1547" s="397" t="s">
        <v>15</v>
      </c>
      <c r="D1547" s="398"/>
      <c r="E1547" s="398"/>
      <c r="F1547" s="398"/>
      <c r="G1547" s="398">
        <f t="shared" si="404"/>
        <v>0</v>
      </c>
      <c r="H1547" s="398">
        <f t="shared" si="405"/>
        <v>0</v>
      </c>
      <c r="I1547" s="399"/>
      <c r="J1547" s="411" t="s">
        <v>21</v>
      </c>
      <c r="K1547" s="411" t="s">
        <v>402</v>
      </c>
      <c r="L1547" s="411" t="s">
        <v>112</v>
      </c>
      <c r="M1547" s="411" t="s">
        <v>32</v>
      </c>
      <c r="N1547" s="460"/>
      <c r="P1547" s="417"/>
    </row>
    <row r="1548" spans="1:16" s="416" customFormat="1" ht="14" outlineLevel="5">
      <c r="A1548" s="400" t="s">
        <v>8</v>
      </c>
      <c r="B1548" s="563" t="s">
        <v>1045</v>
      </c>
      <c r="C1548" s="397" t="s">
        <v>15</v>
      </c>
      <c r="D1548" s="398"/>
      <c r="E1548" s="398"/>
      <c r="F1548" s="398"/>
      <c r="G1548" s="398">
        <f t="shared" si="404"/>
        <v>0</v>
      </c>
      <c r="H1548" s="398">
        <f t="shared" si="405"/>
        <v>0</v>
      </c>
      <c r="I1548" s="399"/>
      <c r="J1548" s="411" t="s">
        <v>21</v>
      </c>
      <c r="K1548" s="411" t="s">
        <v>402</v>
      </c>
      <c r="L1548" s="411" t="s">
        <v>112</v>
      </c>
      <c r="M1548" s="411" t="s">
        <v>32</v>
      </c>
      <c r="N1548" s="460"/>
      <c r="P1548" s="417"/>
    </row>
    <row r="1549" spans="1:16" s="416" customFormat="1" ht="14" outlineLevel="5">
      <c r="A1549" s="400" t="s">
        <v>8</v>
      </c>
      <c r="B1549" s="563" t="s">
        <v>1027</v>
      </c>
      <c r="C1549" s="397" t="s">
        <v>15</v>
      </c>
      <c r="D1549" s="398"/>
      <c r="E1549" s="398"/>
      <c r="F1549" s="398"/>
      <c r="G1549" s="398">
        <f t="shared" si="404"/>
        <v>0</v>
      </c>
      <c r="H1549" s="398">
        <f t="shared" si="405"/>
        <v>0</v>
      </c>
      <c r="I1549" s="399"/>
      <c r="J1549" s="411" t="s">
        <v>21</v>
      </c>
      <c r="K1549" s="411" t="s">
        <v>402</v>
      </c>
      <c r="L1549" s="411" t="s">
        <v>112</v>
      </c>
      <c r="M1549" s="411" t="s">
        <v>32</v>
      </c>
      <c r="N1549" s="460"/>
      <c r="P1549" s="417"/>
    </row>
    <row r="1550" spans="1:16" s="416" customFormat="1" ht="14" outlineLevel="5">
      <c r="A1550" s="400" t="s">
        <v>8</v>
      </c>
      <c r="B1550" s="563" t="s">
        <v>1028</v>
      </c>
      <c r="C1550" s="397" t="s">
        <v>15</v>
      </c>
      <c r="D1550" s="398"/>
      <c r="E1550" s="398"/>
      <c r="F1550" s="398"/>
      <c r="G1550" s="398">
        <f t="shared" si="404"/>
        <v>0</v>
      </c>
      <c r="H1550" s="398">
        <f t="shared" si="405"/>
        <v>0</v>
      </c>
      <c r="I1550" s="399"/>
      <c r="J1550" s="411" t="s">
        <v>21</v>
      </c>
      <c r="K1550" s="411" t="s">
        <v>402</v>
      </c>
      <c r="L1550" s="411" t="s">
        <v>112</v>
      </c>
      <c r="M1550" s="411" t="s">
        <v>32</v>
      </c>
      <c r="N1550" s="460"/>
      <c r="P1550" s="417"/>
    </row>
    <row r="1551" spans="1:16" s="416" customFormat="1" ht="14" outlineLevel="5">
      <c r="A1551" s="400" t="s">
        <v>8</v>
      </c>
      <c r="B1551" s="563" t="s">
        <v>1057</v>
      </c>
      <c r="C1551" s="397" t="s">
        <v>15</v>
      </c>
      <c r="D1551" s="398"/>
      <c r="E1551" s="398"/>
      <c r="F1551" s="398"/>
      <c r="G1551" s="398">
        <f t="shared" si="404"/>
        <v>0</v>
      </c>
      <c r="H1551" s="398">
        <f t="shared" si="405"/>
        <v>0</v>
      </c>
      <c r="I1551" s="399"/>
      <c r="J1551" s="411" t="s">
        <v>21</v>
      </c>
      <c r="K1551" s="411" t="s">
        <v>402</v>
      </c>
      <c r="L1551" s="411" t="s">
        <v>112</v>
      </c>
      <c r="M1551" s="411" t="s">
        <v>32</v>
      </c>
      <c r="N1551" s="460"/>
      <c r="P1551" s="417"/>
    </row>
    <row r="1552" spans="1:16" s="416" customFormat="1" ht="14" outlineLevel="5">
      <c r="A1552" s="400" t="s">
        <v>8</v>
      </c>
      <c r="B1552" s="563" t="s">
        <v>1046</v>
      </c>
      <c r="C1552" s="397" t="s">
        <v>15</v>
      </c>
      <c r="D1552" s="398"/>
      <c r="E1552" s="398"/>
      <c r="F1552" s="398"/>
      <c r="G1552" s="398">
        <f t="shared" si="404"/>
        <v>0</v>
      </c>
      <c r="H1552" s="398">
        <f t="shared" si="405"/>
        <v>0</v>
      </c>
      <c r="I1552" s="399"/>
      <c r="J1552" s="411" t="s">
        <v>21</v>
      </c>
      <c r="K1552" s="411" t="s">
        <v>402</v>
      </c>
      <c r="L1552" s="411" t="s">
        <v>112</v>
      </c>
      <c r="M1552" s="411" t="s">
        <v>32</v>
      </c>
      <c r="N1552" s="460"/>
      <c r="P1552" s="417"/>
    </row>
    <row r="1553" spans="1:16" s="416" customFormat="1" ht="14" outlineLevel="5">
      <c r="A1553" s="400" t="s">
        <v>8</v>
      </c>
      <c r="B1553" s="563" t="s">
        <v>1058</v>
      </c>
      <c r="C1553" s="397" t="s">
        <v>15</v>
      </c>
      <c r="D1553" s="398"/>
      <c r="E1553" s="398"/>
      <c r="F1553" s="398"/>
      <c r="G1553" s="398">
        <f t="shared" si="404"/>
        <v>0</v>
      </c>
      <c r="H1553" s="398">
        <f t="shared" si="405"/>
        <v>0</v>
      </c>
      <c r="I1553" s="399"/>
      <c r="J1553" s="411" t="s">
        <v>21</v>
      </c>
      <c r="K1553" s="411" t="s">
        <v>402</v>
      </c>
      <c r="L1553" s="411" t="s">
        <v>112</v>
      </c>
      <c r="M1553" s="411" t="s">
        <v>32</v>
      </c>
      <c r="N1553" s="460"/>
      <c r="P1553" s="417"/>
    </row>
    <row r="1554" spans="1:16" s="416" customFormat="1" ht="14" outlineLevel="5">
      <c r="A1554" s="400" t="s">
        <v>8</v>
      </c>
      <c r="B1554" s="563" t="s">
        <v>1029</v>
      </c>
      <c r="C1554" s="397" t="s">
        <v>15</v>
      </c>
      <c r="D1554" s="398"/>
      <c r="E1554" s="398"/>
      <c r="F1554" s="398"/>
      <c r="G1554" s="398">
        <f t="shared" si="404"/>
        <v>0</v>
      </c>
      <c r="H1554" s="398">
        <f t="shared" si="405"/>
        <v>0</v>
      </c>
      <c r="I1554" s="399"/>
      <c r="J1554" s="411" t="s">
        <v>21</v>
      </c>
      <c r="K1554" s="411" t="s">
        <v>402</v>
      </c>
      <c r="L1554" s="411" t="s">
        <v>112</v>
      </c>
      <c r="M1554" s="411" t="s">
        <v>32</v>
      </c>
      <c r="N1554" s="460"/>
      <c r="P1554" s="417"/>
    </row>
    <row r="1555" spans="1:16" s="416" customFormat="1" ht="14" outlineLevel="5">
      <c r="A1555" s="400" t="s">
        <v>8</v>
      </c>
      <c r="B1555" s="563" t="s">
        <v>1030</v>
      </c>
      <c r="C1555" s="397" t="s">
        <v>15</v>
      </c>
      <c r="D1555" s="398"/>
      <c r="E1555" s="398"/>
      <c r="F1555" s="398"/>
      <c r="G1555" s="398">
        <f t="shared" si="404"/>
        <v>0</v>
      </c>
      <c r="H1555" s="398">
        <f t="shared" si="405"/>
        <v>0</v>
      </c>
      <c r="I1555" s="399"/>
      <c r="J1555" s="411" t="s">
        <v>21</v>
      </c>
      <c r="K1555" s="411" t="s">
        <v>402</v>
      </c>
      <c r="L1555" s="411" t="s">
        <v>112</v>
      </c>
      <c r="M1555" s="411" t="s">
        <v>32</v>
      </c>
      <c r="N1555" s="460"/>
      <c r="P1555" s="417"/>
    </row>
    <row r="1556" spans="1:16" s="416" customFormat="1" ht="14" outlineLevel="5">
      <c r="A1556" s="400" t="s">
        <v>8</v>
      </c>
      <c r="B1556" s="563" t="s">
        <v>1031</v>
      </c>
      <c r="C1556" s="397" t="s">
        <v>15</v>
      </c>
      <c r="D1556" s="398"/>
      <c r="E1556" s="398"/>
      <c r="F1556" s="398"/>
      <c r="G1556" s="398">
        <f t="shared" si="404"/>
        <v>0</v>
      </c>
      <c r="H1556" s="398">
        <f t="shared" si="405"/>
        <v>0</v>
      </c>
      <c r="I1556" s="399"/>
      <c r="J1556" s="411" t="s">
        <v>21</v>
      </c>
      <c r="K1556" s="411" t="s">
        <v>402</v>
      </c>
      <c r="L1556" s="411" t="s">
        <v>112</v>
      </c>
      <c r="M1556" s="411" t="s">
        <v>32</v>
      </c>
      <c r="N1556" s="460"/>
      <c r="P1556" s="417"/>
    </row>
    <row r="1557" spans="1:16" s="416" customFormat="1" ht="14" outlineLevel="5">
      <c r="A1557" s="400" t="s">
        <v>8</v>
      </c>
      <c r="B1557" s="563" t="s">
        <v>1047</v>
      </c>
      <c r="C1557" s="397" t="s">
        <v>15</v>
      </c>
      <c r="D1557" s="398"/>
      <c r="E1557" s="398"/>
      <c r="F1557" s="398"/>
      <c r="G1557" s="398">
        <f t="shared" si="404"/>
        <v>0</v>
      </c>
      <c r="H1557" s="398">
        <f t="shared" si="405"/>
        <v>0</v>
      </c>
      <c r="I1557" s="399"/>
      <c r="J1557" s="411" t="s">
        <v>21</v>
      </c>
      <c r="K1557" s="411" t="s">
        <v>402</v>
      </c>
      <c r="L1557" s="411" t="s">
        <v>112</v>
      </c>
      <c r="M1557" s="411" t="s">
        <v>32</v>
      </c>
      <c r="N1557" s="460"/>
      <c r="P1557" s="417"/>
    </row>
    <row r="1558" spans="1:16" s="416" customFormat="1" ht="14" outlineLevel="5">
      <c r="A1558" s="400" t="s">
        <v>8</v>
      </c>
      <c r="B1558" s="563" t="s">
        <v>1059</v>
      </c>
      <c r="C1558" s="397" t="s">
        <v>15</v>
      </c>
      <c r="D1558" s="398"/>
      <c r="E1558" s="398"/>
      <c r="F1558" s="398"/>
      <c r="G1558" s="398">
        <f t="shared" si="404"/>
        <v>0</v>
      </c>
      <c r="H1558" s="398">
        <f t="shared" si="405"/>
        <v>0</v>
      </c>
      <c r="I1558" s="399"/>
      <c r="J1558" s="411" t="s">
        <v>21</v>
      </c>
      <c r="K1558" s="411" t="s">
        <v>402</v>
      </c>
      <c r="L1558" s="411" t="s">
        <v>112</v>
      </c>
      <c r="M1558" s="411" t="s">
        <v>32</v>
      </c>
      <c r="N1558" s="460"/>
      <c r="P1558" s="417"/>
    </row>
    <row r="1559" spans="1:16" s="416" customFormat="1" ht="14" outlineLevel="5">
      <c r="A1559" s="400" t="s">
        <v>8</v>
      </c>
      <c r="B1559" s="563" t="s">
        <v>1032</v>
      </c>
      <c r="C1559" s="397" t="s">
        <v>15</v>
      </c>
      <c r="D1559" s="398"/>
      <c r="E1559" s="398"/>
      <c r="F1559" s="398"/>
      <c r="G1559" s="398">
        <f t="shared" si="404"/>
        <v>0</v>
      </c>
      <c r="H1559" s="398">
        <f t="shared" si="405"/>
        <v>0</v>
      </c>
      <c r="I1559" s="399"/>
      <c r="J1559" s="411" t="s">
        <v>21</v>
      </c>
      <c r="K1559" s="411" t="s">
        <v>402</v>
      </c>
      <c r="L1559" s="411" t="s">
        <v>112</v>
      </c>
      <c r="M1559" s="411" t="s">
        <v>32</v>
      </c>
      <c r="N1559" s="460"/>
      <c r="P1559" s="417"/>
    </row>
    <row r="1560" spans="1:16" s="413" customFormat="1" ht="15" customHeight="1" outlineLevel="3">
      <c r="A1560" s="388">
        <v>4</v>
      </c>
      <c r="B1560" s="389" t="s">
        <v>313</v>
      </c>
      <c r="C1560" s="390"/>
      <c r="D1560" s="391"/>
      <c r="E1560" s="391"/>
      <c r="F1560" s="391"/>
      <c r="G1560" s="391">
        <f>SUBTOTAL(9,G1561:G1629)</f>
        <v>105584</v>
      </c>
      <c r="H1560" s="391">
        <f>SUBTOTAL(9,H1561:H1629)</f>
        <v>0</v>
      </c>
      <c r="I1560" s="391"/>
      <c r="J1560" s="410"/>
      <c r="K1560" s="411"/>
      <c r="L1560" s="411"/>
      <c r="M1560" s="412"/>
      <c r="N1560" s="412"/>
      <c r="P1560" s="414"/>
    </row>
    <row r="1561" spans="1:16" s="413" customFormat="1" ht="13" customHeight="1" outlineLevel="4">
      <c r="A1561" s="388">
        <v>4.0999999999999996</v>
      </c>
      <c r="B1561" s="389" t="s">
        <v>1060</v>
      </c>
      <c r="C1561" s="390"/>
      <c r="D1561" s="391"/>
      <c r="E1561" s="391"/>
      <c r="F1561" s="391"/>
      <c r="G1561" s="391">
        <f>SUBTOTAL(9,G1562:G1572)</f>
        <v>0</v>
      </c>
      <c r="H1561" s="391">
        <f>SUBTOTAL(9,H1562:H1572)</f>
        <v>0</v>
      </c>
      <c r="I1561" s="391"/>
      <c r="J1561" s="410"/>
      <c r="K1561" s="411"/>
      <c r="L1561" s="411"/>
      <c r="M1561" s="412"/>
      <c r="N1561" s="412"/>
      <c r="P1561" s="414"/>
    </row>
    <row r="1562" spans="1:16" s="416" customFormat="1" ht="14" outlineLevel="5">
      <c r="A1562" s="405" t="s">
        <v>8</v>
      </c>
      <c r="B1562" s="564" t="s">
        <v>1056</v>
      </c>
      <c r="C1562" s="397" t="s">
        <v>1063</v>
      </c>
      <c r="D1562" s="398"/>
      <c r="E1562" s="398"/>
      <c r="F1562" s="398"/>
      <c r="G1562" s="398">
        <f t="shared" ref="G1562:G1572" si="406">F1562*D1562</f>
        <v>0</v>
      </c>
      <c r="H1562" s="398">
        <f t="shared" ref="H1562:H1572" si="407">F1562*E1562</f>
        <v>0</v>
      </c>
      <c r="I1562" s="399"/>
      <c r="J1562" s="411" t="s">
        <v>21</v>
      </c>
      <c r="K1562" s="449" t="s">
        <v>402</v>
      </c>
      <c r="L1562" s="411" t="s">
        <v>112</v>
      </c>
      <c r="M1562" s="411" t="s">
        <v>32</v>
      </c>
      <c r="N1562" s="460"/>
      <c r="P1562" s="417"/>
    </row>
    <row r="1563" spans="1:16" s="416" customFormat="1" ht="14" outlineLevel="5">
      <c r="A1563" s="400" t="s">
        <v>8</v>
      </c>
      <c r="B1563" s="563" t="s">
        <v>1044</v>
      </c>
      <c r="C1563" s="397" t="s">
        <v>23</v>
      </c>
      <c r="D1563" s="398"/>
      <c r="E1563" s="398"/>
      <c r="F1563" s="398"/>
      <c r="G1563" s="398">
        <f t="shared" si="406"/>
        <v>0</v>
      </c>
      <c r="H1563" s="398">
        <f t="shared" si="407"/>
        <v>0</v>
      </c>
      <c r="I1563" s="399"/>
      <c r="J1563" s="411" t="s">
        <v>21</v>
      </c>
      <c r="K1563" s="449" t="s">
        <v>402</v>
      </c>
      <c r="L1563" s="411" t="s">
        <v>112</v>
      </c>
      <c r="M1563" s="411" t="s">
        <v>32</v>
      </c>
      <c r="N1563" s="460"/>
      <c r="P1563" s="417"/>
    </row>
    <row r="1564" spans="1:16" s="416" customFormat="1" ht="14" outlineLevel="5">
      <c r="A1564" s="400" t="s">
        <v>8</v>
      </c>
      <c r="B1564" s="563" t="s">
        <v>1045</v>
      </c>
      <c r="C1564" s="397" t="s">
        <v>23</v>
      </c>
      <c r="D1564" s="398"/>
      <c r="E1564" s="398"/>
      <c r="F1564" s="398"/>
      <c r="G1564" s="398">
        <f t="shared" si="406"/>
        <v>0</v>
      </c>
      <c r="H1564" s="398">
        <f t="shared" si="407"/>
        <v>0</v>
      </c>
      <c r="I1564" s="399"/>
      <c r="J1564" s="411" t="s">
        <v>21</v>
      </c>
      <c r="K1564" s="449" t="s">
        <v>402</v>
      </c>
      <c r="L1564" s="411" t="s">
        <v>112</v>
      </c>
      <c r="M1564" s="411" t="s">
        <v>32</v>
      </c>
      <c r="N1564" s="460"/>
      <c r="P1564" s="417"/>
    </row>
    <row r="1565" spans="1:16" s="416" customFormat="1" ht="14" outlineLevel="5">
      <c r="A1565" s="405" t="s">
        <v>8</v>
      </c>
      <c r="B1565" s="564" t="s">
        <v>1027</v>
      </c>
      <c r="C1565" s="397" t="s">
        <v>23</v>
      </c>
      <c r="D1565" s="398"/>
      <c r="E1565" s="398"/>
      <c r="F1565" s="398"/>
      <c r="G1565" s="398">
        <f t="shared" si="406"/>
        <v>0</v>
      </c>
      <c r="H1565" s="398">
        <f t="shared" si="407"/>
        <v>0</v>
      </c>
      <c r="I1565" s="399"/>
      <c r="J1565" s="411" t="s">
        <v>21</v>
      </c>
      <c r="K1565" s="449" t="s">
        <v>402</v>
      </c>
      <c r="L1565" s="411" t="s">
        <v>112</v>
      </c>
      <c r="M1565" s="411" t="s">
        <v>32</v>
      </c>
      <c r="N1565" s="460"/>
      <c r="P1565" s="417"/>
    </row>
    <row r="1566" spans="1:16" s="416" customFormat="1" ht="14" outlineLevel="5">
      <c r="A1566" s="400" t="s">
        <v>8</v>
      </c>
      <c r="B1566" s="563" t="s">
        <v>1061</v>
      </c>
      <c r="C1566" s="397" t="s">
        <v>23</v>
      </c>
      <c r="D1566" s="398"/>
      <c r="E1566" s="398"/>
      <c r="F1566" s="398"/>
      <c r="G1566" s="398">
        <f t="shared" si="406"/>
        <v>0</v>
      </c>
      <c r="H1566" s="398">
        <f t="shared" si="407"/>
        <v>0</v>
      </c>
      <c r="I1566" s="399"/>
      <c r="J1566" s="411" t="s">
        <v>21</v>
      </c>
      <c r="K1566" s="449" t="s">
        <v>402</v>
      </c>
      <c r="L1566" s="411" t="s">
        <v>112</v>
      </c>
      <c r="M1566" s="411" t="s">
        <v>32</v>
      </c>
      <c r="N1566" s="460"/>
      <c r="P1566" s="417"/>
    </row>
    <row r="1567" spans="1:16" s="416" customFormat="1" ht="14" outlineLevel="5">
      <c r="A1567" s="400" t="s">
        <v>8</v>
      </c>
      <c r="B1567" s="563" t="s">
        <v>1046</v>
      </c>
      <c r="C1567" s="397" t="s">
        <v>23</v>
      </c>
      <c r="D1567" s="398"/>
      <c r="E1567" s="398"/>
      <c r="F1567" s="398"/>
      <c r="G1567" s="398">
        <f t="shared" si="406"/>
        <v>0</v>
      </c>
      <c r="H1567" s="398">
        <f t="shared" si="407"/>
        <v>0</v>
      </c>
      <c r="I1567" s="399"/>
      <c r="J1567" s="411" t="s">
        <v>21</v>
      </c>
      <c r="K1567" s="449" t="s">
        <v>402</v>
      </c>
      <c r="L1567" s="411" t="s">
        <v>112</v>
      </c>
      <c r="M1567" s="411" t="s">
        <v>32</v>
      </c>
      <c r="N1567" s="460"/>
      <c r="P1567" s="417"/>
    </row>
    <row r="1568" spans="1:16" s="416" customFormat="1" ht="14" outlineLevel="5">
      <c r="A1568" s="400" t="s">
        <v>8</v>
      </c>
      <c r="B1568" s="563" t="s">
        <v>1058</v>
      </c>
      <c r="C1568" s="397" t="s">
        <v>23</v>
      </c>
      <c r="D1568" s="398"/>
      <c r="E1568" s="398"/>
      <c r="F1568" s="398"/>
      <c r="G1568" s="398">
        <f t="shared" si="406"/>
        <v>0</v>
      </c>
      <c r="H1568" s="398">
        <f t="shared" si="407"/>
        <v>0</v>
      </c>
      <c r="I1568" s="399"/>
      <c r="J1568" s="411" t="s">
        <v>21</v>
      </c>
      <c r="K1568" s="449" t="s">
        <v>402</v>
      </c>
      <c r="L1568" s="411" t="s">
        <v>112</v>
      </c>
      <c r="M1568" s="411" t="s">
        <v>32</v>
      </c>
      <c r="N1568" s="460"/>
      <c r="P1568" s="417"/>
    </row>
    <row r="1569" spans="1:16" s="416" customFormat="1" ht="14" outlineLevel="5">
      <c r="A1569" s="405" t="s">
        <v>8</v>
      </c>
      <c r="B1569" s="564" t="s">
        <v>1062</v>
      </c>
      <c r="C1569" s="397" t="s">
        <v>166</v>
      </c>
      <c r="D1569" s="398"/>
      <c r="E1569" s="398"/>
      <c r="F1569" s="398"/>
      <c r="G1569" s="398">
        <f t="shared" si="406"/>
        <v>0</v>
      </c>
      <c r="H1569" s="398">
        <f t="shared" si="407"/>
        <v>0</v>
      </c>
      <c r="I1569" s="399"/>
      <c r="J1569" s="411" t="s">
        <v>21</v>
      </c>
      <c r="K1569" s="449" t="s">
        <v>402</v>
      </c>
      <c r="L1569" s="411" t="s">
        <v>112</v>
      </c>
      <c r="M1569" s="411" t="s">
        <v>32</v>
      </c>
      <c r="N1569" s="460"/>
      <c r="P1569" s="417"/>
    </row>
    <row r="1570" spans="1:16" s="416" customFormat="1" ht="14" outlineLevel="5">
      <c r="A1570" s="400" t="s">
        <v>8</v>
      </c>
      <c r="B1570" s="563" t="s">
        <v>1047</v>
      </c>
      <c r="C1570" s="397" t="s">
        <v>166</v>
      </c>
      <c r="D1570" s="398"/>
      <c r="E1570" s="398"/>
      <c r="F1570" s="398"/>
      <c r="G1570" s="398">
        <f t="shared" si="406"/>
        <v>0</v>
      </c>
      <c r="H1570" s="398">
        <f t="shared" si="407"/>
        <v>0</v>
      </c>
      <c r="I1570" s="399"/>
      <c r="J1570" s="411" t="s">
        <v>21</v>
      </c>
      <c r="K1570" s="449" t="s">
        <v>402</v>
      </c>
      <c r="L1570" s="411" t="s">
        <v>112</v>
      </c>
      <c r="M1570" s="411" t="s">
        <v>32</v>
      </c>
      <c r="N1570" s="460"/>
      <c r="P1570" s="417"/>
    </row>
    <row r="1571" spans="1:16" s="416" customFormat="1" ht="14" outlineLevel="5">
      <c r="A1571" s="400" t="s">
        <v>8</v>
      </c>
      <c r="B1571" s="563" t="s">
        <v>1059</v>
      </c>
      <c r="C1571" s="397" t="s">
        <v>166</v>
      </c>
      <c r="D1571" s="398"/>
      <c r="E1571" s="398"/>
      <c r="F1571" s="398"/>
      <c r="G1571" s="398">
        <f t="shared" si="406"/>
        <v>0</v>
      </c>
      <c r="H1571" s="398">
        <f t="shared" si="407"/>
        <v>0</v>
      </c>
      <c r="I1571" s="399"/>
      <c r="J1571" s="411" t="s">
        <v>21</v>
      </c>
      <c r="K1571" s="449" t="s">
        <v>402</v>
      </c>
      <c r="L1571" s="411" t="s">
        <v>112</v>
      </c>
      <c r="M1571" s="411" t="s">
        <v>32</v>
      </c>
      <c r="N1571" s="460"/>
      <c r="P1571" s="417"/>
    </row>
    <row r="1572" spans="1:16" s="416" customFormat="1" ht="14" outlineLevel="5">
      <c r="A1572" s="400" t="s">
        <v>8</v>
      </c>
      <c r="B1572" s="563" t="s">
        <v>1032</v>
      </c>
      <c r="C1572" s="397" t="s">
        <v>1064</v>
      </c>
      <c r="D1572" s="398"/>
      <c r="E1572" s="398"/>
      <c r="F1572" s="398"/>
      <c r="G1572" s="398">
        <f t="shared" si="406"/>
        <v>0</v>
      </c>
      <c r="H1572" s="398">
        <f t="shared" si="407"/>
        <v>0</v>
      </c>
      <c r="I1572" s="399"/>
      <c r="J1572" s="411" t="s">
        <v>21</v>
      </c>
      <c r="K1572" s="449" t="s">
        <v>402</v>
      </c>
      <c r="L1572" s="411" t="s">
        <v>112</v>
      </c>
      <c r="M1572" s="411" t="s">
        <v>32</v>
      </c>
      <c r="N1572" s="460"/>
      <c r="P1572" s="417"/>
    </row>
    <row r="1573" spans="1:16" s="413" customFormat="1" ht="13" customHeight="1" outlineLevel="4">
      <c r="A1573" s="388">
        <v>4.2</v>
      </c>
      <c r="B1573" s="532" t="s">
        <v>1065</v>
      </c>
      <c r="C1573" s="390"/>
      <c r="D1573" s="391"/>
      <c r="E1573" s="391"/>
      <c r="F1573" s="391"/>
      <c r="G1573" s="391">
        <f>SUBTOTAL(9,G1574:G1581)</f>
        <v>0</v>
      </c>
      <c r="H1573" s="391">
        <f>SUBTOTAL(9,H1574:H1581)</f>
        <v>0</v>
      </c>
      <c r="I1573" s="391"/>
      <c r="J1573" s="410"/>
      <c r="K1573" s="411"/>
      <c r="L1573" s="411"/>
      <c r="M1573" s="412"/>
      <c r="N1573" s="412"/>
      <c r="P1573" s="414"/>
    </row>
    <row r="1574" spans="1:16" s="416" customFormat="1" ht="14" outlineLevel="5">
      <c r="A1574" s="405" t="s">
        <v>8</v>
      </c>
      <c r="B1574" s="564" t="s">
        <v>1066</v>
      </c>
      <c r="C1574" s="397" t="s">
        <v>1063</v>
      </c>
      <c r="D1574" s="398"/>
      <c r="E1574" s="398"/>
      <c r="F1574" s="398"/>
      <c r="G1574" s="398">
        <f t="shared" ref="G1574:G1581" si="408">F1574*D1574</f>
        <v>0</v>
      </c>
      <c r="H1574" s="398">
        <f t="shared" ref="H1574:H1581" si="409">F1574*E1574</f>
        <v>0</v>
      </c>
      <c r="I1574" s="399"/>
      <c r="J1574" s="411" t="s">
        <v>21</v>
      </c>
      <c r="K1574" s="449" t="s">
        <v>402</v>
      </c>
      <c r="L1574" s="411" t="s">
        <v>112</v>
      </c>
      <c r="M1574" s="411" t="s">
        <v>32</v>
      </c>
      <c r="N1574" s="460"/>
      <c r="P1574" s="417"/>
    </row>
    <row r="1575" spans="1:16" s="416" customFormat="1" ht="14" outlineLevel="5">
      <c r="A1575" s="400" t="s">
        <v>8</v>
      </c>
      <c r="B1575" s="563" t="s">
        <v>1067</v>
      </c>
      <c r="C1575" s="397" t="s">
        <v>23</v>
      </c>
      <c r="D1575" s="398"/>
      <c r="E1575" s="398"/>
      <c r="F1575" s="398"/>
      <c r="G1575" s="398">
        <f t="shared" si="408"/>
        <v>0</v>
      </c>
      <c r="H1575" s="398">
        <f t="shared" si="409"/>
        <v>0</v>
      </c>
      <c r="I1575" s="399"/>
      <c r="J1575" s="411" t="s">
        <v>21</v>
      </c>
      <c r="K1575" s="449" t="s">
        <v>402</v>
      </c>
      <c r="L1575" s="411" t="s">
        <v>112</v>
      </c>
      <c r="M1575" s="411" t="s">
        <v>32</v>
      </c>
      <c r="N1575" s="460"/>
      <c r="P1575" s="417"/>
    </row>
    <row r="1576" spans="1:16" s="416" customFormat="1" ht="14" outlineLevel="5">
      <c r="A1576" s="400" t="s">
        <v>8</v>
      </c>
      <c r="B1576" s="563" t="s">
        <v>1068</v>
      </c>
      <c r="C1576" s="397" t="s">
        <v>23</v>
      </c>
      <c r="D1576" s="398"/>
      <c r="E1576" s="398"/>
      <c r="F1576" s="398"/>
      <c r="G1576" s="398">
        <f t="shared" si="408"/>
        <v>0</v>
      </c>
      <c r="H1576" s="398">
        <f t="shared" si="409"/>
        <v>0</v>
      </c>
      <c r="I1576" s="399"/>
      <c r="J1576" s="411" t="s">
        <v>21</v>
      </c>
      <c r="K1576" s="449" t="s">
        <v>402</v>
      </c>
      <c r="L1576" s="411" t="s">
        <v>112</v>
      </c>
      <c r="M1576" s="411" t="s">
        <v>32</v>
      </c>
      <c r="N1576" s="460"/>
      <c r="P1576" s="417"/>
    </row>
    <row r="1577" spans="1:16" s="416" customFormat="1" ht="14" outlineLevel="5">
      <c r="A1577" s="405" t="s">
        <v>8</v>
      </c>
      <c r="B1577" s="564" t="s">
        <v>1069</v>
      </c>
      <c r="C1577" s="397" t="s">
        <v>23</v>
      </c>
      <c r="D1577" s="398"/>
      <c r="E1577" s="398"/>
      <c r="F1577" s="398"/>
      <c r="G1577" s="398">
        <f t="shared" si="408"/>
        <v>0</v>
      </c>
      <c r="H1577" s="398">
        <f t="shared" si="409"/>
        <v>0</v>
      </c>
      <c r="I1577" s="399"/>
      <c r="J1577" s="411" t="s">
        <v>21</v>
      </c>
      <c r="K1577" s="449" t="s">
        <v>402</v>
      </c>
      <c r="L1577" s="411" t="s">
        <v>112</v>
      </c>
      <c r="M1577" s="411" t="s">
        <v>32</v>
      </c>
      <c r="N1577" s="460"/>
      <c r="P1577" s="417"/>
    </row>
    <row r="1578" spans="1:16" s="416" customFormat="1" ht="14" outlineLevel="5">
      <c r="A1578" s="400" t="s">
        <v>8</v>
      </c>
      <c r="B1578" s="563" t="s">
        <v>1070</v>
      </c>
      <c r="C1578" s="397" t="s">
        <v>23</v>
      </c>
      <c r="D1578" s="398"/>
      <c r="E1578" s="398"/>
      <c r="F1578" s="398"/>
      <c r="G1578" s="398">
        <f t="shared" si="408"/>
        <v>0</v>
      </c>
      <c r="H1578" s="398">
        <f t="shared" si="409"/>
        <v>0</v>
      </c>
      <c r="I1578" s="399"/>
      <c r="J1578" s="411" t="s">
        <v>21</v>
      </c>
      <c r="K1578" s="449" t="s">
        <v>402</v>
      </c>
      <c r="L1578" s="411" t="s">
        <v>112</v>
      </c>
      <c r="M1578" s="411" t="s">
        <v>32</v>
      </c>
      <c r="N1578" s="460"/>
      <c r="P1578" s="417"/>
    </row>
    <row r="1579" spans="1:16" s="416" customFormat="1" ht="14" outlineLevel="5">
      <c r="A1579" s="400" t="s">
        <v>8</v>
      </c>
      <c r="B1579" s="563" t="s">
        <v>1040</v>
      </c>
      <c r="C1579" s="397" t="s">
        <v>166</v>
      </c>
      <c r="D1579" s="398"/>
      <c r="E1579" s="398"/>
      <c r="F1579" s="398"/>
      <c r="G1579" s="398">
        <f t="shared" si="408"/>
        <v>0</v>
      </c>
      <c r="H1579" s="398">
        <f t="shared" si="409"/>
        <v>0</v>
      </c>
      <c r="I1579" s="399"/>
      <c r="J1579" s="411" t="s">
        <v>21</v>
      </c>
      <c r="K1579" s="449" t="s">
        <v>402</v>
      </c>
      <c r="L1579" s="411" t="s">
        <v>112</v>
      </c>
      <c r="M1579" s="411" t="s">
        <v>32</v>
      </c>
      <c r="N1579" s="460"/>
      <c r="P1579" s="417"/>
    </row>
    <row r="1580" spans="1:16" s="416" customFormat="1" ht="14" outlineLevel="5">
      <c r="A1580" s="400" t="s">
        <v>8</v>
      </c>
      <c r="B1580" s="563" t="s">
        <v>1047</v>
      </c>
      <c r="C1580" s="397" t="s">
        <v>166</v>
      </c>
      <c r="D1580" s="398"/>
      <c r="E1580" s="398"/>
      <c r="F1580" s="398"/>
      <c r="G1580" s="398">
        <f t="shared" si="408"/>
        <v>0</v>
      </c>
      <c r="H1580" s="398">
        <f t="shared" si="409"/>
        <v>0</v>
      </c>
      <c r="I1580" s="399"/>
      <c r="J1580" s="411" t="s">
        <v>21</v>
      </c>
      <c r="K1580" s="449" t="s">
        <v>402</v>
      </c>
      <c r="L1580" s="411" t="s">
        <v>112</v>
      </c>
      <c r="M1580" s="411" t="s">
        <v>32</v>
      </c>
      <c r="N1580" s="460"/>
      <c r="P1580" s="417"/>
    </row>
    <row r="1581" spans="1:16" s="416" customFormat="1" ht="14" outlineLevel="5">
      <c r="A1581" s="405" t="s">
        <v>8</v>
      </c>
      <c r="B1581" s="564" t="s">
        <v>1032</v>
      </c>
      <c r="C1581" s="397" t="s">
        <v>1064</v>
      </c>
      <c r="D1581" s="398"/>
      <c r="E1581" s="398"/>
      <c r="F1581" s="398"/>
      <c r="G1581" s="398">
        <f t="shared" si="408"/>
        <v>0</v>
      </c>
      <c r="H1581" s="398">
        <f t="shared" si="409"/>
        <v>0</v>
      </c>
      <c r="I1581" s="399"/>
      <c r="J1581" s="411" t="s">
        <v>21</v>
      </c>
      <c r="K1581" s="449" t="s">
        <v>402</v>
      </c>
      <c r="L1581" s="411" t="s">
        <v>112</v>
      </c>
      <c r="M1581" s="411" t="s">
        <v>32</v>
      </c>
      <c r="N1581" s="460"/>
      <c r="P1581" s="417"/>
    </row>
    <row r="1582" spans="1:16" s="413" customFormat="1" ht="13" customHeight="1" outlineLevel="4">
      <c r="A1582" s="388">
        <v>4.3</v>
      </c>
      <c r="B1582" s="532" t="s">
        <v>1071</v>
      </c>
      <c r="C1582" s="390"/>
      <c r="D1582" s="391"/>
      <c r="E1582" s="391"/>
      <c r="F1582" s="391"/>
      <c r="G1582" s="391">
        <f>SUBTOTAL(9,G1583:G1590)</f>
        <v>0</v>
      </c>
      <c r="H1582" s="391">
        <f>SUBTOTAL(9,H1583:H1590)</f>
        <v>0</v>
      </c>
      <c r="I1582" s="391"/>
      <c r="J1582" s="410"/>
      <c r="K1582" s="411"/>
      <c r="L1582" s="411"/>
      <c r="M1582" s="412"/>
      <c r="N1582" s="412"/>
      <c r="P1582" s="414"/>
    </row>
    <row r="1583" spans="1:16" s="416" customFormat="1" ht="14" outlineLevel="5">
      <c r="A1583" s="405" t="s">
        <v>8</v>
      </c>
      <c r="B1583" s="564" t="s">
        <v>1072</v>
      </c>
      <c r="C1583" s="397" t="s">
        <v>1063</v>
      </c>
      <c r="D1583" s="398"/>
      <c r="E1583" s="398"/>
      <c r="F1583" s="398"/>
      <c r="G1583" s="398">
        <f t="shared" ref="G1583:G1590" si="410">F1583*D1583</f>
        <v>0</v>
      </c>
      <c r="H1583" s="398">
        <f t="shared" ref="H1583:H1590" si="411">F1583*E1583</f>
        <v>0</v>
      </c>
      <c r="I1583" s="399"/>
      <c r="J1583" s="411" t="s">
        <v>21</v>
      </c>
      <c r="K1583" s="449" t="s">
        <v>402</v>
      </c>
      <c r="L1583" s="411" t="s">
        <v>112</v>
      </c>
      <c r="M1583" s="411" t="s">
        <v>32</v>
      </c>
      <c r="N1583" s="460"/>
      <c r="P1583" s="417"/>
    </row>
    <row r="1584" spans="1:16" s="416" customFormat="1" ht="14" outlineLevel="5">
      <c r="A1584" s="400" t="s">
        <v>8</v>
      </c>
      <c r="B1584" s="563" t="s">
        <v>1069</v>
      </c>
      <c r="C1584" s="397" t="s">
        <v>23</v>
      </c>
      <c r="D1584" s="398"/>
      <c r="E1584" s="398"/>
      <c r="F1584" s="398"/>
      <c r="G1584" s="398">
        <f t="shared" si="410"/>
        <v>0</v>
      </c>
      <c r="H1584" s="398">
        <f t="shared" si="411"/>
        <v>0</v>
      </c>
      <c r="I1584" s="399"/>
      <c r="J1584" s="411" t="s">
        <v>21</v>
      </c>
      <c r="K1584" s="449" t="s">
        <v>402</v>
      </c>
      <c r="L1584" s="411" t="s">
        <v>112</v>
      </c>
      <c r="M1584" s="411" t="s">
        <v>32</v>
      </c>
      <c r="N1584" s="460"/>
      <c r="P1584" s="417"/>
    </row>
    <row r="1585" spans="1:16" s="416" customFormat="1" ht="14" outlineLevel="5">
      <c r="A1585" s="400" t="s">
        <v>8</v>
      </c>
      <c r="B1585" s="563" t="s">
        <v>1070</v>
      </c>
      <c r="C1585" s="397" t="s">
        <v>23</v>
      </c>
      <c r="D1585" s="398"/>
      <c r="E1585" s="398"/>
      <c r="F1585" s="398"/>
      <c r="G1585" s="398">
        <f t="shared" si="410"/>
        <v>0</v>
      </c>
      <c r="H1585" s="398">
        <f t="shared" si="411"/>
        <v>0</v>
      </c>
      <c r="I1585" s="399"/>
      <c r="J1585" s="411" t="s">
        <v>21</v>
      </c>
      <c r="K1585" s="449" t="s">
        <v>402</v>
      </c>
      <c r="L1585" s="411" t="s">
        <v>112</v>
      </c>
      <c r="M1585" s="411" t="s">
        <v>32</v>
      </c>
      <c r="N1585" s="460"/>
      <c r="P1585" s="417"/>
    </row>
    <row r="1586" spans="1:16" s="416" customFormat="1" ht="14" outlineLevel="5">
      <c r="A1586" s="405" t="s">
        <v>8</v>
      </c>
      <c r="B1586" s="564" t="s">
        <v>1073</v>
      </c>
      <c r="C1586" s="397" t="s">
        <v>23</v>
      </c>
      <c r="D1586" s="398"/>
      <c r="E1586" s="398"/>
      <c r="F1586" s="398"/>
      <c r="G1586" s="398">
        <f t="shared" si="410"/>
        <v>0</v>
      </c>
      <c r="H1586" s="398">
        <f t="shared" si="411"/>
        <v>0</v>
      </c>
      <c r="I1586" s="399"/>
      <c r="J1586" s="411" t="s">
        <v>21</v>
      </c>
      <c r="K1586" s="449" t="s">
        <v>402</v>
      </c>
      <c r="L1586" s="411" t="s">
        <v>112</v>
      </c>
      <c r="M1586" s="411" t="s">
        <v>32</v>
      </c>
      <c r="N1586" s="460"/>
      <c r="P1586" s="417"/>
    </row>
    <row r="1587" spans="1:16" s="416" customFormat="1" ht="14" outlineLevel="5">
      <c r="A1587" s="400" t="s">
        <v>8</v>
      </c>
      <c r="B1587" s="563" t="s">
        <v>1040</v>
      </c>
      <c r="C1587" s="397" t="s">
        <v>166</v>
      </c>
      <c r="D1587" s="398"/>
      <c r="E1587" s="398"/>
      <c r="F1587" s="398"/>
      <c r="G1587" s="398">
        <f t="shared" si="410"/>
        <v>0</v>
      </c>
      <c r="H1587" s="398">
        <f t="shared" si="411"/>
        <v>0</v>
      </c>
      <c r="I1587" s="399"/>
      <c r="J1587" s="411" t="s">
        <v>21</v>
      </c>
      <c r="K1587" s="449" t="s">
        <v>402</v>
      </c>
      <c r="L1587" s="411" t="s">
        <v>112</v>
      </c>
      <c r="M1587" s="411" t="s">
        <v>32</v>
      </c>
      <c r="N1587" s="460"/>
      <c r="P1587" s="417"/>
    </row>
    <row r="1588" spans="1:16" s="416" customFormat="1" ht="14" outlineLevel="5">
      <c r="A1588" s="400" t="s">
        <v>8</v>
      </c>
      <c r="B1588" s="563" t="s">
        <v>1047</v>
      </c>
      <c r="C1588" s="397" t="s">
        <v>166</v>
      </c>
      <c r="D1588" s="398"/>
      <c r="E1588" s="398"/>
      <c r="F1588" s="398"/>
      <c r="G1588" s="398">
        <f t="shared" si="410"/>
        <v>0</v>
      </c>
      <c r="H1588" s="398">
        <f t="shared" si="411"/>
        <v>0</v>
      </c>
      <c r="I1588" s="399"/>
      <c r="J1588" s="411" t="s">
        <v>21</v>
      </c>
      <c r="K1588" s="449" t="s">
        <v>402</v>
      </c>
      <c r="L1588" s="411" t="s">
        <v>112</v>
      </c>
      <c r="M1588" s="411" t="s">
        <v>32</v>
      </c>
      <c r="N1588" s="460"/>
      <c r="P1588" s="417"/>
    </row>
    <row r="1589" spans="1:16" s="416" customFormat="1" ht="14" outlineLevel="5">
      <c r="A1589" s="400" t="s">
        <v>8</v>
      </c>
      <c r="B1589" s="563" t="s">
        <v>1059</v>
      </c>
      <c r="C1589" s="397" t="s">
        <v>166</v>
      </c>
      <c r="D1589" s="398"/>
      <c r="E1589" s="398"/>
      <c r="F1589" s="398"/>
      <c r="G1589" s="398">
        <f t="shared" si="410"/>
        <v>0</v>
      </c>
      <c r="H1589" s="398">
        <f t="shared" si="411"/>
        <v>0</v>
      </c>
      <c r="I1589" s="399"/>
      <c r="J1589" s="411" t="s">
        <v>21</v>
      </c>
      <c r="K1589" s="449" t="s">
        <v>402</v>
      </c>
      <c r="L1589" s="411" t="s">
        <v>112</v>
      </c>
      <c r="M1589" s="411" t="s">
        <v>32</v>
      </c>
      <c r="N1589" s="460"/>
      <c r="P1589" s="417"/>
    </row>
    <row r="1590" spans="1:16" s="416" customFormat="1" ht="14" outlineLevel="5">
      <c r="A1590" s="405" t="s">
        <v>8</v>
      </c>
      <c r="B1590" s="564" t="s">
        <v>1032</v>
      </c>
      <c r="C1590" s="397" t="s">
        <v>1064</v>
      </c>
      <c r="D1590" s="398"/>
      <c r="E1590" s="398"/>
      <c r="F1590" s="398"/>
      <c r="G1590" s="398">
        <f t="shared" si="410"/>
        <v>0</v>
      </c>
      <c r="H1590" s="398">
        <f t="shared" si="411"/>
        <v>0</v>
      </c>
      <c r="I1590" s="399"/>
      <c r="J1590" s="411" t="s">
        <v>21</v>
      </c>
      <c r="K1590" s="449" t="s">
        <v>402</v>
      </c>
      <c r="L1590" s="411" t="s">
        <v>112</v>
      </c>
      <c r="M1590" s="411" t="s">
        <v>32</v>
      </c>
      <c r="N1590" s="460"/>
      <c r="P1590" s="417"/>
    </row>
    <row r="1591" spans="1:16" s="413" customFormat="1" ht="13" customHeight="1" outlineLevel="4">
      <c r="A1591" s="388">
        <v>4.4000000000000004</v>
      </c>
      <c r="B1591" s="532" t="s">
        <v>1074</v>
      </c>
      <c r="C1591" s="390"/>
      <c r="D1591" s="391"/>
      <c r="E1591" s="391"/>
      <c r="F1591" s="391"/>
      <c r="G1591" s="391">
        <f>SUBTOTAL(9,G1592:G1603)</f>
        <v>0</v>
      </c>
      <c r="H1591" s="391">
        <f>SUBTOTAL(9,H1592:H1603)</f>
        <v>0</v>
      </c>
      <c r="I1591" s="391"/>
      <c r="J1591" s="410"/>
      <c r="K1591" s="411"/>
      <c r="L1591" s="411"/>
      <c r="M1591" s="412"/>
      <c r="N1591" s="412"/>
      <c r="P1591" s="414"/>
    </row>
    <row r="1592" spans="1:16" s="416" customFormat="1" ht="14" outlineLevel="5">
      <c r="A1592" s="405" t="s">
        <v>8</v>
      </c>
      <c r="B1592" s="564" t="s">
        <v>1075</v>
      </c>
      <c r="C1592" s="397" t="s">
        <v>1063</v>
      </c>
      <c r="D1592" s="562"/>
      <c r="E1592" s="398"/>
      <c r="F1592" s="398"/>
      <c r="G1592" s="398">
        <f t="shared" ref="G1592:G1603" si="412">F1592*D1592</f>
        <v>0</v>
      </c>
      <c r="H1592" s="398">
        <f t="shared" ref="H1592:H1603" si="413">F1592*E1592</f>
        <v>0</v>
      </c>
      <c r="I1592" s="399"/>
      <c r="J1592" s="411" t="s">
        <v>21</v>
      </c>
      <c r="K1592" s="449" t="s">
        <v>402</v>
      </c>
      <c r="L1592" s="411" t="s">
        <v>112</v>
      </c>
      <c r="M1592" s="411" t="s">
        <v>32</v>
      </c>
      <c r="N1592" s="460"/>
      <c r="P1592" s="417"/>
    </row>
    <row r="1593" spans="1:16" s="416" customFormat="1" ht="14" outlineLevel="5">
      <c r="A1593" s="400" t="s">
        <v>8</v>
      </c>
      <c r="B1593" s="563" t="s">
        <v>1076</v>
      </c>
      <c r="C1593" s="397" t="s">
        <v>23</v>
      </c>
      <c r="D1593" s="562"/>
      <c r="E1593" s="398"/>
      <c r="F1593" s="398"/>
      <c r="G1593" s="398">
        <f t="shared" si="412"/>
        <v>0</v>
      </c>
      <c r="H1593" s="398">
        <f t="shared" si="413"/>
        <v>0</v>
      </c>
      <c r="I1593" s="399"/>
      <c r="J1593" s="411" t="s">
        <v>21</v>
      </c>
      <c r="K1593" s="449" t="s">
        <v>402</v>
      </c>
      <c r="L1593" s="411" t="s">
        <v>112</v>
      </c>
      <c r="M1593" s="411" t="s">
        <v>32</v>
      </c>
      <c r="N1593" s="460"/>
      <c r="P1593" s="417"/>
    </row>
    <row r="1594" spans="1:16" s="416" customFormat="1" ht="14" outlineLevel="5">
      <c r="A1594" s="400" t="s">
        <v>8</v>
      </c>
      <c r="B1594" s="563" t="s">
        <v>1067</v>
      </c>
      <c r="C1594" s="397" t="s">
        <v>23</v>
      </c>
      <c r="D1594" s="562"/>
      <c r="E1594" s="398"/>
      <c r="F1594" s="398"/>
      <c r="G1594" s="398">
        <f t="shared" si="412"/>
        <v>0</v>
      </c>
      <c r="H1594" s="398">
        <f t="shared" si="413"/>
        <v>0</v>
      </c>
      <c r="I1594" s="399"/>
      <c r="J1594" s="411" t="s">
        <v>21</v>
      </c>
      <c r="K1594" s="449" t="s">
        <v>402</v>
      </c>
      <c r="L1594" s="411" t="s">
        <v>112</v>
      </c>
      <c r="M1594" s="411" t="s">
        <v>32</v>
      </c>
      <c r="N1594" s="460"/>
      <c r="P1594" s="417"/>
    </row>
    <row r="1595" spans="1:16" s="416" customFormat="1" ht="14" outlineLevel="5">
      <c r="A1595" s="405" t="s">
        <v>8</v>
      </c>
      <c r="B1595" s="564" t="s">
        <v>1069</v>
      </c>
      <c r="C1595" s="397" t="s">
        <v>23</v>
      </c>
      <c r="D1595" s="562"/>
      <c r="E1595" s="398"/>
      <c r="F1595" s="398"/>
      <c r="G1595" s="398">
        <f t="shared" si="412"/>
        <v>0</v>
      </c>
      <c r="H1595" s="398">
        <f t="shared" si="413"/>
        <v>0</v>
      </c>
      <c r="I1595" s="399"/>
      <c r="J1595" s="411" t="s">
        <v>21</v>
      </c>
      <c r="K1595" s="449" t="s">
        <v>402</v>
      </c>
      <c r="L1595" s="411" t="s">
        <v>112</v>
      </c>
      <c r="M1595" s="411" t="s">
        <v>32</v>
      </c>
      <c r="N1595" s="460"/>
      <c r="P1595" s="417"/>
    </row>
    <row r="1596" spans="1:16" s="416" customFormat="1" ht="14" outlineLevel="5">
      <c r="A1596" s="405" t="s">
        <v>8</v>
      </c>
      <c r="B1596" s="564" t="s">
        <v>1070</v>
      </c>
      <c r="C1596" s="397" t="s">
        <v>23</v>
      </c>
      <c r="D1596" s="562"/>
      <c r="E1596" s="398"/>
      <c r="F1596" s="398"/>
      <c r="G1596" s="398">
        <f t="shared" si="412"/>
        <v>0</v>
      </c>
      <c r="H1596" s="398">
        <f t="shared" si="413"/>
        <v>0</v>
      </c>
      <c r="I1596" s="399"/>
      <c r="J1596" s="411" t="s">
        <v>21</v>
      </c>
      <c r="K1596" s="449" t="s">
        <v>402</v>
      </c>
      <c r="L1596" s="411" t="s">
        <v>112</v>
      </c>
      <c r="M1596" s="411" t="s">
        <v>32</v>
      </c>
      <c r="N1596" s="460"/>
      <c r="P1596" s="417"/>
    </row>
    <row r="1597" spans="1:16" s="416" customFormat="1" ht="14" outlineLevel="5">
      <c r="A1597" s="400" t="s">
        <v>8</v>
      </c>
      <c r="B1597" s="563" t="s">
        <v>1077</v>
      </c>
      <c r="C1597" s="397" t="s">
        <v>166</v>
      </c>
      <c r="D1597" s="562"/>
      <c r="E1597" s="398"/>
      <c r="F1597" s="398"/>
      <c r="G1597" s="398">
        <f t="shared" si="412"/>
        <v>0</v>
      </c>
      <c r="H1597" s="398">
        <f t="shared" si="413"/>
        <v>0</v>
      </c>
      <c r="I1597" s="399"/>
      <c r="J1597" s="411" t="s">
        <v>21</v>
      </c>
      <c r="K1597" s="449" t="s">
        <v>402</v>
      </c>
      <c r="L1597" s="411" t="s">
        <v>112</v>
      </c>
      <c r="M1597" s="411" t="s">
        <v>32</v>
      </c>
      <c r="N1597" s="460"/>
      <c r="P1597" s="417"/>
    </row>
    <row r="1598" spans="1:16" s="416" customFormat="1" ht="14" outlineLevel="5">
      <c r="A1598" s="400" t="s">
        <v>8</v>
      </c>
      <c r="B1598" s="563" t="s">
        <v>1078</v>
      </c>
      <c r="C1598" s="397" t="s">
        <v>166</v>
      </c>
      <c r="D1598" s="562"/>
      <c r="E1598" s="398"/>
      <c r="F1598" s="398"/>
      <c r="G1598" s="398">
        <f t="shared" si="412"/>
        <v>0</v>
      </c>
      <c r="H1598" s="398">
        <f t="shared" si="413"/>
        <v>0</v>
      </c>
      <c r="I1598" s="399"/>
      <c r="J1598" s="411" t="s">
        <v>21</v>
      </c>
      <c r="K1598" s="449" t="s">
        <v>402</v>
      </c>
      <c r="L1598" s="411" t="s">
        <v>112</v>
      </c>
      <c r="M1598" s="411" t="s">
        <v>32</v>
      </c>
      <c r="N1598" s="460"/>
      <c r="P1598" s="417"/>
    </row>
    <row r="1599" spans="1:16" s="416" customFormat="1" ht="14" outlineLevel="5">
      <c r="A1599" s="405" t="s">
        <v>8</v>
      </c>
      <c r="B1599" s="564" t="s">
        <v>1040</v>
      </c>
      <c r="C1599" s="397" t="s">
        <v>166</v>
      </c>
      <c r="D1599" s="562"/>
      <c r="E1599" s="398"/>
      <c r="F1599" s="398"/>
      <c r="G1599" s="398">
        <f t="shared" si="412"/>
        <v>0</v>
      </c>
      <c r="H1599" s="398">
        <f t="shared" si="413"/>
        <v>0</v>
      </c>
      <c r="I1599" s="399"/>
      <c r="J1599" s="411" t="s">
        <v>21</v>
      </c>
      <c r="K1599" s="449" t="s">
        <v>402</v>
      </c>
      <c r="L1599" s="411" t="s">
        <v>112</v>
      </c>
      <c r="M1599" s="411" t="s">
        <v>32</v>
      </c>
      <c r="N1599" s="460"/>
      <c r="P1599" s="417"/>
    </row>
    <row r="1600" spans="1:16" s="416" customFormat="1" ht="14" outlineLevel="5">
      <c r="A1600" s="400" t="s">
        <v>8</v>
      </c>
      <c r="B1600" s="563" t="s">
        <v>1047</v>
      </c>
      <c r="C1600" s="397" t="s">
        <v>166</v>
      </c>
      <c r="D1600" s="562"/>
      <c r="E1600" s="398"/>
      <c r="F1600" s="398"/>
      <c r="G1600" s="398">
        <f t="shared" si="412"/>
        <v>0</v>
      </c>
      <c r="H1600" s="398">
        <f t="shared" si="413"/>
        <v>0</v>
      </c>
      <c r="I1600" s="399"/>
      <c r="J1600" s="411" t="s">
        <v>21</v>
      </c>
      <c r="K1600" s="449" t="s">
        <v>402</v>
      </c>
      <c r="L1600" s="411" t="s">
        <v>112</v>
      </c>
      <c r="M1600" s="411" t="s">
        <v>32</v>
      </c>
      <c r="N1600" s="460"/>
      <c r="P1600" s="417"/>
    </row>
    <row r="1601" spans="1:16" s="416" customFormat="1" ht="14" outlineLevel="5">
      <c r="A1601" s="400" t="s">
        <v>8</v>
      </c>
      <c r="B1601" s="563" t="s">
        <v>472</v>
      </c>
      <c r="C1601" s="397" t="s">
        <v>1064</v>
      </c>
      <c r="D1601" s="562"/>
      <c r="E1601" s="398"/>
      <c r="F1601" s="398"/>
      <c r="G1601" s="398">
        <f t="shared" si="412"/>
        <v>0</v>
      </c>
      <c r="H1601" s="398">
        <f t="shared" si="413"/>
        <v>0</v>
      </c>
      <c r="I1601" s="399"/>
      <c r="J1601" s="411" t="s">
        <v>21</v>
      </c>
      <c r="K1601" s="449" t="s">
        <v>402</v>
      </c>
      <c r="L1601" s="411" t="s">
        <v>112</v>
      </c>
      <c r="M1601" s="411" t="s">
        <v>32</v>
      </c>
      <c r="N1601" s="460"/>
      <c r="P1601" s="417"/>
    </row>
    <row r="1602" spans="1:16" s="416" customFormat="1" ht="14" outlineLevel="5">
      <c r="A1602" s="400" t="s">
        <v>8</v>
      </c>
      <c r="B1602" s="563" t="s">
        <v>474</v>
      </c>
      <c r="C1602" s="397" t="s">
        <v>1064</v>
      </c>
      <c r="D1602" s="562"/>
      <c r="E1602" s="398"/>
      <c r="F1602" s="398"/>
      <c r="G1602" s="398">
        <f t="shared" si="412"/>
        <v>0</v>
      </c>
      <c r="H1602" s="398">
        <f t="shared" si="413"/>
        <v>0</v>
      </c>
      <c r="I1602" s="399"/>
      <c r="J1602" s="411" t="s">
        <v>21</v>
      </c>
      <c r="K1602" s="449" t="s">
        <v>402</v>
      </c>
      <c r="L1602" s="411" t="s">
        <v>112</v>
      </c>
      <c r="M1602" s="411" t="s">
        <v>32</v>
      </c>
      <c r="N1602" s="460"/>
      <c r="P1602" s="417"/>
    </row>
    <row r="1603" spans="1:16" s="416" customFormat="1" ht="14" outlineLevel="5">
      <c r="A1603" s="405" t="s">
        <v>8</v>
      </c>
      <c r="B1603" s="564" t="s">
        <v>1032</v>
      </c>
      <c r="C1603" s="397" t="s">
        <v>1064</v>
      </c>
      <c r="D1603" s="562"/>
      <c r="E1603" s="398"/>
      <c r="F1603" s="398"/>
      <c r="G1603" s="398">
        <f t="shared" si="412"/>
        <v>0</v>
      </c>
      <c r="H1603" s="398">
        <f t="shared" si="413"/>
        <v>0</v>
      </c>
      <c r="I1603" s="399"/>
      <c r="J1603" s="411" t="s">
        <v>21</v>
      </c>
      <c r="K1603" s="449" t="s">
        <v>402</v>
      </c>
      <c r="L1603" s="411" t="s">
        <v>112</v>
      </c>
      <c r="M1603" s="411" t="s">
        <v>32</v>
      </c>
      <c r="N1603" s="460"/>
      <c r="P1603" s="417"/>
    </row>
    <row r="1604" spans="1:16" s="413" customFormat="1" ht="13" customHeight="1" outlineLevel="4">
      <c r="A1604" s="388">
        <v>4.5</v>
      </c>
      <c r="B1604" s="532" t="s">
        <v>1079</v>
      </c>
      <c r="C1604" s="390"/>
      <c r="D1604" s="391"/>
      <c r="E1604" s="391"/>
      <c r="F1604" s="391"/>
      <c r="G1604" s="391">
        <f>SUBTOTAL(9,G1605:G1617)</f>
        <v>0</v>
      </c>
      <c r="H1604" s="391">
        <f>SUBTOTAL(9,H1605:H1617)</f>
        <v>0</v>
      </c>
      <c r="I1604" s="391"/>
      <c r="J1604" s="410"/>
      <c r="K1604" s="411"/>
      <c r="L1604" s="411"/>
      <c r="M1604" s="412"/>
      <c r="N1604" s="412"/>
      <c r="P1604" s="414"/>
    </row>
    <row r="1605" spans="1:16" s="416" customFormat="1" ht="14" outlineLevel="5">
      <c r="A1605" s="405" t="s">
        <v>8</v>
      </c>
      <c r="B1605" s="564" t="s">
        <v>1075</v>
      </c>
      <c r="C1605" s="397" t="s">
        <v>1063</v>
      </c>
      <c r="D1605" s="398"/>
      <c r="E1605" s="398"/>
      <c r="F1605" s="398"/>
      <c r="G1605" s="398">
        <f t="shared" ref="G1605:G1617" si="414">F1605*D1605</f>
        <v>0</v>
      </c>
      <c r="H1605" s="398">
        <f t="shared" ref="H1605:H1617" si="415">F1605*E1605</f>
        <v>0</v>
      </c>
      <c r="I1605" s="399"/>
      <c r="J1605" s="411" t="s">
        <v>21</v>
      </c>
      <c r="K1605" s="449" t="s">
        <v>402</v>
      </c>
      <c r="L1605" s="411" t="s">
        <v>112</v>
      </c>
      <c r="M1605" s="411" t="s">
        <v>32</v>
      </c>
      <c r="N1605" s="460"/>
      <c r="P1605" s="417"/>
    </row>
    <row r="1606" spans="1:16" s="416" customFormat="1" ht="14" outlineLevel="5">
      <c r="A1606" s="405" t="s">
        <v>8</v>
      </c>
      <c r="B1606" s="564" t="s">
        <v>1080</v>
      </c>
      <c r="C1606" s="397" t="s">
        <v>23</v>
      </c>
      <c r="D1606" s="398"/>
      <c r="E1606" s="398"/>
      <c r="F1606" s="398"/>
      <c r="G1606" s="398">
        <f t="shared" si="414"/>
        <v>0</v>
      </c>
      <c r="H1606" s="398">
        <f t="shared" si="415"/>
        <v>0</v>
      </c>
      <c r="I1606" s="399"/>
      <c r="J1606" s="411" t="s">
        <v>21</v>
      </c>
      <c r="K1606" s="449" t="s">
        <v>402</v>
      </c>
      <c r="L1606" s="411" t="s">
        <v>112</v>
      </c>
      <c r="M1606" s="411" t="s">
        <v>32</v>
      </c>
      <c r="N1606" s="460"/>
      <c r="P1606" s="417"/>
    </row>
    <row r="1607" spans="1:16" s="416" customFormat="1" ht="14" outlineLevel="5">
      <c r="A1607" s="400" t="s">
        <v>8</v>
      </c>
      <c r="B1607" s="563" t="s">
        <v>1081</v>
      </c>
      <c r="C1607" s="397" t="s">
        <v>23</v>
      </c>
      <c r="D1607" s="398"/>
      <c r="E1607" s="398"/>
      <c r="F1607" s="398"/>
      <c r="G1607" s="398">
        <f t="shared" si="414"/>
        <v>0</v>
      </c>
      <c r="H1607" s="398">
        <f t="shared" si="415"/>
        <v>0</v>
      </c>
      <c r="I1607" s="399"/>
      <c r="J1607" s="411" t="s">
        <v>21</v>
      </c>
      <c r="K1607" s="449" t="s">
        <v>402</v>
      </c>
      <c r="L1607" s="411" t="s">
        <v>112</v>
      </c>
      <c r="M1607" s="411" t="s">
        <v>32</v>
      </c>
      <c r="N1607" s="460"/>
      <c r="P1607" s="417"/>
    </row>
    <row r="1608" spans="1:16" s="416" customFormat="1" ht="14" outlineLevel="5">
      <c r="A1608" s="400" t="s">
        <v>8</v>
      </c>
      <c r="B1608" s="563" t="s">
        <v>1082</v>
      </c>
      <c r="C1608" s="397" t="s">
        <v>23</v>
      </c>
      <c r="D1608" s="398"/>
      <c r="E1608" s="398"/>
      <c r="F1608" s="398"/>
      <c r="G1608" s="398">
        <f t="shared" si="414"/>
        <v>0</v>
      </c>
      <c r="H1608" s="398">
        <f t="shared" si="415"/>
        <v>0</v>
      </c>
      <c r="I1608" s="399"/>
      <c r="J1608" s="411" t="s">
        <v>21</v>
      </c>
      <c r="K1608" s="449" t="s">
        <v>402</v>
      </c>
      <c r="L1608" s="411" t="s">
        <v>112</v>
      </c>
      <c r="M1608" s="411" t="s">
        <v>32</v>
      </c>
      <c r="N1608" s="460"/>
      <c r="P1608" s="417"/>
    </row>
    <row r="1609" spans="1:16" s="416" customFormat="1" ht="14" outlineLevel="5">
      <c r="A1609" s="405" t="s">
        <v>8</v>
      </c>
      <c r="B1609" s="564" t="s">
        <v>1083</v>
      </c>
      <c r="C1609" s="397" t="s">
        <v>23</v>
      </c>
      <c r="D1609" s="398"/>
      <c r="E1609" s="398"/>
      <c r="F1609" s="398"/>
      <c r="G1609" s="398">
        <f t="shared" si="414"/>
        <v>0</v>
      </c>
      <c r="H1609" s="398">
        <f t="shared" si="415"/>
        <v>0</v>
      </c>
      <c r="I1609" s="399"/>
      <c r="J1609" s="411" t="s">
        <v>21</v>
      </c>
      <c r="K1609" s="449" t="s">
        <v>402</v>
      </c>
      <c r="L1609" s="411" t="s">
        <v>112</v>
      </c>
      <c r="M1609" s="411" t="s">
        <v>32</v>
      </c>
      <c r="N1609" s="460"/>
      <c r="P1609" s="417"/>
    </row>
    <row r="1610" spans="1:16" s="416" customFormat="1" ht="14" outlineLevel="5">
      <c r="A1610" s="405" t="s">
        <v>8</v>
      </c>
      <c r="B1610" s="564" t="s">
        <v>1076</v>
      </c>
      <c r="C1610" s="397" t="s">
        <v>23</v>
      </c>
      <c r="D1610" s="398"/>
      <c r="E1610" s="398"/>
      <c r="F1610" s="398"/>
      <c r="G1610" s="398">
        <f t="shared" si="414"/>
        <v>0</v>
      </c>
      <c r="H1610" s="398">
        <f t="shared" si="415"/>
        <v>0</v>
      </c>
      <c r="I1610" s="399"/>
      <c r="J1610" s="411" t="s">
        <v>21</v>
      </c>
      <c r="K1610" s="449" t="s">
        <v>402</v>
      </c>
      <c r="L1610" s="411" t="s">
        <v>112</v>
      </c>
      <c r="M1610" s="411" t="s">
        <v>32</v>
      </c>
      <c r="N1610" s="460"/>
      <c r="P1610" s="417"/>
    </row>
    <row r="1611" spans="1:16" s="416" customFormat="1" ht="14" outlineLevel="5">
      <c r="A1611" s="400" t="s">
        <v>8</v>
      </c>
      <c r="B1611" s="563" t="s">
        <v>1077</v>
      </c>
      <c r="C1611" s="397" t="s">
        <v>166</v>
      </c>
      <c r="D1611" s="398"/>
      <c r="E1611" s="398"/>
      <c r="F1611" s="398"/>
      <c r="G1611" s="398">
        <f t="shared" si="414"/>
        <v>0</v>
      </c>
      <c r="H1611" s="398">
        <f t="shared" si="415"/>
        <v>0</v>
      </c>
      <c r="I1611" s="399"/>
      <c r="J1611" s="411" t="s">
        <v>21</v>
      </c>
      <c r="K1611" s="449" t="s">
        <v>402</v>
      </c>
      <c r="L1611" s="411" t="s">
        <v>112</v>
      </c>
      <c r="M1611" s="411" t="s">
        <v>32</v>
      </c>
      <c r="N1611" s="460"/>
      <c r="P1611" s="417"/>
    </row>
    <row r="1612" spans="1:16" s="416" customFormat="1" ht="14" outlineLevel="5">
      <c r="A1612" s="400" t="s">
        <v>8</v>
      </c>
      <c r="B1612" s="563" t="s">
        <v>1078</v>
      </c>
      <c r="C1612" s="397" t="s">
        <v>166</v>
      </c>
      <c r="D1612" s="398"/>
      <c r="E1612" s="398"/>
      <c r="F1612" s="398"/>
      <c r="G1612" s="398">
        <f t="shared" si="414"/>
        <v>0</v>
      </c>
      <c r="H1612" s="398">
        <f t="shared" si="415"/>
        <v>0</v>
      </c>
      <c r="I1612" s="399"/>
      <c r="J1612" s="411" t="s">
        <v>21</v>
      </c>
      <c r="K1612" s="449" t="s">
        <v>402</v>
      </c>
      <c r="L1612" s="411" t="s">
        <v>112</v>
      </c>
      <c r="M1612" s="411" t="s">
        <v>32</v>
      </c>
      <c r="N1612" s="460"/>
      <c r="P1612" s="417"/>
    </row>
    <row r="1613" spans="1:16" s="416" customFormat="1" ht="14" outlineLevel="5">
      <c r="A1613" s="405" t="s">
        <v>8</v>
      </c>
      <c r="B1613" s="564" t="s">
        <v>1040</v>
      </c>
      <c r="C1613" s="397" t="s">
        <v>166</v>
      </c>
      <c r="D1613" s="398"/>
      <c r="E1613" s="398"/>
      <c r="F1613" s="398"/>
      <c r="G1613" s="398">
        <f t="shared" si="414"/>
        <v>0</v>
      </c>
      <c r="H1613" s="398">
        <f t="shared" si="415"/>
        <v>0</v>
      </c>
      <c r="I1613" s="399"/>
      <c r="J1613" s="411" t="s">
        <v>21</v>
      </c>
      <c r="K1613" s="449" t="s">
        <v>402</v>
      </c>
      <c r="L1613" s="411" t="s">
        <v>112</v>
      </c>
      <c r="M1613" s="411" t="s">
        <v>32</v>
      </c>
      <c r="N1613" s="460"/>
      <c r="P1613" s="417"/>
    </row>
    <row r="1614" spans="1:16" s="416" customFormat="1" ht="14" outlineLevel="5">
      <c r="A1614" s="400" t="s">
        <v>8</v>
      </c>
      <c r="B1614" s="563" t="s">
        <v>1047</v>
      </c>
      <c r="C1614" s="397" t="s">
        <v>166</v>
      </c>
      <c r="D1614" s="398"/>
      <c r="E1614" s="398"/>
      <c r="F1614" s="398"/>
      <c r="G1614" s="398">
        <f t="shared" si="414"/>
        <v>0</v>
      </c>
      <c r="H1614" s="398">
        <f t="shared" si="415"/>
        <v>0</v>
      </c>
      <c r="I1614" s="399"/>
      <c r="J1614" s="411" t="s">
        <v>21</v>
      </c>
      <c r="K1614" s="449" t="s">
        <v>402</v>
      </c>
      <c r="L1614" s="411" t="s">
        <v>112</v>
      </c>
      <c r="M1614" s="411" t="s">
        <v>32</v>
      </c>
      <c r="N1614" s="460"/>
      <c r="P1614" s="417"/>
    </row>
    <row r="1615" spans="1:16" s="416" customFormat="1" ht="14" outlineLevel="5">
      <c r="A1615" s="400" t="s">
        <v>8</v>
      </c>
      <c r="B1615" s="563" t="s">
        <v>472</v>
      </c>
      <c r="C1615" s="397" t="s">
        <v>1064</v>
      </c>
      <c r="D1615" s="398"/>
      <c r="E1615" s="398"/>
      <c r="F1615" s="398"/>
      <c r="G1615" s="398">
        <f t="shared" si="414"/>
        <v>0</v>
      </c>
      <c r="H1615" s="398">
        <f t="shared" si="415"/>
        <v>0</v>
      </c>
      <c r="I1615" s="399"/>
      <c r="J1615" s="411" t="s">
        <v>21</v>
      </c>
      <c r="K1615" s="449" t="s">
        <v>402</v>
      </c>
      <c r="L1615" s="411" t="s">
        <v>112</v>
      </c>
      <c r="M1615" s="411" t="s">
        <v>32</v>
      </c>
      <c r="N1615" s="460"/>
      <c r="P1615" s="417"/>
    </row>
    <row r="1616" spans="1:16" s="416" customFormat="1" ht="14" outlineLevel="5">
      <c r="A1616" s="400" t="s">
        <v>8</v>
      </c>
      <c r="B1616" s="563" t="s">
        <v>474</v>
      </c>
      <c r="C1616" s="397" t="s">
        <v>1064</v>
      </c>
      <c r="D1616" s="398"/>
      <c r="E1616" s="398"/>
      <c r="F1616" s="398"/>
      <c r="G1616" s="398">
        <f t="shared" si="414"/>
        <v>0</v>
      </c>
      <c r="H1616" s="398">
        <f t="shared" si="415"/>
        <v>0</v>
      </c>
      <c r="I1616" s="399"/>
      <c r="J1616" s="411" t="s">
        <v>21</v>
      </c>
      <c r="K1616" s="449" t="s">
        <v>402</v>
      </c>
      <c r="L1616" s="411" t="s">
        <v>112</v>
      </c>
      <c r="M1616" s="411" t="s">
        <v>32</v>
      </c>
      <c r="N1616" s="460"/>
      <c r="P1616" s="417"/>
    </row>
    <row r="1617" spans="1:16" s="416" customFormat="1" ht="14" outlineLevel="5">
      <c r="A1617" s="405" t="s">
        <v>8</v>
      </c>
      <c r="B1617" s="564" t="s">
        <v>1032</v>
      </c>
      <c r="C1617" s="397" t="s">
        <v>1064</v>
      </c>
      <c r="D1617" s="398"/>
      <c r="E1617" s="398"/>
      <c r="F1617" s="398"/>
      <c r="G1617" s="398">
        <f t="shared" si="414"/>
        <v>0</v>
      </c>
      <c r="H1617" s="398">
        <f t="shared" si="415"/>
        <v>0</v>
      </c>
      <c r="I1617" s="399"/>
      <c r="J1617" s="411" t="s">
        <v>21</v>
      </c>
      <c r="K1617" s="449" t="s">
        <v>402</v>
      </c>
      <c r="L1617" s="411" t="s">
        <v>112</v>
      </c>
      <c r="M1617" s="411" t="s">
        <v>32</v>
      </c>
      <c r="N1617" s="460"/>
      <c r="P1617" s="417"/>
    </row>
    <row r="1618" spans="1:16" s="413" customFormat="1" ht="13" customHeight="1" outlineLevel="4">
      <c r="A1618" s="388">
        <v>4.5999999999999996</v>
      </c>
      <c r="B1618" s="565" t="s">
        <v>1084</v>
      </c>
      <c r="C1618" s="390"/>
      <c r="D1618" s="391"/>
      <c r="E1618" s="391"/>
      <c r="F1618" s="391"/>
      <c r="G1618" s="391">
        <f>SUBTOTAL(9,G1619:G1621)</f>
        <v>105584</v>
      </c>
      <c r="H1618" s="391">
        <f>SUBTOTAL(9,H1619:H1621)</f>
        <v>0</v>
      </c>
      <c r="I1618" s="391"/>
      <c r="J1618" s="410"/>
      <c r="K1618" s="411"/>
      <c r="L1618" s="411"/>
      <c r="M1618" s="412"/>
      <c r="N1618" s="412"/>
      <c r="P1618" s="414"/>
    </row>
    <row r="1619" spans="1:16" s="416" customFormat="1" ht="14" outlineLevel="5">
      <c r="A1619" s="405" t="s">
        <v>8</v>
      </c>
      <c r="B1619" s="564" t="s">
        <v>1339</v>
      </c>
      <c r="C1619" s="397" t="s">
        <v>24</v>
      </c>
      <c r="D1619" s="398">
        <v>1</v>
      </c>
      <c r="E1619" s="398"/>
      <c r="F1619" s="398">
        <v>25000</v>
      </c>
      <c r="G1619" s="398">
        <f t="shared" ref="G1619:G1621" si="416">F1619*D1619</f>
        <v>25000</v>
      </c>
      <c r="H1619" s="398">
        <f t="shared" ref="H1619:H1621" si="417">F1619*E1619</f>
        <v>0</v>
      </c>
      <c r="I1619" s="399"/>
      <c r="J1619" s="411" t="s">
        <v>21</v>
      </c>
      <c r="K1619" s="449" t="s">
        <v>124</v>
      </c>
      <c r="L1619" s="411" t="s">
        <v>112</v>
      </c>
      <c r="M1619" s="411" t="s">
        <v>32</v>
      </c>
      <c r="N1619" s="460"/>
      <c r="P1619" s="417"/>
    </row>
    <row r="1620" spans="1:16" s="416" customFormat="1" ht="14" outlineLevel="5">
      <c r="A1620" s="405" t="s">
        <v>8</v>
      </c>
      <c r="B1620" s="564" t="s">
        <v>1340</v>
      </c>
      <c r="C1620" s="397" t="s">
        <v>24</v>
      </c>
      <c r="D1620" s="398">
        <v>1</v>
      </c>
      <c r="E1620" s="398"/>
      <c r="F1620" s="398">
        <v>73584</v>
      </c>
      <c r="G1620" s="398">
        <f t="shared" si="416"/>
        <v>73584</v>
      </c>
      <c r="H1620" s="398">
        <f t="shared" si="417"/>
        <v>0</v>
      </c>
      <c r="I1620" s="399"/>
      <c r="J1620" s="411" t="s">
        <v>21</v>
      </c>
      <c r="K1620" s="449" t="s">
        <v>124</v>
      </c>
      <c r="L1620" s="411" t="s">
        <v>112</v>
      </c>
      <c r="M1620" s="411" t="s">
        <v>32</v>
      </c>
      <c r="N1620" s="460"/>
      <c r="P1620" s="417"/>
    </row>
    <row r="1621" spans="1:16" s="416" customFormat="1" ht="14" outlineLevel="5">
      <c r="A1621" s="400" t="s">
        <v>8</v>
      </c>
      <c r="B1621" s="563" t="s">
        <v>1336</v>
      </c>
      <c r="C1621" s="397" t="s">
        <v>24</v>
      </c>
      <c r="D1621" s="398">
        <v>1</v>
      </c>
      <c r="E1621" s="398"/>
      <c r="F1621" s="398">
        <v>7000</v>
      </c>
      <c r="G1621" s="398">
        <f t="shared" si="416"/>
        <v>7000</v>
      </c>
      <c r="H1621" s="398">
        <f t="shared" si="417"/>
        <v>0</v>
      </c>
      <c r="I1621" s="399"/>
      <c r="J1621" s="411" t="s">
        <v>21</v>
      </c>
      <c r="K1621" s="449" t="s">
        <v>124</v>
      </c>
      <c r="L1621" s="411" t="s">
        <v>112</v>
      </c>
      <c r="M1621" s="411" t="s">
        <v>32</v>
      </c>
      <c r="N1621" s="460"/>
      <c r="P1621" s="417"/>
    </row>
    <row r="1622" spans="1:16" s="413" customFormat="1" ht="13" customHeight="1" outlineLevel="4">
      <c r="A1622" s="388">
        <v>4.7</v>
      </c>
      <c r="B1622" s="565" t="s">
        <v>1087</v>
      </c>
      <c r="C1622" s="390"/>
      <c r="D1622" s="391"/>
      <c r="E1622" s="391"/>
      <c r="F1622" s="391"/>
      <c r="G1622" s="391">
        <f>SUBTOTAL(9,G1623:G1629)</f>
        <v>0</v>
      </c>
      <c r="H1622" s="391">
        <f>SUBTOTAL(9,H1623:H1629)</f>
        <v>0</v>
      </c>
      <c r="I1622" s="391"/>
      <c r="J1622" s="410"/>
      <c r="K1622" s="411"/>
      <c r="L1622" s="411"/>
      <c r="M1622" s="412"/>
      <c r="N1622" s="412"/>
      <c r="P1622" s="414"/>
    </row>
    <row r="1623" spans="1:16" s="416" customFormat="1" ht="14" outlineLevel="5">
      <c r="A1623" s="405" t="s">
        <v>8</v>
      </c>
      <c r="B1623" s="564" t="s">
        <v>1088</v>
      </c>
      <c r="C1623" s="397" t="s">
        <v>23</v>
      </c>
      <c r="D1623" s="398"/>
      <c r="E1623" s="398"/>
      <c r="F1623" s="398"/>
      <c r="G1623" s="398">
        <f t="shared" ref="G1623:G1629" si="418">F1623*D1623</f>
        <v>0</v>
      </c>
      <c r="H1623" s="398">
        <f t="shared" ref="H1623:H1629" si="419">F1623*E1623</f>
        <v>0</v>
      </c>
      <c r="I1623" s="399"/>
      <c r="J1623" s="411" t="s">
        <v>21</v>
      </c>
      <c r="K1623" s="449" t="s">
        <v>402</v>
      </c>
      <c r="L1623" s="411" t="s">
        <v>112</v>
      </c>
      <c r="M1623" s="411" t="s">
        <v>32</v>
      </c>
      <c r="N1623" s="460"/>
      <c r="P1623" s="417"/>
    </row>
    <row r="1624" spans="1:16" s="416" customFormat="1" ht="14" outlineLevel="5">
      <c r="A1624" s="405" t="s">
        <v>8</v>
      </c>
      <c r="B1624" s="564" t="s">
        <v>1069</v>
      </c>
      <c r="C1624" s="397" t="s">
        <v>23</v>
      </c>
      <c r="D1624" s="398"/>
      <c r="E1624" s="398"/>
      <c r="F1624" s="398"/>
      <c r="G1624" s="398">
        <f t="shared" si="418"/>
        <v>0</v>
      </c>
      <c r="H1624" s="398">
        <f t="shared" si="419"/>
        <v>0</v>
      </c>
      <c r="I1624" s="399"/>
      <c r="J1624" s="411" t="s">
        <v>21</v>
      </c>
      <c r="K1624" s="449" t="s">
        <v>402</v>
      </c>
      <c r="L1624" s="411" t="s">
        <v>112</v>
      </c>
      <c r="M1624" s="411" t="s">
        <v>32</v>
      </c>
      <c r="N1624" s="460"/>
      <c r="P1624" s="417"/>
    </row>
    <row r="1625" spans="1:16" s="416" customFormat="1" ht="14" outlineLevel="5">
      <c r="A1625" s="400" t="s">
        <v>8</v>
      </c>
      <c r="B1625" s="563" t="s">
        <v>1089</v>
      </c>
      <c r="C1625" s="397" t="s">
        <v>23</v>
      </c>
      <c r="D1625" s="398"/>
      <c r="E1625" s="398"/>
      <c r="F1625" s="398"/>
      <c r="G1625" s="398">
        <f t="shared" si="418"/>
        <v>0</v>
      </c>
      <c r="H1625" s="398">
        <f t="shared" si="419"/>
        <v>0</v>
      </c>
      <c r="I1625" s="399"/>
      <c r="J1625" s="411" t="s">
        <v>21</v>
      </c>
      <c r="K1625" s="449" t="s">
        <v>402</v>
      </c>
      <c r="L1625" s="411" t="s">
        <v>112</v>
      </c>
      <c r="M1625" s="411" t="s">
        <v>32</v>
      </c>
      <c r="N1625" s="460"/>
      <c r="P1625" s="417"/>
    </row>
    <row r="1626" spans="1:16" s="416" customFormat="1" ht="14" outlineLevel="5">
      <c r="A1626" s="400" t="s">
        <v>8</v>
      </c>
      <c r="B1626" s="563" t="s">
        <v>1035</v>
      </c>
      <c r="C1626" s="397" t="s">
        <v>166</v>
      </c>
      <c r="D1626" s="398"/>
      <c r="E1626" s="398"/>
      <c r="F1626" s="398"/>
      <c r="G1626" s="398">
        <f t="shared" si="418"/>
        <v>0</v>
      </c>
      <c r="H1626" s="398">
        <f t="shared" si="419"/>
        <v>0</v>
      </c>
      <c r="I1626" s="399"/>
      <c r="J1626" s="411" t="s">
        <v>21</v>
      </c>
      <c r="K1626" s="449" t="s">
        <v>402</v>
      </c>
      <c r="L1626" s="411" t="s">
        <v>112</v>
      </c>
      <c r="M1626" s="411" t="s">
        <v>32</v>
      </c>
      <c r="N1626" s="460"/>
      <c r="P1626" s="417"/>
    </row>
    <row r="1627" spans="1:16" s="416" customFormat="1" ht="14" outlineLevel="5">
      <c r="A1627" s="405" t="s">
        <v>8</v>
      </c>
      <c r="B1627" s="564" t="s">
        <v>1078</v>
      </c>
      <c r="C1627" s="397" t="s">
        <v>166</v>
      </c>
      <c r="D1627" s="398"/>
      <c r="E1627" s="398"/>
      <c r="F1627" s="398"/>
      <c r="G1627" s="398">
        <f t="shared" si="418"/>
        <v>0</v>
      </c>
      <c r="H1627" s="398">
        <f t="shared" si="419"/>
        <v>0</v>
      </c>
      <c r="I1627" s="399"/>
      <c r="J1627" s="411" t="s">
        <v>21</v>
      </c>
      <c r="K1627" s="449" t="s">
        <v>402</v>
      </c>
      <c r="L1627" s="411" t="s">
        <v>112</v>
      </c>
      <c r="M1627" s="411" t="s">
        <v>32</v>
      </c>
      <c r="N1627" s="460"/>
      <c r="P1627" s="417"/>
    </row>
    <row r="1628" spans="1:16" s="416" customFormat="1" ht="14" outlineLevel="5">
      <c r="A1628" s="405" t="s">
        <v>8</v>
      </c>
      <c r="B1628" s="564" t="s">
        <v>1040</v>
      </c>
      <c r="C1628" s="397" t="s">
        <v>166</v>
      </c>
      <c r="D1628" s="398"/>
      <c r="E1628" s="398"/>
      <c r="F1628" s="398"/>
      <c r="G1628" s="398">
        <f t="shared" si="418"/>
        <v>0</v>
      </c>
      <c r="H1628" s="398">
        <f t="shared" si="419"/>
        <v>0</v>
      </c>
      <c r="I1628" s="399"/>
      <c r="J1628" s="411" t="s">
        <v>21</v>
      </c>
      <c r="K1628" s="449" t="s">
        <v>402</v>
      </c>
      <c r="L1628" s="411" t="s">
        <v>112</v>
      </c>
      <c r="M1628" s="411" t="s">
        <v>32</v>
      </c>
      <c r="N1628" s="460"/>
      <c r="P1628" s="417"/>
    </row>
    <row r="1629" spans="1:16" s="416" customFormat="1" ht="14" outlineLevel="5">
      <c r="A1629" s="400" t="s">
        <v>8</v>
      </c>
      <c r="B1629" s="563" t="s">
        <v>1032</v>
      </c>
      <c r="C1629" s="397" t="s">
        <v>1064</v>
      </c>
      <c r="D1629" s="398"/>
      <c r="E1629" s="398"/>
      <c r="F1629" s="398"/>
      <c r="G1629" s="398">
        <f t="shared" si="418"/>
        <v>0</v>
      </c>
      <c r="H1629" s="398">
        <f t="shared" si="419"/>
        <v>0</v>
      </c>
      <c r="I1629" s="399"/>
      <c r="J1629" s="411" t="s">
        <v>21</v>
      </c>
      <c r="K1629" s="449" t="s">
        <v>402</v>
      </c>
      <c r="L1629" s="411" t="s">
        <v>112</v>
      </c>
      <c r="M1629" s="411" t="s">
        <v>32</v>
      </c>
      <c r="N1629" s="460"/>
      <c r="P1629" s="417"/>
    </row>
    <row r="1630" spans="1:16" s="413" customFormat="1" ht="13" customHeight="1" outlineLevel="4">
      <c r="A1630" s="388">
        <v>5</v>
      </c>
      <c r="B1630" s="565" t="s">
        <v>1116</v>
      </c>
      <c r="C1630" s="390"/>
      <c r="D1630" s="391"/>
      <c r="E1630" s="391"/>
      <c r="F1630" s="391"/>
      <c r="G1630" s="391">
        <f>SUBTOTAL(9,G1631:G1632)</f>
        <v>0</v>
      </c>
      <c r="H1630" s="391">
        <f>SUBTOTAL(9,H1631:H1632)</f>
        <v>0</v>
      </c>
      <c r="I1630" s="391"/>
      <c r="J1630" s="410"/>
      <c r="K1630" s="411"/>
      <c r="L1630" s="411"/>
      <c r="M1630" s="412"/>
      <c r="N1630" s="412"/>
      <c r="P1630" s="414"/>
    </row>
    <row r="1631" spans="1:16" s="416" customFormat="1" ht="14" outlineLevel="5">
      <c r="A1631" s="405" t="s">
        <v>8</v>
      </c>
      <c r="B1631" s="564" t="s">
        <v>1117</v>
      </c>
      <c r="C1631" s="397" t="s">
        <v>33</v>
      </c>
      <c r="D1631" s="398"/>
      <c r="E1631" s="398"/>
      <c r="F1631" s="398"/>
      <c r="G1631" s="398">
        <f t="shared" ref="G1631:G1632" si="420">F1631*D1631</f>
        <v>0</v>
      </c>
      <c r="H1631" s="398">
        <f t="shared" ref="H1631:H1632" si="421">F1631*E1631</f>
        <v>0</v>
      </c>
      <c r="I1631" s="399"/>
      <c r="J1631" s="411" t="s">
        <v>21</v>
      </c>
      <c r="K1631" s="449" t="s">
        <v>402</v>
      </c>
      <c r="L1631" s="411" t="s">
        <v>112</v>
      </c>
      <c r="M1631" s="411" t="s">
        <v>32</v>
      </c>
      <c r="N1631" s="460"/>
      <c r="P1631" s="417"/>
    </row>
    <row r="1632" spans="1:16" s="416" customFormat="1" ht="14" outlineLevel="5">
      <c r="A1632" s="405" t="s">
        <v>8</v>
      </c>
      <c r="B1632" s="564" t="s">
        <v>1118</v>
      </c>
      <c r="C1632" s="397" t="s">
        <v>33</v>
      </c>
      <c r="D1632" s="398"/>
      <c r="E1632" s="398"/>
      <c r="F1632" s="398"/>
      <c r="G1632" s="398">
        <f t="shared" si="420"/>
        <v>0</v>
      </c>
      <c r="H1632" s="398">
        <f t="shared" si="421"/>
        <v>0</v>
      </c>
      <c r="I1632" s="399"/>
      <c r="J1632" s="411" t="s">
        <v>21</v>
      </c>
      <c r="K1632" s="449" t="s">
        <v>402</v>
      </c>
      <c r="L1632" s="411" t="s">
        <v>112</v>
      </c>
      <c r="M1632" s="411" t="s">
        <v>32</v>
      </c>
      <c r="N1632" s="460"/>
      <c r="P1632" s="417"/>
    </row>
    <row r="1633" spans="1:17" s="385" customFormat="1" ht="14" outlineLevel="1">
      <c r="A1633" s="388" t="s">
        <v>414</v>
      </c>
      <c r="B1633" s="573" t="s">
        <v>323</v>
      </c>
      <c r="C1633" s="549"/>
      <c r="D1633" s="479"/>
      <c r="E1633" s="479"/>
      <c r="F1633" s="479"/>
      <c r="G1633" s="479">
        <f>SUBTOTAL(9,G1634:G1720)</f>
        <v>232100</v>
      </c>
      <c r="H1633" s="479">
        <f>SUBTOTAL(9,H1634:H1720)</f>
        <v>232100</v>
      </c>
      <c r="I1633" s="392"/>
      <c r="J1633" s="362"/>
      <c r="K1633" s="362"/>
      <c r="L1633" s="362"/>
      <c r="M1633" s="383"/>
      <c r="N1633" s="383"/>
      <c r="P1633" s="386"/>
    </row>
    <row r="1634" spans="1:17" s="385" customFormat="1" ht="14" outlineLevel="2">
      <c r="A1634" s="388" t="s">
        <v>4</v>
      </c>
      <c r="B1634" s="389" t="s">
        <v>32</v>
      </c>
      <c r="C1634" s="549"/>
      <c r="D1634" s="479"/>
      <c r="E1634" s="479"/>
      <c r="F1634" s="479"/>
      <c r="G1634" s="479"/>
      <c r="H1634" s="391"/>
      <c r="I1634" s="392"/>
      <c r="J1634" s="362"/>
      <c r="K1634" s="362"/>
      <c r="L1634" s="362"/>
      <c r="M1634" s="383"/>
      <c r="N1634" s="383"/>
      <c r="P1634" s="386"/>
    </row>
    <row r="1635" spans="1:17" s="385" customFormat="1" ht="14" outlineLevel="1">
      <c r="A1635" s="388" t="s">
        <v>12</v>
      </c>
      <c r="B1635" s="350" t="s">
        <v>375</v>
      </c>
      <c r="C1635" s="549"/>
      <c r="D1635" s="479"/>
      <c r="E1635" s="479"/>
      <c r="F1635" s="479"/>
      <c r="G1635" s="479">
        <f>+SUBTOTAL(9,G1636:G1639)</f>
        <v>0</v>
      </c>
      <c r="H1635" s="391"/>
      <c r="I1635" s="479"/>
      <c r="J1635" s="362"/>
      <c r="K1635" s="362"/>
      <c r="L1635" s="362"/>
      <c r="M1635" s="383"/>
      <c r="N1635" s="383"/>
      <c r="P1635" s="386"/>
      <c r="Q1635" s="548" t="s">
        <v>165</v>
      </c>
    </row>
    <row r="1636" spans="1:17" s="372" customFormat="1" ht="14" outlineLevel="4">
      <c r="A1636" s="392"/>
      <c r="B1636" s="415" t="s">
        <v>371</v>
      </c>
      <c r="C1636" s="398" t="s">
        <v>376</v>
      </c>
      <c r="D1636" s="398"/>
      <c r="E1636" s="398"/>
      <c r="F1636" s="398"/>
      <c r="G1636" s="398">
        <f t="shared" ref="G1636:G1639" si="422">F1636*D1636</f>
        <v>0</v>
      </c>
      <c r="H1636" s="398">
        <f t="shared" ref="H1636:H1639" si="423">F1636*E1636</f>
        <v>0</v>
      </c>
      <c r="I1636" s="399"/>
      <c r="J1636" s="362" t="s">
        <v>21</v>
      </c>
      <c r="K1636" s="362" t="s">
        <v>213</v>
      </c>
      <c r="L1636" s="362"/>
      <c r="M1636" s="362" t="s">
        <v>165</v>
      </c>
      <c r="N1636" s="579"/>
      <c r="P1636" s="371"/>
      <c r="Q1636" s="548" t="s">
        <v>165</v>
      </c>
    </row>
    <row r="1637" spans="1:17" s="372" customFormat="1" ht="14" outlineLevel="4">
      <c r="A1637" s="392" t="s">
        <v>8</v>
      </c>
      <c r="B1637" s="415" t="s">
        <v>372</v>
      </c>
      <c r="C1637" s="398" t="s">
        <v>376</v>
      </c>
      <c r="D1637" s="398"/>
      <c r="E1637" s="398"/>
      <c r="F1637" s="398"/>
      <c r="G1637" s="398">
        <f t="shared" si="422"/>
        <v>0</v>
      </c>
      <c r="H1637" s="398">
        <f t="shared" si="423"/>
        <v>0</v>
      </c>
      <c r="I1637" s="399"/>
      <c r="J1637" s="362" t="s">
        <v>21</v>
      </c>
      <c r="K1637" s="362" t="s">
        <v>213</v>
      </c>
      <c r="L1637" s="362"/>
      <c r="M1637" s="362" t="s">
        <v>165</v>
      </c>
      <c r="N1637" s="579"/>
      <c r="P1637" s="371"/>
      <c r="Q1637" s="548" t="s">
        <v>165</v>
      </c>
    </row>
    <row r="1638" spans="1:17" s="372" customFormat="1" ht="14" outlineLevel="4">
      <c r="A1638" s="392" t="s">
        <v>8</v>
      </c>
      <c r="B1638" s="415" t="s">
        <v>373</v>
      </c>
      <c r="C1638" s="398" t="s">
        <v>376</v>
      </c>
      <c r="D1638" s="398"/>
      <c r="E1638" s="398"/>
      <c r="F1638" s="398"/>
      <c r="G1638" s="398">
        <f t="shared" si="422"/>
        <v>0</v>
      </c>
      <c r="H1638" s="398">
        <f t="shared" si="423"/>
        <v>0</v>
      </c>
      <c r="I1638" s="399"/>
      <c r="J1638" s="362" t="s">
        <v>21</v>
      </c>
      <c r="K1638" s="362" t="s">
        <v>213</v>
      </c>
      <c r="L1638" s="362"/>
      <c r="M1638" s="362" t="s">
        <v>165</v>
      </c>
      <c r="N1638" s="579"/>
      <c r="P1638" s="371"/>
      <c r="Q1638" s="548" t="s">
        <v>165</v>
      </c>
    </row>
    <row r="1639" spans="1:17" s="372" customFormat="1" ht="14" outlineLevel="4">
      <c r="A1639" s="400" t="s">
        <v>8</v>
      </c>
      <c r="B1639" s="415" t="s">
        <v>374</v>
      </c>
      <c r="C1639" s="398" t="s">
        <v>224</v>
      </c>
      <c r="D1639" s="398"/>
      <c r="E1639" s="398"/>
      <c r="F1639" s="398"/>
      <c r="G1639" s="398">
        <f t="shared" si="422"/>
        <v>0</v>
      </c>
      <c r="H1639" s="398">
        <f t="shared" si="423"/>
        <v>0</v>
      </c>
      <c r="I1639" s="399"/>
      <c r="J1639" s="362" t="s">
        <v>21</v>
      </c>
      <c r="K1639" s="362" t="s">
        <v>213</v>
      </c>
      <c r="L1639" s="362"/>
      <c r="M1639" s="362" t="s">
        <v>165</v>
      </c>
      <c r="N1639" s="579"/>
      <c r="P1639" s="371"/>
      <c r="Q1639" s="548" t="s">
        <v>165</v>
      </c>
    </row>
    <row r="1640" spans="1:17" s="385" customFormat="1" ht="14" outlineLevel="1">
      <c r="A1640" s="388" t="s">
        <v>19</v>
      </c>
      <c r="B1640" s="350" t="s">
        <v>377</v>
      </c>
      <c r="C1640" s="549"/>
      <c r="D1640" s="479"/>
      <c r="E1640" s="479"/>
      <c r="F1640" s="479"/>
      <c r="G1640" s="479">
        <f>+SUBTOTAL(9,G1641:G1642)</f>
        <v>0</v>
      </c>
      <c r="H1640" s="391"/>
      <c r="I1640" s="479"/>
      <c r="J1640" s="362"/>
      <c r="K1640" s="362"/>
      <c r="L1640" s="362"/>
      <c r="M1640" s="362" t="s">
        <v>165</v>
      </c>
      <c r="N1640" s="383"/>
      <c r="P1640" s="386"/>
      <c r="Q1640" s="548" t="s">
        <v>165</v>
      </c>
    </row>
    <row r="1641" spans="1:17" s="372" customFormat="1" ht="14" outlineLevel="4">
      <c r="A1641" s="392"/>
      <c r="B1641" s="571" t="s">
        <v>378</v>
      </c>
      <c r="C1641" s="397" t="s">
        <v>9</v>
      </c>
      <c r="D1641" s="398"/>
      <c r="E1641" s="398"/>
      <c r="F1641" s="398"/>
      <c r="G1641" s="398">
        <f t="shared" ref="G1641:G1642" si="424">F1641*D1641</f>
        <v>0</v>
      </c>
      <c r="H1641" s="398">
        <f t="shared" ref="H1641:H1642" si="425">F1641*E1641</f>
        <v>0</v>
      </c>
      <c r="I1641" s="399"/>
      <c r="J1641" s="362" t="s">
        <v>21</v>
      </c>
      <c r="K1641" s="362" t="s">
        <v>213</v>
      </c>
      <c r="L1641" s="362"/>
      <c r="M1641" s="362" t="s">
        <v>165</v>
      </c>
      <c r="N1641" s="579"/>
      <c r="P1641" s="371"/>
      <c r="Q1641" s="548" t="s">
        <v>165</v>
      </c>
    </row>
    <row r="1642" spans="1:17" s="372" customFormat="1" ht="28" outlineLevel="4">
      <c r="A1642" s="392"/>
      <c r="B1642" s="569" t="s">
        <v>379</v>
      </c>
      <c r="C1642" s="397" t="s">
        <v>9</v>
      </c>
      <c r="D1642" s="398"/>
      <c r="E1642" s="398"/>
      <c r="F1642" s="398"/>
      <c r="G1642" s="398">
        <f t="shared" si="424"/>
        <v>0</v>
      </c>
      <c r="H1642" s="398">
        <f t="shared" si="425"/>
        <v>0</v>
      </c>
      <c r="I1642" s="399"/>
      <c r="J1642" s="362" t="s">
        <v>21</v>
      </c>
      <c r="K1642" s="362" t="s">
        <v>213</v>
      </c>
      <c r="L1642" s="362"/>
      <c r="M1642" s="362" t="s">
        <v>165</v>
      </c>
      <c r="N1642" s="579"/>
      <c r="P1642" s="371"/>
      <c r="Q1642" s="548" t="s">
        <v>165</v>
      </c>
    </row>
    <row r="1643" spans="1:17" s="385" customFormat="1" ht="14" outlineLevel="1">
      <c r="A1643" s="388" t="s">
        <v>19</v>
      </c>
      <c r="B1643" s="350" t="s">
        <v>324</v>
      </c>
      <c r="C1643" s="549"/>
      <c r="D1643" s="479"/>
      <c r="E1643" s="479"/>
      <c r="F1643" s="479"/>
      <c r="G1643" s="479">
        <f>SUBTOTAL(9,G1644:G1720)</f>
        <v>232100</v>
      </c>
      <c r="H1643" s="479">
        <f>SUBTOTAL(9,H1644:H1720)</f>
        <v>232100</v>
      </c>
      <c r="I1643" s="392"/>
      <c r="J1643" s="362"/>
      <c r="K1643" s="362"/>
      <c r="L1643" s="362"/>
      <c r="M1643" s="362" t="s">
        <v>165</v>
      </c>
      <c r="N1643" s="383"/>
      <c r="P1643" s="710" t="s">
        <v>1450</v>
      </c>
      <c r="Q1643" s="548" t="s">
        <v>165</v>
      </c>
    </row>
    <row r="1644" spans="1:17" s="416" customFormat="1" ht="14" outlineLevel="4">
      <c r="A1644" s="466">
        <v>1</v>
      </c>
      <c r="B1644" s="350" t="s">
        <v>971</v>
      </c>
      <c r="C1644" s="397"/>
      <c r="D1644" s="398"/>
      <c r="E1644" s="398"/>
      <c r="F1644" s="398"/>
      <c r="G1644" s="398"/>
      <c r="H1644" s="391"/>
      <c r="I1644" s="399"/>
      <c r="J1644" s="411"/>
      <c r="K1644" s="575"/>
      <c r="L1644" s="411"/>
      <c r="M1644" s="362" t="s">
        <v>165</v>
      </c>
      <c r="N1644" s="411"/>
      <c r="P1644" s="417"/>
    </row>
    <row r="1645" spans="1:17" s="416" customFormat="1" ht="14" outlineLevel="4">
      <c r="A1645" s="400"/>
      <c r="B1645" s="580" t="s">
        <v>972</v>
      </c>
      <c r="C1645" s="397" t="s">
        <v>975</v>
      </c>
      <c r="D1645" s="398"/>
      <c r="E1645" s="398"/>
      <c r="F1645" s="398"/>
      <c r="G1645" s="398">
        <f t="shared" ref="G1645" si="426">F1645*D1645</f>
        <v>0</v>
      </c>
      <c r="H1645" s="398">
        <f t="shared" ref="H1645" si="427">F1645*E1645</f>
        <v>0</v>
      </c>
      <c r="I1645" s="399"/>
      <c r="J1645" s="411" t="s">
        <v>21</v>
      </c>
      <c r="K1645" s="575" t="s">
        <v>259</v>
      </c>
      <c r="L1645" s="411"/>
      <c r="M1645" s="411" t="s">
        <v>165</v>
      </c>
      <c r="N1645" s="460"/>
      <c r="P1645" s="417"/>
    </row>
    <row r="1646" spans="1:17" s="416" customFormat="1" ht="14" outlineLevel="4">
      <c r="A1646" s="400"/>
      <c r="B1646" s="580" t="s">
        <v>973</v>
      </c>
      <c r="C1646" s="397" t="s">
        <v>908</v>
      </c>
      <c r="D1646" s="398"/>
      <c r="E1646" s="398"/>
      <c r="F1646" s="398"/>
      <c r="G1646" s="398">
        <f t="shared" ref="G1646:G1647" si="428">F1646*D1646</f>
        <v>0</v>
      </c>
      <c r="H1646" s="398">
        <f t="shared" ref="H1646:H1647" si="429">F1646*E1646</f>
        <v>0</v>
      </c>
      <c r="I1646" s="399"/>
      <c r="J1646" s="411" t="s">
        <v>21</v>
      </c>
      <c r="K1646" s="575" t="s">
        <v>259</v>
      </c>
      <c r="L1646" s="411"/>
      <c r="M1646" s="411" t="s">
        <v>165</v>
      </c>
      <c r="N1646" s="460"/>
      <c r="P1646" s="417"/>
    </row>
    <row r="1647" spans="1:17" s="416" customFormat="1" ht="14" outlineLevel="4">
      <c r="A1647" s="400"/>
      <c r="B1647" s="581" t="s">
        <v>974</v>
      </c>
      <c r="C1647" s="397" t="s">
        <v>908</v>
      </c>
      <c r="D1647" s="398"/>
      <c r="E1647" s="398"/>
      <c r="F1647" s="398"/>
      <c r="G1647" s="398">
        <f t="shared" si="428"/>
        <v>0</v>
      </c>
      <c r="H1647" s="398">
        <f t="shared" si="429"/>
        <v>0</v>
      </c>
      <c r="I1647" s="399"/>
      <c r="J1647" s="411" t="s">
        <v>21</v>
      </c>
      <c r="K1647" s="575" t="s">
        <v>259</v>
      </c>
      <c r="L1647" s="411"/>
      <c r="M1647" s="411" t="s">
        <v>165</v>
      </c>
      <c r="N1647" s="460"/>
      <c r="P1647" s="417"/>
    </row>
    <row r="1648" spans="1:17" s="416" customFormat="1" ht="14" outlineLevel="4">
      <c r="A1648" s="466">
        <v>2</v>
      </c>
      <c r="B1648" s="350" t="s">
        <v>976</v>
      </c>
      <c r="C1648" s="397"/>
      <c r="D1648" s="398"/>
      <c r="E1648" s="398"/>
      <c r="F1648" s="398"/>
      <c r="G1648" s="398"/>
      <c r="H1648" s="391"/>
      <c r="I1648" s="399"/>
      <c r="J1648" s="411"/>
      <c r="K1648" s="575"/>
      <c r="L1648" s="411"/>
      <c r="M1648" s="411" t="s">
        <v>165</v>
      </c>
      <c r="N1648" s="411"/>
      <c r="P1648" s="417"/>
    </row>
    <row r="1649" spans="1:16" s="416" customFormat="1" ht="14" outlineLevel="4">
      <c r="A1649" s="400"/>
      <c r="B1649" s="580" t="s">
        <v>951</v>
      </c>
      <c r="C1649" s="397" t="s">
        <v>30</v>
      </c>
      <c r="D1649" s="398"/>
      <c r="E1649" s="398"/>
      <c r="F1649" s="398"/>
      <c r="G1649" s="398">
        <f t="shared" ref="G1649:G1651" si="430">F1649*D1649</f>
        <v>0</v>
      </c>
      <c r="H1649" s="398">
        <f t="shared" ref="H1649:H1651" si="431">F1649*E1649</f>
        <v>0</v>
      </c>
      <c r="I1649" s="399"/>
      <c r="J1649" s="411" t="s">
        <v>21</v>
      </c>
      <c r="K1649" s="575" t="s">
        <v>259</v>
      </c>
      <c r="L1649" s="411"/>
      <c r="M1649" s="411" t="s">
        <v>165</v>
      </c>
      <c r="N1649" s="460"/>
      <c r="P1649" s="417"/>
    </row>
    <row r="1650" spans="1:16" s="416" customFormat="1" ht="14" outlineLevel="4">
      <c r="A1650" s="400"/>
      <c r="B1650" s="580" t="s">
        <v>977</v>
      </c>
      <c r="C1650" s="397" t="s">
        <v>30</v>
      </c>
      <c r="D1650" s="398"/>
      <c r="E1650" s="398"/>
      <c r="F1650" s="398"/>
      <c r="G1650" s="398">
        <f t="shared" si="430"/>
        <v>0</v>
      </c>
      <c r="H1650" s="398">
        <f t="shared" si="431"/>
        <v>0</v>
      </c>
      <c r="I1650" s="399"/>
      <c r="J1650" s="411" t="s">
        <v>21</v>
      </c>
      <c r="K1650" s="575" t="s">
        <v>259</v>
      </c>
      <c r="L1650" s="411"/>
      <c r="M1650" s="411" t="s">
        <v>165</v>
      </c>
      <c r="N1650" s="460"/>
      <c r="P1650" s="417"/>
    </row>
    <row r="1651" spans="1:16" s="416" customFormat="1" ht="14" outlineLevel="4">
      <c r="A1651" s="400"/>
      <c r="B1651" s="581" t="s">
        <v>978</v>
      </c>
      <c r="C1651" s="397" t="s">
        <v>30</v>
      </c>
      <c r="D1651" s="398"/>
      <c r="E1651" s="398"/>
      <c r="F1651" s="398"/>
      <c r="G1651" s="398">
        <f t="shared" si="430"/>
        <v>0</v>
      </c>
      <c r="H1651" s="398">
        <f t="shared" si="431"/>
        <v>0</v>
      </c>
      <c r="I1651" s="399"/>
      <c r="J1651" s="411" t="s">
        <v>21</v>
      </c>
      <c r="K1651" s="575" t="s">
        <v>259</v>
      </c>
      <c r="L1651" s="411"/>
      <c r="M1651" s="411" t="s">
        <v>165</v>
      </c>
      <c r="N1651" s="460"/>
      <c r="P1651" s="417"/>
    </row>
    <row r="1652" spans="1:16" s="416" customFormat="1" ht="14" outlineLevel="4">
      <c r="A1652" s="466">
        <v>3</v>
      </c>
      <c r="B1652" s="350" t="s">
        <v>979</v>
      </c>
      <c r="C1652" s="397"/>
      <c r="D1652" s="398"/>
      <c r="E1652" s="398"/>
      <c r="F1652" s="398"/>
      <c r="G1652" s="398"/>
      <c r="H1652" s="391"/>
      <c r="I1652" s="399"/>
      <c r="J1652" s="411"/>
      <c r="K1652" s="575"/>
      <c r="L1652" s="411"/>
      <c r="M1652" s="411" t="s">
        <v>165</v>
      </c>
      <c r="N1652" s="411"/>
      <c r="P1652" s="417"/>
    </row>
    <row r="1653" spans="1:16" s="416" customFormat="1" ht="14" outlineLevel="4">
      <c r="A1653" s="400"/>
      <c r="B1653" s="580" t="s">
        <v>949</v>
      </c>
      <c r="C1653" s="397" t="s">
        <v>30</v>
      </c>
      <c r="D1653" s="398">
        <v>200</v>
      </c>
      <c r="E1653" s="398">
        <v>200</v>
      </c>
      <c r="F1653" s="398">
        <v>800</v>
      </c>
      <c r="G1653" s="398">
        <f t="shared" ref="G1653:G1657" si="432">F1653*D1653</f>
        <v>160000</v>
      </c>
      <c r="H1653" s="402">
        <f t="shared" ref="H1653:H1657" si="433">F1653*E1653</f>
        <v>160000</v>
      </c>
      <c r="I1653" s="399"/>
      <c r="J1653" s="411" t="s">
        <v>21</v>
      </c>
      <c r="K1653" s="575" t="s">
        <v>259</v>
      </c>
      <c r="L1653" s="411"/>
      <c r="M1653" s="411" t="s">
        <v>165</v>
      </c>
      <c r="N1653" s="460"/>
      <c r="P1653" s="417"/>
    </row>
    <row r="1654" spans="1:16" s="416" customFormat="1" ht="14" outlineLevel="4">
      <c r="A1654" s="400"/>
      <c r="B1654" s="580" t="s">
        <v>950</v>
      </c>
      <c r="C1654" s="397" t="s">
        <v>30</v>
      </c>
      <c r="D1654" s="398"/>
      <c r="E1654" s="398"/>
      <c r="F1654" s="398"/>
      <c r="G1654" s="398">
        <f t="shared" si="432"/>
        <v>0</v>
      </c>
      <c r="H1654" s="402">
        <f t="shared" si="433"/>
        <v>0</v>
      </c>
      <c r="I1654" s="399"/>
      <c r="J1654" s="411" t="s">
        <v>21</v>
      </c>
      <c r="K1654" s="575" t="s">
        <v>259</v>
      </c>
      <c r="L1654" s="411"/>
      <c r="M1654" s="411" t="s">
        <v>165</v>
      </c>
      <c r="N1654" s="460"/>
      <c r="P1654" s="417" t="s">
        <v>1311</v>
      </c>
    </row>
    <row r="1655" spans="1:16" s="416" customFormat="1" ht="14" outlineLevel="4">
      <c r="A1655" s="400"/>
      <c r="B1655" s="581" t="s">
        <v>951</v>
      </c>
      <c r="C1655" s="397" t="s">
        <v>30</v>
      </c>
      <c r="D1655" s="398"/>
      <c r="E1655" s="398"/>
      <c r="F1655" s="398"/>
      <c r="G1655" s="398">
        <f t="shared" si="432"/>
        <v>0</v>
      </c>
      <c r="H1655" s="402">
        <f t="shared" si="433"/>
        <v>0</v>
      </c>
      <c r="I1655" s="399"/>
      <c r="J1655" s="411" t="s">
        <v>21</v>
      </c>
      <c r="K1655" s="575" t="s">
        <v>259</v>
      </c>
      <c r="L1655" s="411"/>
      <c r="M1655" s="411" t="s">
        <v>165</v>
      </c>
      <c r="N1655" s="460"/>
      <c r="P1655" s="417"/>
    </row>
    <row r="1656" spans="1:16" s="416" customFormat="1" ht="14" outlineLevel="4">
      <c r="A1656" s="400"/>
      <c r="B1656" s="580" t="s">
        <v>980</v>
      </c>
      <c r="C1656" s="397" t="s">
        <v>30</v>
      </c>
      <c r="D1656" s="398"/>
      <c r="E1656" s="398"/>
      <c r="F1656" s="398"/>
      <c r="G1656" s="398">
        <f t="shared" si="432"/>
        <v>0</v>
      </c>
      <c r="H1656" s="402">
        <f t="shared" si="433"/>
        <v>0</v>
      </c>
      <c r="I1656" s="399"/>
      <c r="J1656" s="411" t="s">
        <v>21</v>
      </c>
      <c r="K1656" s="575" t="s">
        <v>259</v>
      </c>
      <c r="L1656" s="411"/>
      <c r="M1656" s="411" t="s">
        <v>165</v>
      </c>
      <c r="N1656" s="460"/>
      <c r="P1656" s="417"/>
    </row>
    <row r="1657" spans="1:16" s="416" customFormat="1" ht="28" outlineLevel="4">
      <c r="A1657" s="400"/>
      <c r="B1657" s="580" t="s">
        <v>981</v>
      </c>
      <c r="C1657" s="397" t="s">
        <v>224</v>
      </c>
      <c r="D1657" s="398"/>
      <c r="E1657" s="398"/>
      <c r="F1657" s="398"/>
      <c r="G1657" s="398">
        <f t="shared" si="432"/>
        <v>0</v>
      </c>
      <c r="H1657" s="402">
        <f t="shared" si="433"/>
        <v>0</v>
      </c>
      <c r="I1657" s="399"/>
      <c r="J1657" s="411" t="s">
        <v>21</v>
      </c>
      <c r="K1657" s="575" t="s">
        <v>259</v>
      </c>
      <c r="L1657" s="411"/>
      <c r="M1657" s="411" t="s">
        <v>165</v>
      </c>
      <c r="N1657" s="460"/>
      <c r="P1657" s="417"/>
    </row>
    <row r="1658" spans="1:16" s="416" customFormat="1" ht="28" outlineLevel="4">
      <c r="A1658" s="400"/>
      <c r="B1658" s="580" t="s">
        <v>982</v>
      </c>
      <c r="C1658" s="397" t="s">
        <v>224</v>
      </c>
      <c r="D1658" s="398"/>
      <c r="E1658" s="398"/>
      <c r="F1658" s="398"/>
      <c r="G1658" s="398">
        <f t="shared" ref="G1658:G1669" si="434">F1658*D1658</f>
        <v>0</v>
      </c>
      <c r="H1658" s="402">
        <f t="shared" ref="H1658:H1669" si="435">F1658*E1658</f>
        <v>0</v>
      </c>
      <c r="I1658" s="399"/>
      <c r="J1658" s="411" t="s">
        <v>21</v>
      </c>
      <c r="K1658" s="575" t="s">
        <v>259</v>
      </c>
      <c r="L1658" s="411"/>
      <c r="M1658" s="411" t="s">
        <v>165</v>
      </c>
      <c r="N1658" s="460"/>
      <c r="P1658" s="417"/>
    </row>
    <row r="1659" spans="1:16" s="416" customFormat="1" ht="28" outlineLevel="4">
      <c r="A1659" s="400"/>
      <c r="B1659" s="580" t="s">
        <v>983</v>
      </c>
      <c r="C1659" s="397" t="s">
        <v>224</v>
      </c>
      <c r="D1659" s="398"/>
      <c r="E1659" s="398"/>
      <c r="F1659" s="398"/>
      <c r="G1659" s="398">
        <f t="shared" si="434"/>
        <v>0</v>
      </c>
      <c r="H1659" s="398">
        <f t="shared" si="435"/>
        <v>0</v>
      </c>
      <c r="I1659" s="399"/>
      <c r="J1659" s="411" t="s">
        <v>21</v>
      </c>
      <c r="K1659" s="575" t="s">
        <v>259</v>
      </c>
      <c r="L1659" s="411"/>
      <c r="M1659" s="411" t="s">
        <v>165</v>
      </c>
      <c r="N1659" s="460"/>
      <c r="P1659" s="417"/>
    </row>
    <row r="1660" spans="1:16" s="416" customFormat="1" ht="14" outlineLevel="4">
      <c r="A1660" s="400"/>
      <c r="B1660" s="581" t="s">
        <v>984</v>
      </c>
      <c r="C1660" s="397" t="s">
        <v>470</v>
      </c>
      <c r="D1660" s="398"/>
      <c r="E1660" s="398"/>
      <c r="F1660" s="398"/>
      <c r="G1660" s="398">
        <f t="shared" si="434"/>
        <v>0</v>
      </c>
      <c r="H1660" s="402">
        <f t="shared" si="435"/>
        <v>0</v>
      </c>
      <c r="I1660" s="399"/>
      <c r="J1660" s="411" t="s">
        <v>21</v>
      </c>
      <c r="K1660" s="575" t="s">
        <v>259</v>
      </c>
      <c r="L1660" s="411"/>
      <c r="M1660" s="411" t="s">
        <v>165</v>
      </c>
      <c r="N1660" s="460"/>
      <c r="P1660" s="417"/>
    </row>
    <row r="1661" spans="1:16" s="416" customFormat="1" ht="14" outlineLevel="4">
      <c r="A1661" s="400"/>
      <c r="B1661" s="580" t="s">
        <v>985</v>
      </c>
      <c r="C1661" s="397" t="s">
        <v>36</v>
      </c>
      <c r="D1661" s="398"/>
      <c r="E1661" s="398"/>
      <c r="F1661" s="398"/>
      <c r="G1661" s="398">
        <f t="shared" si="434"/>
        <v>0</v>
      </c>
      <c r="H1661" s="402">
        <f t="shared" si="435"/>
        <v>0</v>
      </c>
      <c r="I1661" s="399"/>
      <c r="J1661" s="411" t="s">
        <v>21</v>
      </c>
      <c r="K1661" s="575" t="s">
        <v>259</v>
      </c>
      <c r="L1661" s="411"/>
      <c r="M1661" s="411" t="s">
        <v>165</v>
      </c>
      <c r="N1661" s="460"/>
      <c r="P1661" s="417"/>
    </row>
    <row r="1662" spans="1:16" s="416" customFormat="1" ht="14" outlineLevel="4">
      <c r="A1662" s="400"/>
      <c r="B1662" s="580" t="s">
        <v>303</v>
      </c>
      <c r="C1662" s="397" t="s">
        <v>15</v>
      </c>
      <c r="D1662" s="398"/>
      <c r="E1662" s="398"/>
      <c r="F1662" s="398"/>
      <c r="G1662" s="398">
        <f t="shared" si="434"/>
        <v>0</v>
      </c>
      <c r="H1662" s="402">
        <f t="shared" si="435"/>
        <v>0</v>
      </c>
      <c r="I1662" s="399"/>
      <c r="J1662" s="411" t="s">
        <v>21</v>
      </c>
      <c r="K1662" s="575" t="s">
        <v>259</v>
      </c>
      <c r="L1662" s="411"/>
      <c r="M1662" s="411" t="s">
        <v>165</v>
      </c>
      <c r="N1662" s="460"/>
      <c r="P1662" s="417"/>
    </row>
    <row r="1663" spans="1:16" s="416" customFormat="1" ht="14" outlineLevel="4">
      <c r="A1663" s="400"/>
      <c r="B1663" s="581" t="s">
        <v>986</v>
      </c>
      <c r="C1663" s="397" t="s">
        <v>24</v>
      </c>
      <c r="D1663" s="398"/>
      <c r="E1663" s="398"/>
      <c r="F1663" s="398"/>
      <c r="G1663" s="398">
        <f t="shared" si="434"/>
        <v>0</v>
      </c>
      <c r="H1663" s="398">
        <f t="shared" si="435"/>
        <v>0</v>
      </c>
      <c r="I1663" s="399"/>
      <c r="J1663" s="411" t="s">
        <v>21</v>
      </c>
      <c r="K1663" s="575" t="s">
        <v>259</v>
      </c>
      <c r="L1663" s="411"/>
      <c r="M1663" s="411" t="s">
        <v>165</v>
      </c>
      <c r="N1663" s="460"/>
      <c r="P1663" s="417"/>
    </row>
    <row r="1664" spans="1:16" s="416" customFormat="1" ht="14" outlineLevel="4">
      <c r="A1664" s="400"/>
      <c r="B1664" s="580" t="s">
        <v>987</v>
      </c>
      <c r="C1664" s="397" t="s">
        <v>224</v>
      </c>
      <c r="D1664" s="398"/>
      <c r="E1664" s="398"/>
      <c r="F1664" s="398"/>
      <c r="G1664" s="398">
        <f t="shared" si="434"/>
        <v>0</v>
      </c>
      <c r="H1664" s="398">
        <f t="shared" si="435"/>
        <v>0</v>
      </c>
      <c r="I1664" s="399"/>
      <c r="J1664" s="411" t="s">
        <v>21</v>
      </c>
      <c r="K1664" s="575" t="s">
        <v>259</v>
      </c>
      <c r="L1664" s="411"/>
      <c r="M1664" s="411" t="s">
        <v>165</v>
      </c>
      <c r="N1664" s="460"/>
      <c r="P1664" s="417"/>
    </row>
    <row r="1665" spans="1:16" s="416" customFormat="1" ht="14" outlineLevel="4">
      <c r="A1665" s="400"/>
      <c r="B1665" s="580" t="s">
        <v>952</v>
      </c>
      <c r="C1665" s="397" t="s">
        <v>224</v>
      </c>
      <c r="D1665" s="398"/>
      <c r="E1665" s="398"/>
      <c r="F1665" s="398"/>
      <c r="G1665" s="398">
        <f t="shared" si="434"/>
        <v>0</v>
      </c>
      <c r="H1665" s="398">
        <f t="shared" si="435"/>
        <v>0</v>
      </c>
      <c r="I1665" s="399"/>
      <c r="J1665" s="411" t="s">
        <v>21</v>
      </c>
      <c r="K1665" s="575" t="s">
        <v>259</v>
      </c>
      <c r="L1665" s="411"/>
      <c r="M1665" s="411" t="s">
        <v>165</v>
      </c>
      <c r="N1665" s="460"/>
      <c r="P1665" s="417"/>
    </row>
    <row r="1666" spans="1:16" s="416" customFormat="1" ht="14" outlineLevel="4">
      <c r="A1666" s="400"/>
      <c r="B1666" s="581" t="s">
        <v>988</v>
      </c>
      <c r="C1666" s="397" t="s">
        <v>224</v>
      </c>
      <c r="D1666" s="398"/>
      <c r="E1666" s="398"/>
      <c r="F1666" s="398"/>
      <c r="G1666" s="398">
        <f t="shared" si="434"/>
        <v>0</v>
      </c>
      <c r="H1666" s="398">
        <f t="shared" si="435"/>
        <v>0</v>
      </c>
      <c r="I1666" s="399"/>
      <c r="J1666" s="411" t="s">
        <v>21</v>
      </c>
      <c r="K1666" s="575" t="s">
        <v>259</v>
      </c>
      <c r="L1666" s="411"/>
      <c r="M1666" s="411" t="s">
        <v>165</v>
      </c>
      <c r="N1666" s="460"/>
      <c r="P1666" s="417"/>
    </row>
    <row r="1667" spans="1:16" s="416" customFormat="1" ht="14" outlineLevel="4">
      <c r="A1667" s="400"/>
      <c r="B1667" s="580" t="s">
        <v>989</v>
      </c>
      <c r="C1667" s="397" t="s">
        <v>224</v>
      </c>
      <c r="D1667" s="398">
        <v>100</v>
      </c>
      <c r="E1667" s="398">
        <v>100</v>
      </c>
      <c r="F1667" s="398">
        <v>13</v>
      </c>
      <c r="G1667" s="398">
        <f t="shared" si="434"/>
        <v>1300</v>
      </c>
      <c r="H1667" s="398">
        <f t="shared" si="435"/>
        <v>1300</v>
      </c>
      <c r="I1667" s="399"/>
      <c r="J1667" s="411" t="s">
        <v>21</v>
      </c>
      <c r="K1667" s="575" t="s">
        <v>259</v>
      </c>
      <c r="L1667" s="411"/>
      <c r="M1667" s="411" t="s">
        <v>165</v>
      </c>
      <c r="N1667" s="460"/>
      <c r="P1667" s="417"/>
    </row>
    <row r="1668" spans="1:16" s="416" customFormat="1" ht="14" outlineLevel="4">
      <c r="A1668" s="400"/>
      <c r="B1668" s="580" t="s">
        <v>990</v>
      </c>
      <c r="C1668" s="397" t="s">
        <v>224</v>
      </c>
      <c r="D1668" s="398"/>
      <c r="E1668" s="398"/>
      <c r="F1668" s="398"/>
      <c r="G1668" s="398">
        <f t="shared" si="434"/>
        <v>0</v>
      </c>
      <c r="H1668" s="398">
        <f t="shared" si="435"/>
        <v>0</v>
      </c>
      <c r="I1668" s="399"/>
      <c r="J1668" s="411" t="s">
        <v>21</v>
      </c>
      <c r="K1668" s="575" t="s">
        <v>259</v>
      </c>
      <c r="L1668" s="411"/>
      <c r="M1668" s="411" t="s">
        <v>165</v>
      </c>
      <c r="N1668" s="460"/>
      <c r="P1668" s="417"/>
    </row>
    <row r="1669" spans="1:16" s="416" customFormat="1" ht="14" outlineLevel="4">
      <c r="A1669" s="400"/>
      <c r="B1669" s="581" t="s">
        <v>991</v>
      </c>
      <c r="C1669" s="397" t="s">
        <v>224</v>
      </c>
      <c r="D1669" s="398"/>
      <c r="E1669" s="398"/>
      <c r="F1669" s="398"/>
      <c r="G1669" s="398">
        <f t="shared" si="434"/>
        <v>0</v>
      </c>
      <c r="H1669" s="398">
        <f t="shared" si="435"/>
        <v>0</v>
      </c>
      <c r="I1669" s="399"/>
      <c r="J1669" s="411" t="s">
        <v>21</v>
      </c>
      <c r="K1669" s="575" t="s">
        <v>259</v>
      </c>
      <c r="L1669" s="411"/>
      <c r="M1669" s="411" t="s">
        <v>165</v>
      </c>
      <c r="N1669" s="460"/>
      <c r="P1669" s="417"/>
    </row>
    <row r="1670" spans="1:16" s="416" customFormat="1" ht="14" outlineLevel="4">
      <c r="A1670" s="400"/>
      <c r="B1670" s="580" t="s">
        <v>894</v>
      </c>
      <c r="C1670" s="397" t="s">
        <v>50</v>
      </c>
      <c r="D1670" s="398">
        <v>600</v>
      </c>
      <c r="E1670" s="398">
        <v>600</v>
      </c>
      <c r="F1670" s="398">
        <v>118</v>
      </c>
      <c r="G1670" s="398">
        <f t="shared" ref="G1670:G1675" si="436">F1670*D1670</f>
        <v>70800</v>
      </c>
      <c r="H1670" s="398">
        <f t="shared" ref="H1670:H1675" si="437">F1670*E1670</f>
        <v>70800</v>
      </c>
      <c r="I1670" s="399"/>
      <c r="J1670" s="411" t="s">
        <v>21</v>
      </c>
      <c r="K1670" s="575" t="s">
        <v>259</v>
      </c>
      <c r="L1670" s="411"/>
      <c r="M1670" s="411" t="s">
        <v>165</v>
      </c>
      <c r="N1670" s="460"/>
      <c r="P1670" s="417"/>
    </row>
    <row r="1671" spans="1:16" s="416" customFormat="1" ht="14" outlineLevel="4">
      <c r="A1671" s="400"/>
      <c r="B1671" s="580" t="s">
        <v>992</v>
      </c>
      <c r="C1671" s="397" t="s">
        <v>224</v>
      </c>
      <c r="D1671" s="398"/>
      <c r="E1671" s="398"/>
      <c r="F1671" s="398"/>
      <c r="G1671" s="398">
        <f t="shared" si="436"/>
        <v>0</v>
      </c>
      <c r="H1671" s="398">
        <f t="shared" si="437"/>
        <v>0</v>
      </c>
      <c r="I1671" s="399"/>
      <c r="J1671" s="411" t="s">
        <v>21</v>
      </c>
      <c r="K1671" s="575" t="s">
        <v>259</v>
      </c>
      <c r="L1671" s="411"/>
      <c r="M1671" s="411" t="s">
        <v>165</v>
      </c>
      <c r="N1671" s="460"/>
      <c r="P1671" s="417"/>
    </row>
    <row r="1672" spans="1:16" s="416" customFormat="1" ht="14" outlineLevel="4">
      <c r="A1672" s="400"/>
      <c r="B1672" s="581" t="s">
        <v>993</v>
      </c>
      <c r="C1672" s="397" t="s">
        <v>1003</v>
      </c>
      <c r="D1672" s="398"/>
      <c r="E1672" s="398"/>
      <c r="F1672" s="398"/>
      <c r="G1672" s="398">
        <f t="shared" si="436"/>
        <v>0</v>
      </c>
      <c r="H1672" s="398">
        <f t="shared" si="437"/>
        <v>0</v>
      </c>
      <c r="I1672" s="399"/>
      <c r="J1672" s="411" t="s">
        <v>21</v>
      </c>
      <c r="K1672" s="575" t="s">
        <v>259</v>
      </c>
      <c r="L1672" s="411"/>
      <c r="M1672" s="411" t="s">
        <v>165</v>
      </c>
      <c r="N1672" s="460"/>
      <c r="P1672" s="417"/>
    </row>
    <row r="1673" spans="1:16" s="416" customFormat="1" ht="14" outlineLevel="4">
      <c r="A1673" s="400"/>
      <c r="B1673" s="580" t="s">
        <v>994</v>
      </c>
      <c r="C1673" s="397" t="s">
        <v>1003</v>
      </c>
      <c r="D1673" s="398"/>
      <c r="E1673" s="398"/>
      <c r="F1673" s="398"/>
      <c r="G1673" s="398">
        <f t="shared" si="436"/>
        <v>0</v>
      </c>
      <c r="H1673" s="398">
        <f t="shared" si="437"/>
        <v>0</v>
      </c>
      <c r="I1673" s="399"/>
      <c r="J1673" s="411" t="s">
        <v>21</v>
      </c>
      <c r="K1673" s="575" t="s">
        <v>259</v>
      </c>
      <c r="L1673" s="411"/>
      <c r="M1673" s="411" t="s">
        <v>165</v>
      </c>
      <c r="N1673" s="460"/>
      <c r="P1673" s="417"/>
    </row>
    <row r="1674" spans="1:16" s="416" customFormat="1" ht="14" outlineLevel="4">
      <c r="A1674" s="400"/>
      <c r="B1674" s="580" t="s">
        <v>995</v>
      </c>
      <c r="C1674" s="397" t="s">
        <v>36</v>
      </c>
      <c r="D1674" s="398"/>
      <c r="E1674" s="398"/>
      <c r="F1674" s="398"/>
      <c r="G1674" s="398">
        <f t="shared" si="436"/>
        <v>0</v>
      </c>
      <c r="H1674" s="398">
        <f t="shared" si="437"/>
        <v>0</v>
      </c>
      <c r="I1674" s="399"/>
      <c r="J1674" s="411" t="s">
        <v>21</v>
      </c>
      <c r="K1674" s="575" t="s">
        <v>259</v>
      </c>
      <c r="L1674" s="411"/>
      <c r="M1674" s="411" t="s">
        <v>165</v>
      </c>
      <c r="N1674" s="460"/>
      <c r="P1674" s="417"/>
    </row>
    <row r="1675" spans="1:16" s="416" customFormat="1" ht="14" outlineLevel="4">
      <c r="A1675" s="400"/>
      <c r="B1675" s="581" t="s">
        <v>996</v>
      </c>
      <c r="C1675" s="397" t="s">
        <v>15</v>
      </c>
      <c r="D1675" s="398"/>
      <c r="E1675" s="398"/>
      <c r="F1675" s="398"/>
      <c r="G1675" s="398">
        <f t="shared" si="436"/>
        <v>0</v>
      </c>
      <c r="H1675" s="398">
        <f t="shared" si="437"/>
        <v>0</v>
      </c>
      <c r="I1675" s="399"/>
      <c r="J1675" s="411" t="s">
        <v>21</v>
      </c>
      <c r="K1675" s="575" t="s">
        <v>259</v>
      </c>
      <c r="L1675" s="411"/>
      <c r="M1675" s="411" t="s">
        <v>165</v>
      </c>
      <c r="N1675" s="460"/>
      <c r="P1675" s="417"/>
    </row>
    <row r="1676" spans="1:16" s="416" customFormat="1" ht="14" outlineLevel="4">
      <c r="A1676" s="400"/>
      <c r="B1676" s="580" t="s">
        <v>997</v>
      </c>
      <c r="C1676" s="397" t="s">
        <v>15</v>
      </c>
      <c r="D1676" s="398"/>
      <c r="E1676" s="398"/>
      <c r="F1676" s="398"/>
      <c r="G1676" s="398">
        <f t="shared" ref="G1676:G1678" si="438">F1676*D1676</f>
        <v>0</v>
      </c>
      <c r="H1676" s="398">
        <f t="shared" ref="H1676:H1678" si="439">F1676*E1676</f>
        <v>0</v>
      </c>
      <c r="I1676" s="399"/>
      <c r="J1676" s="411" t="s">
        <v>21</v>
      </c>
      <c r="K1676" s="575" t="s">
        <v>259</v>
      </c>
      <c r="L1676" s="411"/>
      <c r="M1676" s="411" t="s">
        <v>165</v>
      </c>
      <c r="N1676" s="460"/>
      <c r="P1676" s="417"/>
    </row>
    <row r="1677" spans="1:16" s="416" customFormat="1" ht="14" outlineLevel="4">
      <c r="A1677" s="400"/>
      <c r="B1677" s="580" t="s">
        <v>998</v>
      </c>
      <c r="C1677" s="397" t="s">
        <v>15</v>
      </c>
      <c r="D1677" s="398"/>
      <c r="E1677" s="398"/>
      <c r="F1677" s="398"/>
      <c r="G1677" s="398">
        <f t="shared" si="438"/>
        <v>0</v>
      </c>
      <c r="H1677" s="398">
        <f t="shared" si="439"/>
        <v>0</v>
      </c>
      <c r="I1677" s="399"/>
      <c r="J1677" s="411" t="s">
        <v>21</v>
      </c>
      <c r="K1677" s="575" t="s">
        <v>259</v>
      </c>
      <c r="L1677" s="411"/>
      <c r="M1677" s="411" t="s">
        <v>165</v>
      </c>
      <c r="N1677" s="460"/>
      <c r="P1677" s="417"/>
    </row>
    <row r="1678" spans="1:16" s="416" customFormat="1" ht="14" outlineLevel="4">
      <c r="A1678" s="400"/>
      <c r="B1678" s="581" t="s">
        <v>999</v>
      </c>
      <c r="C1678" s="397" t="s">
        <v>24</v>
      </c>
      <c r="D1678" s="398"/>
      <c r="E1678" s="398"/>
      <c r="F1678" s="398"/>
      <c r="G1678" s="398">
        <f t="shared" si="438"/>
        <v>0</v>
      </c>
      <c r="H1678" s="398">
        <f t="shared" si="439"/>
        <v>0</v>
      </c>
      <c r="I1678" s="399"/>
      <c r="J1678" s="411" t="s">
        <v>21</v>
      </c>
      <c r="K1678" s="575" t="s">
        <v>259</v>
      </c>
      <c r="L1678" s="411"/>
      <c r="M1678" s="411" t="s">
        <v>165</v>
      </c>
      <c r="N1678" s="460"/>
      <c r="P1678" s="417"/>
    </row>
    <row r="1679" spans="1:16" s="416" customFormat="1" ht="14" outlineLevel="4">
      <c r="A1679" s="400"/>
      <c r="B1679" s="580" t="s">
        <v>1000</v>
      </c>
      <c r="C1679" s="397" t="s">
        <v>15</v>
      </c>
      <c r="D1679" s="398"/>
      <c r="E1679" s="398"/>
      <c r="F1679" s="398"/>
      <c r="G1679" s="398">
        <f t="shared" ref="G1679:G1681" si="440">F1679*D1679</f>
        <v>0</v>
      </c>
      <c r="H1679" s="398">
        <f t="shared" ref="H1679:H1681" si="441">F1679*E1679</f>
        <v>0</v>
      </c>
      <c r="I1679" s="399"/>
      <c r="J1679" s="411" t="s">
        <v>21</v>
      </c>
      <c r="K1679" s="575" t="s">
        <v>259</v>
      </c>
      <c r="L1679" s="411"/>
      <c r="M1679" s="411" t="s">
        <v>165</v>
      </c>
      <c r="N1679" s="460"/>
      <c r="P1679" s="417"/>
    </row>
    <row r="1680" spans="1:16" s="416" customFormat="1" ht="14" outlineLevel="4">
      <c r="A1680" s="400"/>
      <c r="B1680" s="580" t="s">
        <v>1001</v>
      </c>
      <c r="C1680" s="397" t="s">
        <v>24</v>
      </c>
      <c r="D1680" s="398"/>
      <c r="E1680" s="398"/>
      <c r="F1680" s="398"/>
      <c r="G1680" s="398">
        <f t="shared" si="440"/>
        <v>0</v>
      </c>
      <c r="H1680" s="398">
        <f t="shared" si="441"/>
        <v>0</v>
      </c>
      <c r="I1680" s="399"/>
      <c r="J1680" s="411" t="s">
        <v>21</v>
      </c>
      <c r="K1680" s="575" t="s">
        <v>259</v>
      </c>
      <c r="L1680" s="411"/>
      <c r="M1680" s="411" t="s">
        <v>165</v>
      </c>
      <c r="N1680" s="460"/>
      <c r="P1680" s="417"/>
    </row>
    <row r="1681" spans="1:16" s="416" customFormat="1" ht="14" outlineLevel="4">
      <c r="A1681" s="400"/>
      <c r="B1681" s="581" t="s">
        <v>1002</v>
      </c>
      <c r="C1681" s="397" t="s">
        <v>24</v>
      </c>
      <c r="D1681" s="398"/>
      <c r="E1681" s="398"/>
      <c r="F1681" s="398"/>
      <c r="G1681" s="398">
        <f t="shared" si="440"/>
        <v>0</v>
      </c>
      <c r="H1681" s="398">
        <f t="shared" si="441"/>
        <v>0</v>
      </c>
      <c r="I1681" s="399"/>
      <c r="J1681" s="411" t="s">
        <v>21</v>
      </c>
      <c r="K1681" s="575" t="s">
        <v>259</v>
      </c>
      <c r="L1681" s="411"/>
      <c r="M1681" s="411" t="s">
        <v>165</v>
      </c>
      <c r="N1681" s="460"/>
      <c r="P1681" s="417"/>
    </row>
    <row r="1682" spans="1:16" s="416" customFormat="1" ht="14" outlineLevel="4">
      <c r="A1682" s="466">
        <v>4</v>
      </c>
      <c r="B1682" s="350" t="s">
        <v>932</v>
      </c>
      <c r="C1682" s="397"/>
      <c r="D1682" s="398"/>
      <c r="E1682" s="398"/>
      <c r="F1682" s="398"/>
      <c r="G1682" s="398"/>
      <c r="H1682" s="391"/>
      <c r="I1682" s="399"/>
      <c r="J1682" s="411"/>
      <c r="K1682" s="575"/>
      <c r="L1682" s="411"/>
      <c r="M1682" s="411" t="s">
        <v>165</v>
      </c>
      <c r="N1682" s="411"/>
      <c r="P1682" s="417"/>
    </row>
    <row r="1683" spans="1:16" s="416" customFormat="1" ht="14" outlineLevel="4">
      <c r="A1683" s="400"/>
      <c r="B1683" s="350" t="s">
        <v>53</v>
      </c>
      <c r="C1683" s="397"/>
      <c r="D1683" s="398"/>
      <c r="E1683" s="398"/>
      <c r="F1683" s="398"/>
      <c r="G1683" s="398"/>
      <c r="H1683" s="398"/>
      <c r="I1683" s="399"/>
      <c r="J1683" s="411"/>
      <c r="K1683" s="575"/>
      <c r="L1683" s="411"/>
      <c r="M1683" s="411" t="s">
        <v>165</v>
      </c>
      <c r="N1683" s="411"/>
      <c r="P1683" s="417"/>
    </row>
    <row r="1684" spans="1:16" s="416" customFormat="1" ht="14" outlineLevel="4">
      <c r="A1684" s="400"/>
      <c r="B1684" s="580" t="s">
        <v>317</v>
      </c>
      <c r="C1684" s="397" t="s">
        <v>25</v>
      </c>
      <c r="D1684" s="398"/>
      <c r="E1684" s="398"/>
      <c r="F1684" s="398"/>
      <c r="G1684" s="398">
        <f t="shared" ref="G1684:G1685" si="442">F1684*D1684</f>
        <v>0</v>
      </c>
      <c r="H1684" s="398">
        <f t="shared" ref="H1684:H1685" si="443">F1684*E1684</f>
        <v>0</v>
      </c>
      <c r="I1684" s="399"/>
      <c r="J1684" s="411" t="s">
        <v>21</v>
      </c>
      <c r="K1684" s="575" t="s">
        <v>259</v>
      </c>
      <c r="L1684" s="411"/>
      <c r="M1684" s="411" t="s">
        <v>165</v>
      </c>
      <c r="N1684" s="460"/>
      <c r="P1684" s="417"/>
    </row>
    <row r="1685" spans="1:16" s="416" customFormat="1" ht="14" outlineLevel="4">
      <c r="A1685" s="400"/>
      <c r="B1685" s="581" t="s">
        <v>318</v>
      </c>
      <c r="C1685" s="397" t="s">
        <v>25</v>
      </c>
      <c r="D1685" s="398"/>
      <c r="E1685" s="398"/>
      <c r="F1685" s="398"/>
      <c r="G1685" s="398">
        <f t="shared" si="442"/>
        <v>0</v>
      </c>
      <c r="H1685" s="398">
        <f t="shared" si="443"/>
        <v>0</v>
      </c>
      <c r="I1685" s="399"/>
      <c r="J1685" s="411" t="s">
        <v>21</v>
      </c>
      <c r="K1685" s="575" t="s">
        <v>259</v>
      </c>
      <c r="L1685" s="411"/>
      <c r="M1685" s="411" t="s">
        <v>165</v>
      </c>
      <c r="N1685" s="460"/>
      <c r="P1685" s="417"/>
    </row>
    <row r="1686" spans="1:16" s="416" customFormat="1" ht="14" outlineLevel="4">
      <c r="A1686" s="400"/>
      <c r="B1686" s="350" t="s">
        <v>48</v>
      </c>
      <c r="C1686" s="397"/>
      <c r="D1686" s="398"/>
      <c r="E1686" s="398"/>
      <c r="F1686" s="398"/>
      <c r="G1686" s="398"/>
      <c r="H1686" s="398"/>
      <c r="I1686" s="399"/>
      <c r="J1686" s="411"/>
      <c r="K1686" s="575"/>
      <c r="L1686" s="411"/>
      <c r="M1686" s="411" t="s">
        <v>165</v>
      </c>
      <c r="N1686" s="411"/>
      <c r="P1686" s="417"/>
    </row>
    <row r="1687" spans="1:16" s="416" customFormat="1" ht="14" outlineLevel="4">
      <c r="A1687" s="400"/>
      <c r="B1687" s="415" t="s">
        <v>140</v>
      </c>
      <c r="C1687" s="397" t="s">
        <v>25</v>
      </c>
      <c r="D1687" s="398"/>
      <c r="E1687" s="398"/>
      <c r="F1687" s="398"/>
      <c r="G1687" s="398">
        <f t="shared" ref="G1687:G1693" si="444">F1687*D1687</f>
        <v>0</v>
      </c>
      <c r="H1687" s="398">
        <f t="shared" ref="H1687:H1693" si="445">F1687*E1687</f>
        <v>0</v>
      </c>
      <c r="I1687" s="399"/>
      <c r="J1687" s="411" t="s">
        <v>21</v>
      </c>
      <c r="K1687" s="575" t="s">
        <v>259</v>
      </c>
      <c r="L1687" s="411"/>
      <c r="M1687" s="411" t="s">
        <v>165</v>
      </c>
      <c r="N1687" s="460"/>
      <c r="P1687" s="417"/>
    </row>
    <row r="1688" spans="1:16" s="416" customFormat="1" ht="14" outlineLevel="4">
      <c r="A1688" s="400"/>
      <c r="B1688" s="415" t="s">
        <v>285</v>
      </c>
      <c r="C1688" s="397" t="s">
        <v>25</v>
      </c>
      <c r="D1688" s="398"/>
      <c r="E1688" s="398"/>
      <c r="F1688" s="398"/>
      <c r="G1688" s="398">
        <f t="shared" si="444"/>
        <v>0</v>
      </c>
      <c r="H1688" s="398">
        <f t="shared" si="445"/>
        <v>0</v>
      </c>
      <c r="I1688" s="399"/>
      <c r="J1688" s="411" t="s">
        <v>21</v>
      </c>
      <c r="K1688" s="575" t="s">
        <v>259</v>
      </c>
      <c r="L1688" s="411"/>
      <c r="M1688" s="411" t="s">
        <v>165</v>
      </c>
      <c r="N1688" s="460"/>
      <c r="P1688" s="417"/>
    </row>
    <row r="1689" spans="1:16" s="416" customFormat="1" ht="14" outlineLevel="4">
      <c r="A1689" s="400"/>
      <c r="B1689" s="415" t="s">
        <v>933</v>
      </c>
      <c r="C1689" s="397" t="s">
        <v>25</v>
      </c>
      <c r="D1689" s="398"/>
      <c r="E1689" s="398"/>
      <c r="F1689" s="330"/>
      <c r="G1689" s="398">
        <f t="shared" si="444"/>
        <v>0</v>
      </c>
      <c r="H1689" s="398">
        <f t="shared" si="445"/>
        <v>0</v>
      </c>
      <c r="I1689" s="399"/>
      <c r="J1689" s="411" t="s">
        <v>21</v>
      </c>
      <c r="K1689" s="575" t="s">
        <v>259</v>
      </c>
      <c r="L1689" s="411"/>
      <c r="M1689" s="411" t="s">
        <v>165</v>
      </c>
      <c r="N1689" s="460"/>
      <c r="P1689" s="417"/>
    </row>
    <row r="1690" spans="1:16" s="416" customFormat="1" ht="14" outlineLevel="4">
      <c r="A1690" s="400"/>
      <c r="B1690" s="415" t="s">
        <v>319</v>
      </c>
      <c r="C1690" s="397" t="s">
        <v>25</v>
      </c>
      <c r="D1690" s="398"/>
      <c r="E1690" s="398"/>
      <c r="F1690" s="398"/>
      <c r="G1690" s="398">
        <f t="shared" si="444"/>
        <v>0</v>
      </c>
      <c r="H1690" s="398">
        <f t="shared" si="445"/>
        <v>0</v>
      </c>
      <c r="I1690" s="399"/>
      <c r="J1690" s="411" t="s">
        <v>21</v>
      </c>
      <c r="K1690" s="575" t="s">
        <v>259</v>
      </c>
      <c r="L1690" s="411"/>
      <c r="M1690" s="411" t="s">
        <v>165</v>
      </c>
      <c r="N1690" s="460"/>
      <c r="P1690" s="417"/>
    </row>
    <row r="1691" spans="1:16" s="416" customFormat="1" ht="14" outlineLevel="4">
      <c r="A1691" s="400"/>
      <c r="B1691" s="415" t="s">
        <v>287</v>
      </c>
      <c r="C1691" s="397" t="s">
        <v>25</v>
      </c>
      <c r="D1691" s="398"/>
      <c r="E1691" s="398"/>
      <c r="F1691" s="398"/>
      <c r="G1691" s="398">
        <f t="shared" si="444"/>
        <v>0</v>
      </c>
      <c r="H1691" s="398">
        <f t="shared" si="445"/>
        <v>0</v>
      </c>
      <c r="I1691" s="399"/>
      <c r="J1691" s="411" t="s">
        <v>21</v>
      </c>
      <c r="K1691" s="575" t="s">
        <v>259</v>
      </c>
      <c r="L1691" s="411"/>
      <c r="M1691" s="411" t="s">
        <v>165</v>
      </c>
      <c r="N1691" s="460"/>
      <c r="P1691" s="417"/>
    </row>
    <row r="1692" spans="1:16" s="416" customFormat="1" ht="14" outlineLevel="4">
      <c r="A1692" s="400"/>
      <c r="B1692" s="415" t="s">
        <v>288</v>
      </c>
      <c r="C1692" s="397" t="s">
        <v>25</v>
      </c>
      <c r="D1692" s="398"/>
      <c r="E1692" s="398"/>
      <c r="F1692" s="398"/>
      <c r="G1692" s="398">
        <f t="shared" si="444"/>
        <v>0</v>
      </c>
      <c r="H1692" s="398">
        <f t="shared" si="445"/>
        <v>0</v>
      </c>
      <c r="I1692" s="399"/>
      <c r="J1692" s="411" t="s">
        <v>21</v>
      </c>
      <c r="K1692" s="575" t="s">
        <v>259</v>
      </c>
      <c r="L1692" s="411"/>
      <c r="M1692" s="411" t="s">
        <v>165</v>
      </c>
      <c r="N1692" s="460"/>
      <c r="P1692" s="417"/>
    </row>
    <row r="1693" spans="1:16" s="416" customFormat="1" ht="14" outlineLevel="4">
      <c r="A1693" s="400"/>
      <c r="B1693" s="415" t="s">
        <v>289</v>
      </c>
      <c r="C1693" s="397" t="s">
        <v>25</v>
      </c>
      <c r="D1693" s="398"/>
      <c r="E1693" s="398"/>
      <c r="F1693" s="398"/>
      <c r="G1693" s="398">
        <f t="shared" si="444"/>
        <v>0</v>
      </c>
      <c r="H1693" s="398">
        <f t="shared" si="445"/>
        <v>0</v>
      </c>
      <c r="I1693" s="399"/>
      <c r="J1693" s="411" t="s">
        <v>21</v>
      </c>
      <c r="K1693" s="575" t="s">
        <v>259</v>
      </c>
      <c r="L1693" s="411"/>
      <c r="M1693" s="411" t="s">
        <v>165</v>
      </c>
      <c r="N1693" s="460"/>
      <c r="P1693" s="417"/>
    </row>
    <row r="1694" spans="1:16" s="416" customFormat="1" ht="14" outlineLevel="4">
      <c r="A1694" s="400"/>
      <c r="B1694" s="350" t="s">
        <v>49</v>
      </c>
      <c r="C1694" s="397"/>
      <c r="D1694" s="398"/>
      <c r="E1694" s="398"/>
      <c r="F1694" s="398"/>
      <c r="G1694" s="398"/>
      <c r="H1694" s="398"/>
      <c r="I1694" s="399"/>
      <c r="J1694" s="411"/>
      <c r="K1694" s="575"/>
      <c r="L1694" s="411"/>
      <c r="M1694" s="411" t="s">
        <v>165</v>
      </c>
      <c r="N1694" s="411"/>
      <c r="P1694" s="417"/>
    </row>
    <row r="1695" spans="1:16" s="416" customFormat="1" ht="14" outlineLevel="4">
      <c r="A1695" s="400"/>
      <c r="B1695" s="350" t="s">
        <v>100</v>
      </c>
      <c r="C1695" s="397"/>
      <c r="D1695" s="398"/>
      <c r="E1695" s="398"/>
      <c r="F1695" s="398"/>
      <c r="G1695" s="398"/>
      <c r="H1695" s="398"/>
      <c r="I1695" s="399"/>
      <c r="J1695" s="411"/>
      <c r="K1695" s="575"/>
      <c r="L1695" s="411"/>
      <c r="M1695" s="411" t="s">
        <v>165</v>
      </c>
      <c r="N1695" s="411"/>
      <c r="P1695" s="417"/>
    </row>
    <row r="1696" spans="1:16" s="416" customFormat="1" ht="14" outlineLevel="4">
      <c r="A1696" s="400"/>
      <c r="B1696" s="415" t="s">
        <v>290</v>
      </c>
      <c r="C1696" s="397" t="s">
        <v>24</v>
      </c>
      <c r="D1696" s="332"/>
      <c r="E1696" s="332"/>
      <c r="F1696" s="330"/>
      <c r="G1696" s="398">
        <f t="shared" ref="G1696:G1714" si="446">F1696*D1696</f>
        <v>0</v>
      </c>
      <c r="H1696" s="398">
        <f t="shared" ref="H1696:H1714" si="447">F1696*E1696</f>
        <v>0</v>
      </c>
      <c r="I1696" s="399"/>
      <c r="J1696" s="411" t="s">
        <v>21</v>
      </c>
      <c r="K1696" s="575" t="s">
        <v>259</v>
      </c>
      <c r="L1696" s="411"/>
      <c r="M1696" s="411" t="s">
        <v>165</v>
      </c>
      <c r="N1696" s="460"/>
      <c r="P1696" s="417"/>
    </row>
    <row r="1697" spans="1:16" s="416" customFormat="1" ht="14" outlineLevel="4">
      <c r="A1697" s="400"/>
      <c r="B1697" s="415" t="s">
        <v>291</v>
      </c>
      <c r="C1697" s="397" t="s">
        <v>24</v>
      </c>
      <c r="D1697" s="398"/>
      <c r="E1697" s="398"/>
      <c r="F1697" s="398"/>
      <c r="G1697" s="398">
        <f t="shared" si="446"/>
        <v>0</v>
      </c>
      <c r="H1697" s="398">
        <f t="shared" si="447"/>
        <v>0</v>
      </c>
      <c r="I1697" s="399"/>
      <c r="J1697" s="411" t="s">
        <v>21</v>
      </c>
      <c r="K1697" s="575" t="s">
        <v>259</v>
      </c>
      <c r="L1697" s="411"/>
      <c r="M1697" s="411" t="s">
        <v>165</v>
      </c>
      <c r="N1697" s="460"/>
      <c r="P1697" s="417"/>
    </row>
    <row r="1698" spans="1:16" s="416" customFormat="1" ht="14" outlineLevel="4">
      <c r="A1698" s="400"/>
      <c r="B1698" s="415" t="s">
        <v>292</v>
      </c>
      <c r="C1698" s="397" t="s">
        <v>24</v>
      </c>
      <c r="D1698" s="398"/>
      <c r="E1698" s="398"/>
      <c r="F1698" s="330"/>
      <c r="G1698" s="398">
        <f t="shared" si="446"/>
        <v>0</v>
      </c>
      <c r="H1698" s="398">
        <f t="shared" si="447"/>
        <v>0</v>
      </c>
      <c r="I1698" s="399"/>
      <c r="J1698" s="411" t="s">
        <v>21</v>
      </c>
      <c r="K1698" s="575" t="s">
        <v>259</v>
      </c>
      <c r="L1698" s="411"/>
      <c r="M1698" s="411" t="s">
        <v>165</v>
      </c>
      <c r="N1698" s="460"/>
      <c r="P1698" s="417"/>
    </row>
    <row r="1699" spans="1:16" s="416" customFormat="1" ht="14" outlineLevel="4">
      <c r="A1699" s="400"/>
      <c r="B1699" s="415" t="s">
        <v>293</v>
      </c>
      <c r="C1699" s="397" t="s">
        <v>24</v>
      </c>
      <c r="D1699" s="398"/>
      <c r="E1699" s="398"/>
      <c r="F1699" s="398"/>
      <c r="G1699" s="398">
        <f t="shared" si="446"/>
        <v>0</v>
      </c>
      <c r="H1699" s="398">
        <f t="shared" si="447"/>
        <v>0</v>
      </c>
      <c r="I1699" s="399"/>
      <c r="J1699" s="411" t="s">
        <v>21</v>
      </c>
      <c r="K1699" s="575" t="s">
        <v>259</v>
      </c>
      <c r="L1699" s="411"/>
      <c r="M1699" s="411" t="s">
        <v>165</v>
      </c>
      <c r="N1699" s="460"/>
      <c r="P1699" s="417"/>
    </row>
    <row r="1700" spans="1:16" s="416" customFormat="1" ht="14" outlineLevel="4">
      <c r="A1700" s="400"/>
      <c r="B1700" s="415" t="s">
        <v>294</v>
      </c>
      <c r="C1700" s="397" t="s">
        <v>24</v>
      </c>
      <c r="D1700" s="398"/>
      <c r="E1700" s="398"/>
      <c r="F1700" s="398"/>
      <c r="G1700" s="398">
        <f t="shared" si="446"/>
        <v>0</v>
      </c>
      <c r="H1700" s="398">
        <f t="shared" si="447"/>
        <v>0</v>
      </c>
      <c r="I1700" s="399"/>
      <c r="J1700" s="411" t="s">
        <v>21</v>
      </c>
      <c r="K1700" s="575" t="s">
        <v>259</v>
      </c>
      <c r="L1700" s="411"/>
      <c r="M1700" s="411" t="s">
        <v>165</v>
      </c>
      <c r="N1700" s="460"/>
      <c r="P1700" s="417"/>
    </row>
    <row r="1701" spans="1:16" s="416" customFormat="1" ht="14" outlineLevel="4">
      <c r="A1701" s="400"/>
      <c r="B1701" s="415" t="s">
        <v>295</v>
      </c>
      <c r="C1701" s="397" t="s">
        <v>24</v>
      </c>
      <c r="D1701" s="398"/>
      <c r="E1701" s="398"/>
      <c r="F1701" s="398"/>
      <c r="G1701" s="398">
        <f t="shared" si="446"/>
        <v>0</v>
      </c>
      <c r="H1701" s="398">
        <f t="shared" si="447"/>
        <v>0</v>
      </c>
      <c r="I1701" s="399"/>
      <c r="J1701" s="411" t="s">
        <v>21</v>
      </c>
      <c r="K1701" s="575" t="s">
        <v>259</v>
      </c>
      <c r="L1701" s="411"/>
      <c r="M1701" s="411" t="s">
        <v>165</v>
      </c>
      <c r="N1701" s="460"/>
      <c r="P1701" s="417"/>
    </row>
    <row r="1702" spans="1:16" s="416" customFormat="1" ht="14" outlineLevel="4">
      <c r="A1702" s="400"/>
      <c r="B1702" s="415" t="s">
        <v>910</v>
      </c>
      <c r="C1702" s="397" t="s">
        <v>24</v>
      </c>
      <c r="D1702" s="398"/>
      <c r="E1702" s="398"/>
      <c r="F1702" s="330"/>
      <c r="G1702" s="398">
        <f t="shared" si="446"/>
        <v>0</v>
      </c>
      <c r="H1702" s="398">
        <f t="shared" si="447"/>
        <v>0</v>
      </c>
      <c r="I1702" s="399"/>
      <c r="J1702" s="411" t="s">
        <v>21</v>
      </c>
      <c r="K1702" s="575" t="s">
        <v>259</v>
      </c>
      <c r="L1702" s="411"/>
      <c r="M1702" s="411" t="s">
        <v>165</v>
      </c>
      <c r="N1702" s="460"/>
      <c r="P1702" s="417"/>
    </row>
    <row r="1703" spans="1:16" s="416" customFormat="1" ht="14" outlineLevel="4">
      <c r="A1703" s="400"/>
      <c r="B1703" s="415" t="s">
        <v>320</v>
      </c>
      <c r="C1703" s="397" t="s">
        <v>24</v>
      </c>
      <c r="D1703" s="398"/>
      <c r="E1703" s="398"/>
      <c r="F1703" s="398"/>
      <c r="G1703" s="398">
        <f t="shared" si="446"/>
        <v>0</v>
      </c>
      <c r="H1703" s="398">
        <f t="shared" si="447"/>
        <v>0</v>
      </c>
      <c r="I1703" s="399"/>
      <c r="J1703" s="411" t="s">
        <v>21</v>
      </c>
      <c r="K1703" s="575" t="s">
        <v>259</v>
      </c>
      <c r="L1703" s="411"/>
      <c r="M1703" s="411" t="s">
        <v>165</v>
      </c>
      <c r="N1703" s="460"/>
      <c r="P1703" s="417"/>
    </row>
    <row r="1704" spans="1:16" s="416" customFormat="1" ht="14" outlineLevel="4">
      <c r="A1704" s="400"/>
      <c r="B1704" s="415" t="s">
        <v>321</v>
      </c>
      <c r="C1704" s="397" t="s">
        <v>24</v>
      </c>
      <c r="D1704" s="398"/>
      <c r="E1704" s="398"/>
      <c r="F1704" s="398"/>
      <c r="G1704" s="398">
        <f t="shared" si="446"/>
        <v>0</v>
      </c>
      <c r="H1704" s="398">
        <f t="shared" si="447"/>
        <v>0</v>
      </c>
      <c r="I1704" s="399"/>
      <c r="J1704" s="411" t="s">
        <v>21</v>
      </c>
      <c r="K1704" s="575" t="s">
        <v>259</v>
      </c>
      <c r="L1704" s="411"/>
      <c r="M1704" s="411" t="s">
        <v>165</v>
      </c>
      <c r="N1704" s="460"/>
      <c r="P1704" s="417"/>
    </row>
    <row r="1705" spans="1:16" s="416" customFormat="1" ht="14" outlineLevel="4">
      <c r="A1705" s="400"/>
      <c r="B1705" s="415" t="s">
        <v>296</v>
      </c>
      <c r="C1705" s="397" t="s">
        <v>24</v>
      </c>
      <c r="D1705" s="398"/>
      <c r="E1705" s="398"/>
      <c r="F1705" s="398"/>
      <c r="G1705" s="398">
        <f t="shared" si="446"/>
        <v>0</v>
      </c>
      <c r="H1705" s="398">
        <f t="shared" si="447"/>
        <v>0</v>
      </c>
      <c r="I1705" s="399"/>
      <c r="J1705" s="411" t="s">
        <v>21</v>
      </c>
      <c r="K1705" s="575" t="s">
        <v>259</v>
      </c>
      <c r="L1705" s="411"/>
      <c r="M1705" s="411" t="s">
        <v>165</v>
      </c>
      <c r="N1705" s="460"/>
      <c r="P1705" s="417"/>
    </row>
    <row r="1706" spans="1:16" s="416" customFormat="1" ht="14" outlineLevel="4">
      <c r="A1706" s="400"/>
      <c r="B1706" s="415" t="s">
        <v>934</v>
      </c>
      <c r="C1706" s="397" t="s">
        <v>24</v>
      </c>
      <c r="D1706" s="398"/>
      <c r="E1706" s="398"/>
      <c r="F1706" s="330"/>
      <c r="G1706" s="398">
        <f t="shared" si="446"/>
        <v>0</v>
      </c>
      <c r="H1706" s="398">
        <f t="shared" si="447"/>
        <v>0</v>
      </c>
      <c r="I1706" s="399"/>
      <c r="J1706" s="411" t="s">
        <v>21</v>
      </c>
      <c r="K1706" s="575" t="s">
        <v>259</v>
      </c>
      <c r="L1706" s="411"/>
      <c r="M1706" s="411" t="s">
        <v>165</v>
      </c>
      <c r="N1706" s="460"/>
      <c r="P1706" s="417"/>
    </row>
    <row r="1707" spans="1:16" s="416" customFormat="1" ht="14" outlineLevel="4">
      <c r="A1707" s="400"/>
      <c r="B1707" s="415" t="s">
        <v>298</v>
      </c>
      <c r="C1707" s="397" t="s">
        <v>24</v>
      </c>
      <c r="D1707" s="398"/>
      <c r="E1707" s="398"/>
      <c r="F1707" s="330"/>
      <c r="G1707" s="398">
        <f t="shared" si="446"/>
        <v>0</v>
      </c>
      <c r="H1707" s="398">
        <f t="shared" si="447"/>
        <v>0</v>
      </c>
      <c r="I1707" s="399"/>
      <c r="J1707" s="411" t="s">
        <v>21</v>
      </c>
      <c r="K1707" s="575" t="s">
        <v>259</v>
      </c>
      <c r="L1707" s="411"/>
      <c r="M1707" s="411" t="s">
        <v>165</v>
      </c>
      <c r="N1707" s="460"/>
      <c r="P1707" s="417"/>
    </row>
    <row r="1708" spans="1:16" s="416" customFormat="1" ht="14" outlineLevel="4">
      <c r="A1708" s="400"/>
      <c r="B1708" s="415" t="s">
        <v>299</v>
      </c>
      <c r="C1708" s="397" t="s">
        <v>24</v>
      </c>
      <c r="D1708" s="398"/>
      <c r="E1708" s="398"/>
      <c r="F1708" s="398"/>
      <c r="G1708" s="398">
        <f t="shared" si="446"/>
        <v>0</v>
      </c>
      <c r="H1708" s="398">
        <f t="shared" si="447"/>
        <v>0</v>
      </c>
      <c r="I1708" s="399"/>
      <c r="J1708" s="411" t="s">
        <v>21</v>
      </c>
      <c r="K1708" s="575" t="s">
        <v>259</v>
      </c>
      <c r="L1708" s="411"/>
      <c r="M1708" s="411" t="s">
        <v>165</v>
      </c>
      <c r="N1708" s="460"/>
      <c r="P1708" s="417"/>
    </row>
    <row r="1709" spans="1:16" s="416" customFormat="1" ht="14" outlineLevel="4">
      <c r="A1709" s="400"/>
      <c r="B1709" s="415" t="s">
        <v>300</v>
      </c>
      <c r="C1709" s="397" t="s">
        <v>24</v>
      </c>
      <c r="D1709" s="398"/>
      <c r="E1709" s="398"/>
      <c r="F1709" s="398"/>
      <c r="G1709" s="398">
        <f t="shared" si="446"/>
        <v>0</v>
      </c>
      <c r="H1709" s="398">
        <f t="shared" si="447"/>
        <v>0</v>
      </c>
      <c r="I1709" s="399"/>
      <c r="J1709" s="411" t="s">
        <v>21</v>
      </c>
      <c r="K1709" s="575" t="s">
        <v>259</v>
      </c>
      <c r="L1709" s="411"/>
      <c r="M1709" s="411" t="s">
        <v>165</v>
      </c>
      <c r="N1709" s="460"/>
      <c r="P1709" s="417"/>
    </row>
    <row r="1710" spans="1:16" s="416" customFormat="1" ht="14" outlineLevel="4">
      <c r="A1710" s="400"/>
      <c r="B1710" s="415" t="s">
        <v>301</v>
      </c>
      <c r="C1710" s="397" t="s">
        <v>24</v>
      </c>
      <c r="D1710" s="398"/>
      <c r="E1710" s="398"/>
      <c r="F1710" s="398"/>
      <c r="G1710" s="398">
        <f t="shared" si="446"/>
        <v>0</v>
      </c>
      <c r="H1710" s="398">
        <f t="shared" si="447"/>
        <v>0</v>
      </c>
      <c r="I1710" s="399"/>
      <c r="J1710" s="411" t="s">
        <v>21</v>
      </c>
      <c r="K1710" s="575" t="s">
        <v>259</v>
      </c>
      <c r="L1710" s="411"/>
      <c r="M1710" s="411" t="s">
        <v>165</v>
      </c>
      <c r="N1710" s="460"/>
      <c r="P1710" s="417"/>
    </row>
    <row r="1711" spans="1:16" s="416" customFormat="1" ht="14" outlineLevel="4">
      <c r="A1711" s="400"/>
      <c r="B1711" s="415" t="s">
        <v>302</v>
      </c>
      <c r="C1711" s="397" t="s">
        <v>11</v>
      </c>
      <c r="D1711" s="398"/>
      <c r="E1711" s="398"/>
      <c r="F1711" s="330"/>
      <c r="G1711" s="398">
        <f t="shared" si="446"/>
        <v>0</v>
      </c>
      <c r="H1711" s="398">
        <f t="shared" si="447"/>
        <v>0</v>
      </c>
      <c r="I1711" s="399"/>
      <c r="J1711" s="411" t="s">
        <v>21</v>
      </c>
      <c r="K1711" s="575" t="s">
        <v>259</v>
      </c>
      <c r="L1711" s="411"/>
      <c r="M1711" s="411" t="s">
        <v>165</v>
      </c>
      <c r="N1711" s="460"/>
      <c r="P1711" s="417"/>
    </row>
    <row r="1712" spans="1:16" s="416" customFormat="1" ht="14" outlineLevel="4">
      <c r="A1712" s="400"/>
      <c r="B1712" s="415" t="s">
        <v>303</v>
      </c>
      <c r="C1712" s="397" t="s">
        <v>24</v>
      </c>
      <c r="D1712" s="398"/>
      <c r="E1712" s="398"/>
      <c r="F1712" s="330"/>
      <c r="G1712" s="398">
        <f t="shared" si="446"/>
        <v>0</v>
      </c>
      <c r="H1712" s="398">
        <f t="shared" si="447"/>
        <v>0</v>
      </c>
      <c r="I1712" s="399"/>
      <c r="J1712" s="411" t="s">
        <v>21</v>
      </c>
      <c r="K1712" s="575" t="s">
        <v>259</v>
      </c>
      <c r="L1712" s="411"/>
      <c r="M1712" s="411" t="s">
        <v>165</v>
      </c>
      <c r="N1712" s="460"/>
      <c r="P1712" s="417"/>
    </row>
    <row r="1713" spans="1:16" s="416" customFormat="1" ht="14" outlineLevel="4">
      <c r="A1713" s="400"/>
      <c r="B1713" s="415" t="s">
        <v>304</v>
      </c>
      <c r="C1713" s="397" t="s">
        <v>24</v>
      </c>
      <c r="D1713" s="398"/>
      <c r="E1713" s="398"/>
      <c r="F1713" s="398"/>
      <c r="G1713" s="398">
        <f t="shared" si="446"/>
        <v>0</v>
      </c>
      <c r="H1713" s="398">
        <f t="shared" si="447"/>
        <v>0</v>
      </c>
      <c r="I1713" s="399"/>
      <c r="J1713" s="411" t="s">
        <v>21</v>
      </c>
      <c r="K1713" s="575" t="s">
        <v>259</v>
      </c>
      <c r="L1713" s="411"/>
      <c r="M1713" s="411" t="s">
        <v>165</v>
      </c>
      <c r="N1713" s="460"/>
      <c r="P1713" s="417"/>
    </row>
    <row r="1714" spans="1:16" s="416" customFormat="1" ht="14" outlineLevel="4">
      <c r="A1714" s="400"/>
      <c r="B1714" s="415" t="s">
        <v>305</v>
      </c>
      <c r="C1714" s="397" t="s">
        <v>24</v>
      </c>
      <c r="D1714" s="398"/>
      <c r="E1714" s="398"/>
      <c r="F1714" s="398"/>
      <c r="G1714" s="398">
        <f t="shared" si="446"/>
        <v>0</v>
      </c>
      <c r="H1714" s="398">
        <f t="shared" si="447"/>
        <v>0</v>
      </c>
      <c r="I1714" s="399"/>
      <c r="J1714" s="411" t="s">
        <v>21</v>
      </c>
      <c r="K1714" s="575" t="s">
        <v>259</v>
      </c>
      <c r="L1714" s="411"/>
      <c r="M1714" s="411" t="s">
        <v>165</v>
      </c>
      <c r="N1714" s="460"/>
      <c r="P1714" s="417"/>
    </row>
    <row r="1715" spans="1:16" s="416" customFormat="1" ht="14" outlineLevel="4">
      <c r="A1715" s="400"/>
      <c r="B1715" s="350" t="s">
        <v>101</v>
      </c>
      <c r="C1715" s="397"/>
      <c r="D1715" s="398"/>
      <c r="E1715" s="398"/>
      <c r="F1715" s="398"/>
      <c r="G1715" s="398">
        <f>F1715*D1715</f>
        <v>0</v>
      </c>
      <c r="H1715" s="398">
        <f>F1715*E1715</f>
        <v>0</v>
      </c>
      <c r="I1715" s="399"/>
      <c r="J1715" s="411"/>
      <c r="K1715" s="575"/>
      <c r="L1715" s="411"/>
      <c r="M1715" s="411" t="s">
        <v>165</v>
      </c>
      <c r="N1715" s="411"/>
      <c r="P1715" s="417"/>
    </row>
    <row r="1716" spans="1:16" s="416" customFormat="1" ht="14" outlineLevel="4">
      <c r="A1716" s="400"/>
      <c r="B1716" s="582" t="s">
        <v>102</v>
      </c>
      <c r="C1716" s="397" t="s">
        <v>11</v>
      </c>
      <c r="D1716" s="398"/>
      <c r="E1716" s="398"/>
      <c r="F1716" s="398"/>
      <c r="G1716" s="398">
        <f t="shared" ref="G1716:G1720" si="448">F1716*D1716</f>
        <v>0</v>
      </c>
      <c r="H1716" s="398">
        <f t="shared" ref="H1716:H1720" si="449">F1716*E1716</f>
        <v>0</v>
      </c>
      <c r="I1716" s="399"/>
      <c r="J1716" s="411" t="s">
        <v>21</v>
      </c>
      <c r="K1716" s="575" t="s">
        <v>259</v>
      </c>
      <c r="L1716" s="411"/>
      <c r="M1716" s="411" t="s">
        <v>165</v>
      </c>
      <c r="N1716" s="460"/>
      <c r="P1716" s="417"/>
    </row>
    <row r="1717" spans="1:16" s="416" customFormat="1" ht="14" outlineLevel="4">
      <c r="A1717" s="400"/>
      <c r="B1717" s="582" t="s">
        <v>103</v>
      </c>
      <c r="C1717" s="397" t="s">
        <v>11</v>
      </c>
      <c r="D1717" s="398"/>
      <c r="E1717" s="398"/>
      <c r="F1717" s="398"/>
      <c r="G1717" s="398">
        <f t="shared" si="448"/>
        <v>0</v>
      </c>
      <c r="H1717" s="398">
        <f t="shared" si="449"/>
        <v>0</v>
      </c>
      <c r="I1717" s="399"/>
      <c r="J1717" s="411" t="s">
        <v>21</v>
      </c>
      <c r="K1717" s="575" t="s">
        <v>259</v>
      </c>
      <c r="L1717" s="411"/>
      <c r="M1717" s="411" t="s">
        <v>165</v>
      </c>
      <c r="N1717" s="460"/>
      <c r="P1717" s="417"/>
    </row>
    <row r="1718" spans="1:16" s="416" customFormat="1" ht="14" outlineLevel="4">
      <c r="A1718" s="400"/>
      <c r="B1718" s="583" t="s">
        <v>50</v>
      </c>
      <c r="C1718" s="397"/>
      <c r="D1718" s="398"/>
      <c r="E1718" s="398"/>
      <c r="F1718" s="398"/>
      <c r="G1718" s="398">
        <f t="shared" si="448"/>
        <v>0</v>
      </c>
      <c r="H1718" s="398">
        <f t="shared" si="449"/>
        <v>0</v>
      </c>
      <c r="I1718" s="399"/>
      <c r="J1718" s="411"/>
      <c r="K1718" s="575"/>
      <c r="L1718" s="411"/>
      <c r="M1718" s="411" t="s">
        <v>165</v>
      </c>
      <c r="N1718" s="460"/>
      <c r="P1718" s="417"/>
    </row>
    <row r="1719" spans="1:16" s="416" customFormat="1" ht="14" outlineLevel="4">
      <c r="A1719" s="400"/>
      <c r="B1719" s="415" t="s">
        <v>894</v>
      </c>
      <c r="C1719" s="397" t="s">
        <v>50</v>
      </c>
      <c r="D1719" s="398"/>
      <c r="E1719" s="398"/>
      <c r="F1719" s="330"/>
      <c r="G1719" s="398">
        <f t="shared" si="448"/>
        <v>0</v>
      </c>
      <c r="H1719" s="398">
        <f t="shared" si="449"/>
        <v>0</v>
      </c>
      <c r="I1719" s="399"/>
      <c r="J1719" s="411" t="s">
        <v>21</v>
      </c>
      <c r="K1719" s="575" t="s">
        <v>259</v>
      </c>
      <c r="L1719" s="411"/>
      <c r="M1719" s="411" t="s">
        <v>165</v>
      </c>
      <c r="N1719" s="460"/>
      <c r="P1719" s="417"/>
    </row>
    <row r="1720" spans="1:16" s="416" customFormat="1" ht="14" outlineLevel="4">
      <c r="A1720" s="400"/>
      <c r="B1720" s="415" t="s">
        <v>52</v>
      </c>
      <c r="C1720" s="397" t="s">
        <v>50</v>
      </c>
      <c r="D1720" s="398"/>
      <c r="E1720" s="398"/>
      <c r="F1720" s="398"/>
      <c r="G1720" s="398">
        <f t="shared" si="448"/>
        <v>0</v>
      </c>
      <c r="H1720" s="398">
        <f t="shared" si="449"/>
        <v>0</v>
      </c>
      <c r="I1720" s="399"/>
      <c r="J1720" s="411" t="s">
        <v>21</v>
      </c>
      <c r="K1720" s="575" t="s">
        <v>259</v>
      </c>
      <c r="L1720" s="411"/>
      <c r="M1720" s="411" t="s">
        <v>165</v>
      </c>
      <c r="N1720" s="460"/>
      <c r="P1720" s="417"/>
    </row>
    <row r="1721" spans="1:16" s="413" customFormat="1" ht="14" outlineLevel="1">
      <c r="A1721" s="388" t="s">
        <v>1114</v>
      </c>
      <c r="B1721" s="350" t="s">
        <v>656</v>
      </c>
      <c r="C1721" s="390"/>
      <c r="D1721" s="391"/>
      <c r="E1721" s="391"/>
      <c r="F1721" s="391"/>
      <c r="G1721" s="391">
        <f>SUBTOTAL(9,G1722:G1828)</f>
        <v>0</v>
      </c>
      <c r="H1721" s="391">
        <f>SUBTOTAL(9,H1722:H1828)</f>
        <v>0</v>
      </c>
      <c r="I1721" s="391"/>
      <c r="J1721" s="410"/>
      <c r="K1721" s="411"/>
      <c r="L1721" s="411"/>
      <c r="M1721" s="412"/>
      <c r="N1721" s="412"/>
      <c r="P1721" s="414"/>
    </row>
    <row r="1722" spans="1:16" s="413" customFormat="1" ht="14" outlineLevel="3">
      <c r="A1722" s="388">
        <v>1</v>
      </c>
      <c r="B1722" s="389" t="s">
        <v>307</v>
      </c>
      <c r="C1722" s="549"/>
      <c r="D1722" s="479"/>
      <c r="E1722" s="479"/>
      <c r="F1722" s="479"/>
      <c r="G1722" s="479">
        <f>SUBTOTAL(9,G1723:G1750)</f>
        <v>0</v>
      </c>
      <c r="H1722" s="479">
        <f>SUBTOTAL(9,H1723:H1750)</f>
        <v>0</v>
      </c>
      <c r="I1722" s="392"/>
      <c r="J1722" s="411"/>
      <c r="K1722" s="411"/>
      <c r="L1722" s="411"/>
      <c r="M1722" s="412"/>
      <c r="N1722" s="412"/>
      <c r="P1722" s="414"/>
    </row>
    <row r="1723" spans="1:16" s="413" customFormat="1" ht="14" outlineLevel="3">
      <c r="A1723" s="388">
        <v>1.1000000000000001</v>
      </c>
      <c r="B1723" s="532" t="s">
        <v>1023</v>
      </c>
      <c r="C1723" s="549"/>
      <c r="D1723" s="479"/>
      <c r="E1723" s="479"/>
      <c r="F1723" s="479"/>
      <c r="G1723" s="479"/>
      <c r="H1723" s="479"/>
      <c r="I1723" s="561"/>
      <c r="J1723" s="411"/>
      <c r="K1723" s="411"/>
      <c r="L1723" s="411"/>
      <c r="M1723" s="412"/>
      <c r="N1723" s="412"/>
      <c r="P1723" s="414"/>
    </row>
    <row r="1724" spans="1:16" s="413" customFormat="1" ht="14" outlineLevel="3">
      <c r="A1724" s="388">
        <v>1.2</v>
      </c>
      <c r="B1724" s="532" t="s">
        <v>1033</v>
      </c>
      <c r="C1724" s="549"/>
      <c r="D1724" s="479"/>
      <c r="E1724" s="479"/>
      <c r="F1724" s="479"/>
      <c r="G1724" s="479">
        <f>SUBTOTAL(9,G1725:G1750)</f>
        <v>0</v>
      </c>
      <c r="H1724" s="479">
        <f>SUBTOTAL(9,H1725:H1750)</f>
        <v>0</v>
      </c>
      <c r="I1724" s="561"/>
      <c r="J1724" s="411"/>
      <c r="K1724" s="411"/>
      <c r="L1724" s="411"/>
      <c r="M1724" s="412"/>
      <c r="N1724" s="412"/>
      <c r="P1724" s="414"/>
    </row>
    <row r="1725" spans="1:16" s="416" customFormat="1" ht="14" outlineLevel="4">
      <c r="A1725" s="400" t="s">
        <v>8</v>
      </c>
      <c r="B1725" s="415" t="s">
        <v>1034</v>
      </c>
      <c r="C1725" s="397" t="s">
        <v>1063</v>
      </c>
      <c r="D1725" s="398"/>
      <c r="E1725" s="398"/>
      <c r="F1725" s="398"/>
      <c r="G1725" s="398">
        <f t="shared" ref="G1725:G1750" si="450">F1725*D1725</f>
        <v>0</v>
      </c>
      <c r="H1725" s="398">
        <f t="shared" ref="H1725:H1750" si="451">F1725*E1725</f>
        <v>0</v>
      </c>
      <c r="I1725" s="399"/>
      <c r="J1725" s="411" t="s">
        <v>21</v>
      </c>
      <c r="K1725" s="411" t="s">
        <v>145</v>
      </c>
      <c r="L1725" s="411" t="s">
        <v>112</v>
      </c>
      <c r="M1725" s="411" t="s">
        <v>32</v>
      </c>
      <c r="N1725" s="460"/>
      <c r="P1725" s="417"/>
    </row>
    <row r="1726" spans="1:16" s="416" customFormat="1" ht="14" outlineLevel="4">
      <c r="A1726" s="400" t="s">
        <v>8</v>
      </c>
      <c r="B1726" s="415" t="s">
        <v>1035</v>
      </c>
      <c r="C1726" s="397" t="s">
        <v>166</v>
      </c>
      <c r="D1726" s="398"/>
      <c r="E1726" s="398"/>
      <c r="F1726" s="398"/>
      <c r="G1726" s="398">
        <f t="shared" si="450"/>
        <v>0</v>
      </c>
      <c r="H1726" s="398">
        <f t="shared" si="451"/>
        <v>0</v>
      </c>
      <c r="I1726" s="399"/>
      <c r="J1726" s="411" t="s">
        <v>21</v>
      </c>
      <c r="K1726" s="411" t="s">
        <v>145</v>
      </c>
      <c r="L1726" s="411" t="s">
        <v>112</v>
      </c>
      <c r="M1726" s="411" t="s">
        <v>32</v>
      </c>
      <c r="N1726" s="460"/>
      <c r="P1726" s="417"/>
    </row>
    <row r="1727" spans="1:16" s="416" customFormat="1" ht="14" outlineLevel="4">
      <c r="A1727" s="400" t="s">
        <v>8</v>
      </c>
      <c r="B1727" s="415" t="s">
        <v>1036</v>
      </c>
      <c r="C1727" s="397" t="s">
        <v>166</v>
      </c>
      <c r="D1727" s="398"/>
      <c r="E1727" s="398"/>
      <c r="F1727" s="398"/>
      <c r="G1727" s="398">
        <f t="shared" si="450"/>
        <v>0</v>
      </c>
      <c r="H1727" s="398">
        <f t="shared" si="451"/>
        <v>0</v>
      </c>
      <c r="I1727" s="399"/>
      <c r="J1727" s="411" t="s">
        <v>21</v>
      </c>
      <c r="K1727" s="411" t="s">
        <v>145</v>
      </c>
      <c r="L1727" s="411" t="s">
        <v>112</v>
      </c>
      <c r="M1727" s="411" t="s">
        <v>32</v>
      </c>
      <c r="N1727" s="460"/>
      <c r="P1727" s="417"/>
    </row>
    <row r="1728" spans="1:16" s="416" customFormat="1" ht="14" outlineLevel="4">
      <c r="A1728" s="400" t="s">
        <v>8</v>
      </c>
      <c r="B1728" s="415" t="s">
        <v>1037</v>
      </c>
      <c r="C1728" s="397" t="s">
        <v>166</v>
      </c>
      <c r="D1728" s="398"/>
      <c r="E1728" s="398"/>
      <c r="F1728" s="398"/>
      <c r="G1728" s="398">
        <f t="shared" si="450"/>
        <v>0</v>
      </c>
      <c r="H1728" s="398">
        <f t="shared" si="451"/>
        <v>0</v>
      </c>
      <c r="I1728" s="399"/>
      <c r="J1728" s="411" t="s">
        <v>21</v>
      </c>
      <c r="K1728" s="411" t="s">
        <v>145</v>
      </c>
      <c r="L1728" s="411" t="s">
        <v>112</v>
      </c>
      <c r="M1728" s="411" t="s">
        <v>32</v>
      </c>
      <c r="N1728" s="460"/>
      <c r="P1728" s="417"/>
    </row>
    <row r="1729" spans="1:16" s="416" customFormat="1" ht="14" outlineLevel="4">
      <c r="A1729" s="400" t="s">
        <v>8</v>
      </c>
      <c r="B1729" s="415" t="s">
        <v>1038</v>
      </c>
      <c r="C1729" s="397" t="s">
        <v>166</v>
      </c>
      <c r="D1729" s="398"/>
      <c r="E1729" s="398"/>
      <c r="F1729" s="398"/>
      <c r="G1729" s="398">
        <f t="shared" si="450"/>
        <v>0</v>
      </c>
      <c r="H1729" s="398">
        <f t="shared" si="451"/>
        <v>0</v>
      </c>
      <c r="I1729" s="399"/>
      <c r="J1729" s="411" t="s">
        <v>21</v>
      </c>
      <c r="K1729" s="411" t="s">
        <v>145</v>
      </c>
      <c r="L1729" s="411" t="s">
        <v>112</v>
      </c>
      <c r="M1729" s="411" t="s">
        <v>32</v>
      </c>
      <c r="N1729" s="460"/>
      <c r="P1729" s="417"/>
    </row>
    <row r="1730" spans="1:16" s="416" customFormat="1" ht="14" outlineLevel="4">
      <c r="A1730" s="400" t="s">
        <v>8</v>
      </c>
      <c r="B1730" s="415" t="s">
        <v>1039</v>
      </c>
      <c r="C1730" s="397" t="s">
        <v>166</v>
      </c>
      <c r="D1730" s="398"/>
      <c r="E1730" s="398"/>
      <c r="F1730" s="398"/>
      <c r="G1730" s="398">
        <f t="shared" si="450"/>
        <v>0</v>
      </c>
      <c r="H1730" s="398">
        <f t="shared" si="451"/>
        <v>0</v>
      </c>
      <c r="I1730" s="399"/>
      <c r="J1730" s="411" t="s">
        <v>21</v>
      </c>
      <c r="K1730" s="411" t="s">
        <v>145</v>
      </c>
      <c r="L1730" s="411" t="s">
        <v>112</v>
      </c>
      <c r="M1730" s="411" t="s">
        <v>32</v>
      </c>
      <c r="N1730" s="460"/>
      <c r="P1730" s="417"/>
    </row>
    <row r="1731" spans="1:16" s="416" customFormat="1" ht="14" outlineLevel="4">
      <c r="A1731" s="400" t="s">
        <v>8</v>
      </c>
      <c r="B1731" s="415" t="s">
        <v>1040</v>
      </c>
      <c r="C1731" s="397" t="s">
        <v>166</v>
      </c>
      <c r="D1731" s="398"/>
      <c r="E1731" s="398"/>
      <c r="F1731" s="398"/>
      <c r="G1731" s="398">
        <f t="shared" si="450"/>
        <v>0</v>
      </c>
      <c r="H1731" s="398">
        <f t="shared" si="451"/>
        <v>0</v>
      </c>
      <c r="I1731" s="399"/>
      <c r="J1731" s="411" t="s">
        <v>21</v>
      </c>
      <c r="K1731" s="411" t="s">
        <v>145</v>
      </c>
      <c r="L1731" s="411" t="s">
        <v>112</v>
      </c>
      <c r="M1731" s="411" t="s">
        <v>32</v>
      </c>
      <c r="N1731" s="460"/>
      <c r="P1731" s="417"/>
    </row>
    <row r="1732" spans="1:16" s="416" customFormat="1" ht="14" outlineLevel="4">
      <c r="A1732" s="400" t="s">
        <v>8</v>
      </c>
      <c r="B1732" s="415" t="s">
        <v>1041</v>
      </c>
      <c r="C1732" s="397" t="s">
        <v>166</v>
      </c>
      <c r="D1732" s="398"/>
      <c r="E1732" s="398"/>
      <c r="F1732" s="398"/>
      <c r="G1732" s="398">
        <f t="shared" si="450"/>
        <v>0</v>
      </c>
      <c r="H1732" s="398">
        <f t="shared" si="451"/>
        <v>0</v>
      </c>
      <c r="I1732" s="399"/>
      <c r="J1732" s="411" t="s">
        <v>21</v>
      </c>
      <c r="K1732" s="411" t="s">
        <v>145</v>
      </c>
      <c r="L1732" s="411" t="s">
        <v>112</v>
      </c>
      <c r="M1732" s="411" t="s">
        <v>32</v>
      </c>
      <c r="N1732" s="460"/>
      <c r="P1732" s="417"/>
    </row>
    <row r="1733" spans="1:16" s="416" customFormat="1" ht="14" outlineLevel="4">
      <c r="A1733" s="400" t="s">
        <v>8</v>
      </c>
      <c r="B1733" s="415" t="s">
        <v>1042</v>
      </c>
      <c r="C1733" s="397" t="s">
        <v>166</v>
      </c>
      <c r="D1733" s="398"/>
      <c r="E1733" s="398"/>
      <c r="F1733" s="398"/>
      <c r="G1733" s="398">
        <f t="shared" si="450"/>
        <v>0</v>
      </c>
      <c r="H1733" s="398">
        <f t="shared" si="451"/>
        <v>0</v>
      </c>
      <c r="I1733" s="399"/>
      <c r="J1733" s="411" t="s">
        <v>21</v>
      </c>
      <c r="K1733" s="411" t="s">
        <v>145</v>
      </c>
      <c r="L1733" s="411" t="s">
        <v>112</v>
      </c>
      <c r="M1733" s="411" t="s">
        <v>32</v>
      </c>
      <c r="N1733" s="460"/>
      <c r="P1733" s="417"/>
    </row>
    <row r="1734" spans="1:16" s="416" customFormat="1" ht="14" outlineLevel="4">
      <c r="A1734" s="400" t="s">
        <v>8</v>
      </c>
      <c r="B1734" s="415" t="s">
        <v>1032</v>
      </c>
      <c r="C1734" s="397" t="s">
        <v>1064</v>
      </c>
      <c r="D1734" s="398"/>
      <c r="E1734" s="398"/>
      <c r="F1734" s="398"/>
      <c r="G1734" s="398">
        <f t="shared" si="450"/>
        <v>0</v>
      </c>
      <c r="H1734" s="398">
        <f t="shared" si="451"/>
        <v>0</v>
      </c>
      <c r="I1734" s="399"/>
      <c r="J1734" s="411" t="s">
        <v>21</v>
      </c>
      <c r="K1734" s="411" t="s">
        <v>145</v>
      </c>
      <c r="L1734" s="411" t="s">
        <v>112</v>
      </c>
      <c r="M1734" s="411" t="s">
        <v>32</v>
      </c>
      <c r="N1734" s="460"/>
      <c r="P1734" s="417"/>
    </row>
    <row r="1735" spans="1:16" s="416" customFormat="1" ht="14" outlineLevel="4">
      <c r="A1735" s="400" t="s">
        <v>8</v>
      </c>
      <c r="B1735" s="415" t="s">
        <v>1104</v>
      </c>
      <c r="C1735" s="397" t="s">
        <v>1063</v>
      </c>
      <c r="D1735" s="398"/>
      <c r="E1735" s="398"/>
      <c r="F1735" s="398"/>
      <c r="G1735" s="398">
        <f t="shared" si="450"/>
        <v>0</v>
      </c>
      <c r="H1735" s="398">
        <f t="shared" si="451"/>
        <v>0</v>
      </c>
      <c r="I1735" s="399"/>
      <c r="J1735" s="411" t="s">
        <v>21</v>
      </c>
      <c r="K1735" s="411" t="s">
        <v>145</v>
      </c>
      <c r="L1735" s="411" t="s">
        <v>112</v>
      </c>
      <c r="M1735" s="411" t="s">
        <v>32</v>
      </c>
      <c r="N1735" s="460"/>
      <c r="P1735" s="417"/>
    </row>
    <row r="1736" spans="1:16" s="416" customFormat="1" ht="14" outlineLevel="4">
      <c r="A1736" s="400" t="s">
        <v>8</v>
      </c>
      <c r="B1736" s="415" t="s">
        <v>1105</v>
      </c>
      <c r="C1736" s="397" t="s">
        <v>166</v>
      </c>
      <c r="D1736" s="398"/>
      <c r="E1736" s="398"/>
      <c r="F1736" s="398"/>
      <c r="G1736" s="398">
        <f t="shared" si="450"/>
        <v>0</v>
      </c>
      <c r="H1736" s="398">
        <f t="shared" si="451"/>
        <v>0</v>
      </c>
      <c r="I1736" s="399"/>
      <c r="J1736" s="411" t="s">
        <v>21</v>
      </c>
      <c r="K1736" s="411" t="s">
        <v>145</v>
      </c>
      <c r="L1736" s="411" t="s">
        <v>112</v>
      </c>
      <c r="M1736" s="411" t="s">
        <v>32</v>
      </c>
      <c r="N1736" s="460"/>
      <c r="P1736" s="417"/>
    </row>
    <row r="1737" spans="1:16" s="416" customFormat="1" ht="14" outlineLevel="4">
      <c r="A1737" s="400" t="s">
        <v>8</v>
      </c>
      <c r="B1737" s="415" t="s">
        <v>1106</v>
      </c>
      <c r="C1737" s="397" t="s">
        <v>166</v>
      </c>
      <c r="D1737" s="398"/>
      <c r="E1737" s="398"/>
      <c r="F1737" s="398"/>
      <c r="G1737" s="398">
        <f t="shared" si="450"/>
        <v>0</v>
      </c>
      <c r="H1737" s="398">
        <f t="shared" si="451"/>
        <v>0</v>
      </c>
      <c r="I1737" s="399"/>
      <c r="J1737" s="411" t="s">
        <v>21</v>
      </c>
      <c r="K1737" s="411" t="s">
        <v>145</v>
      </c>
      <c r="L1737" s="411" t="s">
        <v>112</v>
      </c>
      <c r="M1737" s="411" t="s">
        <v>32</v>
      </c>
      <c r="N1737" s="460"/>
      <c r="P1737" s="417"/>
    </row>
    <row r="1738" spans="1:16" s="416" customFormat="1" ht="14" outlineLevel="4">
      <c r="A1738" s="400" t="s">
        <v>8</v>
      </c>
      <c r="B1738" s="415" t="s">
        <v>1107</v>
      </c>
      <c r="C1738" s="397" t="s">
        <v>166</v>
      </c>
      <c r="D1738" s="398"/>
      <c r="E1738" s="398"/>
      <c r="F1738" s="398"/>
      <c r="G1738" s="398">
        <f t="shared" si="450"/>
        <v>0</v>
      </c>
      <c r="H1738" s="398">
        <f t="shared" si="451"/>
        <v>0</v>
      </c>
      <c r="I1738" s="399"/>
      <c r="J1738" s="411" t="s">
        <v>21</v>
      </c>
      <c r="K1738" s="411" t="s">
        <v>145</v>
      </c>
      <c r="L1738" s="411" t="s">
        <v>112</v>
      </c>
      <c r="M1738" s="411" t="s">
        <v>32</v>
      </c>
      <c r="N1738" s="460"/>
      <c r="P1738" s="417"/>
    </row>
    <row r="1739" spans="1:16" s="416" customFormat="1" ht="14" outlineLevel="4">
      <c r="A1739" s="400" t="s">
        <v>8</v>
      </c>
      <c r="B1739" s="415" t="s">
        <v>1108</v>
      </c>
      <c r="C1739" s="397" t="s">
        <v>166</v>
      </c>
      <c r="D1739" s="398"/>
      <c r="E1739" s="398"/>
      <c r="F1739" s="398"/>
      <c r="G1739" s="398">
        <f t="shared" si="450"/>
        <v>0</v>
      </c>
      <c r="H1739" s="398">
        <f t="shared" si="451"/>
        <v>0</v>
      </c>
      <c r="I1739" s="399"/>
      <c r="J1739" s="411" t="s">
        <v>21</v>
      </c>
      <c r="K1739" s="411" t="s">
        <v>145</v>
      </c>
      <c r="L1739" s="411" t="s">
        <v>112</v>
      </c>
      <c r="M1739" s="411" t="s">
        <v>32</v>
      </c>
      <c r="N1739" s="460"/>
      <c r="P1739" s="417"/>
    </row>
    <row r="1740" spans="1:16" s="416" customFormat="1" ht="14" outlineLevel="4">
      <c r="A1740" s="400" t="s">
        <v>8</v>
      </c>
      <c r="B1740" s="415" t="s">
        <v>1109</v>
      </c>
      <c r="C1740" s="397" t="s">
        <v>166</v>
      </c>
      <c r="D1740" s="398"/>
      <c r="E1740" s="398"/>
      <c r="F1740" s="398"/>
      <c r="G1740" s="398">
        <f t="shared" si="450"/>
        <v>0</v>
      </c>
      <c r="H1740" s="398">
        <f t="shared" si="451"/>
        <v>0</v>
      </c>
      <c r="I1740" s="399"/>
      <c r="J1740" s="411" t="s">
        <v>21</v>
      </c>
      <c r="K1740" s="411" t="s">
        <v>145</v>
      </c>
      <c r="L1740" s="411" t="s">
        <v>112</v>
      </c>
      <c r="M1740" s="411" t="s">
        <v>32</v>
      </c>
      <c r="N1740" s="460"/>
      <c r="P1740" s="417"/>
    </row>
    <row r="1741" spans="1:16" s="416" customFormat="1" ht="14" outlineLevel="4">
      <c r="A1741" s="400" t="s">
        <v>8</v>
      </c>
      <c r="B1741" s="415" t="s">
        <v>1110</v>
      </c>
      <c r="C1741" s="397" t="s">
        <v>166</v>
      </c>
      <c r="D1741" s="398"/>
      <c r="E1741" s="398"/>
      <c r="F1741" s="398"/>
      <c r="G1741" s="398">
        <f t="shared" si="450"/>
        <v>0</v>
      </c>
      <c r="H1741" s="398">
        <f t="shared" si="451"/>
        <v>0</v>
      </c>
      <c r="I1741" s="399"/>
      <c r="J1741" s="411" t="s">
        <v>21</v>
      </c>
      <c r="K1741" s="411" t="s">
        <v>145</v>
      </c>
      <c r="L1741" s="411" t="s">
        <v>112</v>
      </c>
      <c r="M1741" s="411" t="s">
        <v>32</v>
      </c>
      <c r="N1741" s="460"/>
      <c r="P1741" s="417"/>
    </row>
    <row r="1742" spans="1:16" s="416" customFormat="1" ht="14" outlineLevel="4">
      <c r="A1742" s="400" t="s">
        <v>8</v>
      </c>
      <c r="B1742" s="415" t="s">
        <v>1035</v>
      </c>
      <c r="C1742" s="397" t="s">
        <v>166</v>
      </c>
      <c r="D1742" s="398"/>
      <c r="E1742" s="398"/>
      <c r="F1742" s="398"/>
      <c r="G1742" s="398">
        <f t="shared" si="450"/>
        <v>0</v>
      </c>
      <c r="H1742" s="398">
        <f t="shared" si="451"/>
        <v>0</v>
      </c>
      <c r="I1742" s="399"/>
      <c r="J1742" s="411" t="s">
        <v>21</v>
      </c>
      <c r="K1742" s="411" t="s">
        <v>145</v>
      </c>
      <c r="L1742" s="411" t="s">
        <v>112</v>
      </c>
      <c r="M1742" s="411" t="s">
        <v>32</v>
      </c>
      <c r="N1742" s="460"/>
      <c r="P1742" s="417"/>
    </row>
    <row r="1743" spans="1:16" s="416" customFormat="1" ht="14" outlineLevel="4">
      <c r="A1743" s="400" t="s">
        <v>8</v>
      </c>
      <c r="B1743" s="415" t="s">
        <v>1111</v>
      </c>
      <c r="C1743" s="397" t="s">
        <v>166</v>
      </c>
      <c r="D1743" s="398"/>
      <c r="E1743" s="398"/>
      <c r="F1743" s="398"/>
      <c r="G1743" s="398">
        <f t="shared" si="450"/>
        <v>0</v>
      </c>
      <c r="H1743" s="398">
        <f t="shared" si="451"/>
        <v>0</v>
      </c>
      <c r="I1743" s="399"/>
      <c r="J1743" s="411" t="s">
        <v>21</v>
      </c>
      <c r="K1743" s="411" t="s">
        <v>145</v>
      </c>
      <c r="L1743" s="411" t="s">
        <v>112</v>
      </c>
      <c r="M1743" s="411" t="s">
        <v>32</v>
      </c>
      <c r="N1743" s="460"/>
      <c r="P1743" s="417"/>
    </row>
    <row r="1744" spans="1:16" s="416" customFormat="1" ht="14" outlineLevel="4">
      <c r="A1744" s="400" t="s">
        <v>8</v>
      </c>
      <c r="B1744" s="415" t="s">
        <v>1038</v>
      </c>
      <c r="C1744" s="397" t="s">
        <v>166</v>
      </c>
      <c r="D1744" s="398"/>
      <c r="E1744" s="398"/>
      <c r="F1744" s="398"/>
      <c r="G1744" s="398">
        <f t="shared" si="450"/>
        <v>0</v>
      </c>
      <c r="H1744" s="398">
        <f t="shared" si="451"/>
        <v>0</v>
      </c>
      <c r="I1744" s="399"/>
      <c r="J1744" s="411" t="s">
        <v>21</v>
      </c>
      <c r="K1744" s="411" t="s">
        <v>145</v>
      </c>
      <c r="L1744" s="411" t="s">
        <v>112</v>
      </c>
      <c r="M1744" s="411" t="s">
        <v>32</v>
      </c>
      <c r="N1744" s="460"/>
      <c r="P1744" s="417"/>
    </row>
    <row r="1745" spans="1:16" s="416" customFormat="1" ht="14" outlineLevel="4">
      <c r="A1745" s="400" t="s">
        <v>8</v>
      </c>
      <c r="B1745" s="415" t="s">
        <v>1039</v>
      </c>
      <c r="C1745" s="397" t="s">
        <v>166</v>
      </c>
      <c r="D1745" s="398"/>
      <c r="E1745" s="398"/>
      <c r="F1745" s="398"/>
      <c r="G1745" s="398">
        <f t="shared" si="450"/>
        <v>0</v>
      </c>
      <c r="H1745" s="398">
        <f t="shared" si="451"/>
        <v>0</v>
      </c>
      <c r="I1745" s="399"/>
      <c r="J1745" s="411" t="s">
        <v>21</v>
      </c>
      <c r="K1745" s="411" t="s">
        <v>145</v>
      </c>
      <c r="L1745" s="411" t="s">
        <v>112</v>
      </c>
      <c r="M1745" s="411" t="s">
        <v>32</v>
      </c>
      <c r="N1745" s="460"/>
      <c r="P1745" s="417"/>
    </row>
    <row r="1746" spans="1:16" s="416" customFormat="1" ht="14" outlineLevel="4">
      <c r="A1746" s="400" t="s">
        <v>8</v>
      </c>
      <c r="B1746" s="415" t="s">
        <v>1040</v>
      </c>
      <c r="C1746" s="397" t="s">
        <v>166</v>
      </c>
      <c r="D1746" s="398"/>
      <c r="E1746" s="398"/>
      <c r="F1746" s="398"/>
      <c r="G1746" s="398">
        <f t="shared" si="450"/>
        <v>0</v>
      </c>
      <c r="H1746" s="398">
        <f t="shared" si="451"/>
        <v>0</v>
      </c>
      <c r="I1746" s="399"/>
      <c r="J1746" s="411" t="s">
        <v>21</v>
      </c>
      <c r="K1746" s="411" t="s">
        <v>145</v>
      </c>
      <c r="L1746" s="411" t="s">
        <v>112</v>
      </c>
      <c r="M1746" s="411" t="s">
        <v>32</v>
      </c>
      <c r="N1746" s="460"/>
      <c r="P1746" s="417"/>
    </row>
    <row r="1747" spans="1:16" s="416" customFormat="1" ht="14" outlineLevel="4">
      <c r="A1747" s="400" t="s">
        <v>8</v>
      </c>
      <c r="B1747" s="415" t="s">
        <v>1041</v>
      </c>
      <c r="C1747" s="397" t="s">
        <v>166</v>
      </c>
      <c r="D1747" s="398"/>
      <c r="E1747" s="398"/>
      <c r="F1747" s="398"/>
      <c r="G1747" s="398">
        <f t="shared" si="450"/>
        <v>0</v>
      </c>
      <c r="H1747" s="398">
        <f t="shared" si="451"/>
        <v>0</v>
      </c>
      <c r="I1747" s="399"/>
      <c r="J1747" s="411" t="s">
        <v>21</v>
      </c>
      <c r="K1747" s="411" t="s">
        <v>145</v>
      </c>
      <c r="L1747" s="411" t="s">
        <v>112</v>
      </c>
      <c r="M1747" s="411" t="s">
        <v>32</v>
      </c>
      <c r="N1747" s="460"/>
      <c r="P1747" s="417"/>
    </row>
    <row r="1748" spans="1:16" s="416" customFormat="1" ht="14" outlineLevel="4">
      <c r="A1748" s="400" t="s">
        <v>8</v>
      </c>
      <c r="B1748" s="415" t="s">
        <v>1042</v>
      </c>
      <c r="C1748" s="397" t="s">
        <v>166</v>
      </c>
      <c r="D1748" s="398"/>
      <c r="E1748" s="398"/>
      <c r="F1748" s="398"/>
      <c r="G1748" s="398">
        <f t="shared" si="450"/>
        <v>0</v>
      </c>
      <c r="H1748" s="398">
        <f t="shared" si="451"/>
        <v>0</v>
      </c>
      <c r="I1748" s="399"/>
      <c r="J1748" s="411" t="s">
        <v>21</v>
      </c>
      <c r="K1748" s="411" t="s">
        <v>145</v>
      </c>
      <c r="L1748" s="411" t="s">
        <v>112</v>
      </c>
      <c r="M1748" s="411" t="s">
        <v>32</v>
      </c>
      <c r="N1748" s="460"/>
      <c r="P1748" s="417"/>
    </row>
    <row r="1749" spans="1:16" s="416" customFormat="1" ht="14" outlineLevel="4">
      <c r="A1749" s="400" t="s">
        <v>8</v>
      </c>
      <c r="B1749" s="415" t="s">
        <v>1112</v>
      </c>
      <c r="C1749" s="397" t="s">
        <v>1113</v>
      </c>
      <c r="D1749" s="398"/>
      <c r="E1749" s="398"/>
      <c r="F1749" s="398"/>
      <c r="G1749" s="398">
        <f t="shared" si="450"/>
        <v>0</v>
      </c>
      <c r="H1749" s="398">
        <f t="shared" si="451"/>
        <v>0</v>
      </c>
      <c r="I1749" s="399"/>
      <c r="J1749" s="411" t="s">
        <v>21</v>
      </c>
      <c r="K1749" s="411" t="s">
        <v>145</v>
      </c>
      <c r="L1749" s="411" t="s">
        <v>112</v>
      </c>
      <c r="M1749" s="411" t="s">
        <v>32</v>
      </c>
      <c r="N1749" s="460"/>
      <c r="P1749" s="417"/>
    </row>
    <row r="1750" spans="1:16" s="416" customFormat="1" ht="14" outlineLevel="4">
      <c r="A1750" s="400" t="s">
        <v>8</v>
      </c>
      <c r="B1750" s="415" t="s">
        <v>1032</v>
      </c>
      <c r="C1750" s="397" t="s">
        <v>1064</v>
      </c>
      <c r="D1750" s="398"/>
      <c r="E1750" s="398"/>
      <c r="F1750" s="398"/>
      <c r="G1750" s="398">
        <f t="shared" si="450"/>
        <v>0</v>
      </c>
      <c r="H1750" s="398">
        <f t="shared" si="451"/>
        <v>0</v>
      </c>
      <c r="I1750" s="399"/>
      <c r="J1750" s="411" t="s">
        <v>21</v>
      </c>
      <c r="K1750" s="411" t="s">
        <v>145</v>
      </c>
      <c r="L1750" s="411" t="s">
        <v>112</v>
      </c>
      <c r="M1750" s="411" t="s">
        <v>32</v>
      </c>
      <c r="N1750" s="460"/>
      <c r="P1750" s="417"/>
    </row>
    <row r="1751" spans="1:16" s="413" customFormat="1" ht="15" customHeight="1" outlineLevel="2">
      <c r="A1751" s="388">
        <v>2</v>
      </c>
      <c r="B1751" s="389" t="s">
        <v>308</v>
      </c>
      <c r="C1751" s="390"/>
      <c r="D1751" s="391"/>
      <c r="E1751" s="391"/>
      <c r="F1751" s="391"/>
      <c r="G1751" s="391">
        <f>SUBTOTAL(9,G1752:G1762)</f>
        <v>0</v>
      </c>
      <c r="H1751" s="391">
        <f>SUBTOTAL(9,H1752:H1762)</f>
        <v>0</v>
      </c>
      <c r="I1751" s="391"/>
      <c r="J1751" s="410"/>
      <c r="K1751" s="411"/>
      <c r="L1751" s="411"/>
      <c r="M1751" s="412"/>
      <c r="N1751" s="412"/>
      <c r="P1751" s="414"/>
    </row>
    <row r="1752" spans="1:16" s="413" customFormat="1" ht="14" outlineLevel="5">
      <c r="A1752" s="388">
        <v>2.2000000000000002</v>
      </c>
      <c r="B1752" s="408" t="s">
        <v>310</v>
      </c>
      <c r="C1752" s="390"/>
      <c r="D1752" s="391"/>
      <c r="E1752" s="391"/>
      <c r="F1752" s="391"/>
      <c r="G1752" s="391">
        <f>SUBTOTAL(9,G1753:G1762)</f>
        <v>0</v>
      </c>
      <c r="H1752" s="391">
        <f>SUBTOTAL(9,H1753:H1762)</f>
        <v>0</v>
      </c>
      <c r="I1752" s="391"/>
      <c r="J1752" s="411"/>
      <c r="K1752" s="411"/>
      <c r="L1752" s="411"/>
      <c r="M1752" s="412"/>
      <c r="N1752" s="412"/>
      <c r="P1752" s="414"/>
    </row>
    <row r="1753" spans="1:16" s="416" customFormat="1" ht="14" outlineLevel="5">
      <c r="A1753" s="400" t="s">
        <v>8</v>
      </c>
      <c r="B1753" s="563" t="s">
        <v>1050</v>
      </c>
      <c r="C1753" s="397" t="s">
        <v>24</v>
      </c>
      <c r="D1753" s="398"/>
      <c r="E1753" s="398"/>
      <c r="F1753" s="398"/>
      <c r="G1753" s="398">
        <f t="shared" ref="G1753:G1762" si="452">F1753*D1753</f>
        <v>0</v>
      </c>
      <c r="H1753" s="398">
        <f t="shared" ref="H1753:H1762" si="453">F1753*E1753</f>
        <v>0</v>
      </c>
      <c r="I1753" s="399"/>
      <c r="J1753" s="411" t="s">
        <v>21</v>
      </c>
      <c r="K1753" s="411" t="s">
        <v>145</v>
      </c>
      <c r="L1753" s="411" t="s">
        <v>112</v>
      </c>
      <c r="M1753" s="411" t="s">
        <v>32</v>
      </c>
      <c r="N1753" s="460"/>
      <c r="P1753" s="417"/>
    </row>
    <row r="1754" spans="1:16" s="416" customFormat="1" ht="14" outlineLevel="5">
      <c r="A1754" s="400" t="s">
        <v>8</v>
      </c>
      <c r="B1754" s="563" t="s">
        <v>1051</v>
      </c>
      <c r="C1754" s="397" t="s">
        <v>15</v>
      </c>
      <c r="D1754" s="398"/>
      <c r="E1754" s="398"/>
      <c r="F1754" s="398"/>
      <c r="G1754" s="398">
        <f t="shared" si="452"/>
        <v>0</v>
      </c>
      <c r="H1754" s="398">
        <f t="shared" si="453"/>
        <v>0</v>
      </c>
      <c r="I1754" s="399"/>
      <c r="J1754" s="411" t="s">
        <v>21</v>
      </c>
      <c r="K1754" s="411" t="s">
        <v>145</v>
      </c>
      <c r="L1754" s="411" t="s">
        <v>112</v>
      </c>
      <c r="M1754" s="411" t="s">
        <v>32</v>
      </c>
      <c r="N1754" s="460"/>
      <c r="P1754" s="417"/>
    </row>
    <row r="1755" spans="1:16" s="416" customFormat="1" ht="14" outlineLevel="5">
      <c r="A1755" s="400" t="s">
        <v>8</v>
      </c>
      <c r="B1755" s="563" t="s">
        <v>1052</v>
      </c>
      <c r="C1755" s="397" t="s">
        <v>15</v>
      </c>
      <c r="D1755" s="398"/>
      <c r="E1755" s="398"/>
      <c r="F1755" s="398"/>
      <c r="G1755" s="398">
        <f t="shared" si="452"/>
        <v>0</v>
      </c>
      <c r="H1755" s="398">
        <f t="shared" si="453"/>
        <v>0</v>
      </c>
      <c r="I1755" s="399"/>
      <c r="J1755" s="411" t="s">
        <v>21</v>
      </c>
      <c r="K1755" s="411" t="s">
        <v>145</v>
      </c>
      <c r="L1755" s="411" t="s">
        <v>112</v>
      </c>
      <c r="M1755" s="411" t="s">
        <v>32</v>
      </c>
      <c r="N1755" s="460"/>
      <c r="P1755" s="417"/>
    </row>
    <row r="1756" spans="1:16" s="416" customFormat="1" ht="14" outlineLevel="5">
      <c r="A1756" s="400" t="s">
        <v>8</v>
      </c>
      <c r="B1756" s="563" t="s">
        <v>1040</v>
      </c>
      <c r="C1756" s="397" t="s">
        <v>15</v>
      </c>
      <c r="D1756" s="398"/>
      <c r="E1756" s="398"/>
      <c r="F1756" s="398"/>
      <c r="G1756" s="398">
        <f t="shared" si="452"/>
        <v>0</v>
      </c>
      <c r="H1756" s="398">
        <f t="shared" si="453"/>
        <v>0</v>
      </c>
      <c r="I1756" s="399"/>
      <c r="J1756" s="411" t="s">
        <v>21</v>
      </c>
      <c r="K1756" s="411" t="s">
        <v>145</v>
      </c>
      <c r="L1756" s="411" t="s">
        <v>112</v>
      </c>
      <c r="M1756" s="411" t="s">
        <v>32</v>
      </c>
      <c r="N1756" s="460"/>
      <c r="P1756" s="417"/>
    </row>
    <row r="1757" spans="1:16" s="416" customFormat="1" ht="14" outlineLevel="5">
      <c r="A1757" s="400" t="s">
        <v>8</v>
      </c>
      <c r="B1757" s="563" t="s">
        <v>1041</v>
      </c>
      <c r="C1757" s="397" t="s">
        <v>24</v>
      </c>
      <c r="D1757" s="398"/>
      <c r="E1757" s="398"/>
      <c r="F1757" s="398"/>
      <c r="G1757" s="398">
        <f t="shared" si="452"/>
        <v>0</v>
      </c>
      <c r="H1757" s="398">
        <f t="shared" si="453"/>
        <v>0</v>
      </c>
      <c r="I1757" s="399"/>
      <c r="J1757" s="411" t="s">
        <v>21</v>
      </c>
      <c r="K1757" s="411" t="s">
        <v>145</v>
      </c>
      <c r="L1757" s="411" t="s">
        <v>112</v>
      </c>
      <c r="M1757" s="411" t="s">
        <v>32</v>
      </c>
      <c r="N1757" s="460"/>
      <c r="P1757" s="417"/>
    </row>
    <row r="1758" spans="1:16" s="416" customFormat="1" ht="14" outlineLevel="5">
      <c r="A1758" s="400" t="s">
        <v>8</v>
      </c>
      <c r="B1758" s="563" t="s">
        <v>1042</v>
      </c>
      <c r="C1758" s="397" t="s">
        <v>15</v>
      </c>
      <c r="D1758" s="398"/>
      <c r="E1758" s="398"/>
      <c r="F1758" s="398"/>
      <c r="G1758" s="398">
        <f t="shared" si="452"/>
        <v>0</v>
      </c>
      <c r="H1758" s="398">
        <f t="shared" si="453"/>
        <v>0</v>
      </c>
      <c r="I1758" s="399"/>
      <c r="J1758" s="411" t="s">
        <v>21</v>
      </c>
      <c r="K1758" s="411" t="s">
        <v>145</v>
      </c>
      <c r="L1758" s="411" t="s">
        <v>112</v>
      </c>
      <c r="M1758" s="411" t="s">
        <v>32</v>
      </c>
      <c r="N1758" s="460"/>
      <c r="P1758" s="417"/>
    </row>
    <row r="1759" spans="1:16" s="416" customFormat="1" ht="14" outlineLevel="5">
      <c r="A1759" s="400" t="s">
        <v>8</v>
      </c>
      <c r="B1759" s="563" t="s">
        <v>1053</v>
      </c>
      <c r="C1759" s="397" t="s">
        <v>15</v>
      </c>
      <c r="D1759" s="398"/>
      <c r="E1759" s="398"/>
      <c r="F1759" s="398"/>
      <c r="G1759" s="398">
        <f t="shared" si="452"/>
        <v>0</v>
      </c>
      <c r="H1759" s="398">
        <f t="shared" si="453"/>
        <v>0</v>
      </c>
      <c r="I1759" s="399"/>
      <c r="J1759" s="411" t="s">
        <v>21</v>
      </c>
      <c r="K1759" s="411" t="s">
        <v>145</v>
      </c>
      <c r="L1759" s="411" t="s">
        <v>112</v>
      </c>
      <c r="M1759" s="411" t="s">
        <v>32</v>
      </c>
      <c r="N1759" s="460"/>
      <c r="P1759" s="417"/>
    </row>
    <row r="1760" spans="1:16" s="416" customFormat="1" ht="14" outlineLevel="5">
      <c r="A1760" s="400" t="s">
        <v>8</v>
      </c>
      <c r="B1760" s="563" t="s">
        <v>1054</v>
      </c>
      <c r="C1760" s="397" t="s">
        <v>15</v>
      </c>
      <c r="D1760" s="398"/>
      <c r="E1760" s="398"/>
      <c r="F1760" s="398"/>
      <c r="G1760" s="398">
        <f t="shared" si="452"/>
        <v>0</v>
      </c>
      <c r="H1760" s="398">
        <f t="shared" si="453"/>
        <v>0</v>
      </c>
      <c r="I1760" s="399"/>
      <c r="J1760" s="411" t="s">
        <v>21</v>
      </c>
      <c r="K1760" s="411" t="s">
        <v>145</v>
      </c>
      <c r="L1760" s="411" t="s">
        <v>112</v>
      </c>
      <c r="M1760" s="411" t="s">
        <v>32</v>
      </c>
      <c r="N1760" s="460"/>
      <c r="P1760" s="417"/>
    </row>
    <row r="1761" spans="1:16" s="416" customFormat="1" ht="14" outlineLevel="5">
      <c r="A1761" s="400" t="s">
        <v>8</v>
      </c>
      <c r="B1761" s="563" t="s">
        <v>1055</v>
      </c>
      <c r="C1761" s="397" t="s">
        <v>24</v>
      </c>
      <c r="D1761" s="398"/>
      <c r="E1761" s="398"/>
      <c r="F1761" s="398"/>
      <c r="G1761" s="398">
        <f t="shared" si="452"/>
        <v>0</v>
      </c>
      <c r="H1761" s="398">
        <f t="shared" si="453"/>
        <v>0</v>
      </c>
      <c r="I1761" s="399"/>
      <c r="J1761" s="411" t="s">
        <v>21</v>
      </c>
      <c r="K1761" s="411" t="s">
        <v>145</v>
      </c>
      <c r="L1761" s="411" t="s">
        <v>112</v>
      </c>
      <c r="M1761" s="411" t="s">
        <v>32</v>
      </c>
      <c r="N1761" s="460"/>
      <c r="P1761" s="417"/>
    </row>
    <row r="1762" spans="1:16" s="416" customFormat="1" ht="14" outlineLevel="5">
      <c r="A1762" s="400" t="s">
        <v>8</v>
      </c>
      <c r="B1762" s="563" t="s">
        <v>1032</v>
      </c>
      <c r="C1762" s="397" t="s">
        <v>15</v>
      </c>
      <c r="D1762" s="398"/>
      <c r="E1762" s="398"/>
      <c r="F1762" s="398"/>
      <c r="G1762" s="398">
        <f t="shared" si="452"/>
        <v>0</v>
      </c>
      <c r="H1762" s="398">
        <f t="shared" si="453"/>
        <v>0</v>
      </c>
      <c r="I1762" s="399"/>
      <c r="J1762" s="411" t="s">
        <v>21</v>
      </c>
      <c r="K1762" s="411" t="s">
        <v>145</v>
      </c>
      <c r="L1762" s="411" t="s">
        <v>112</v>
      </c>
      <c r="M1762" s="411" t="s">
        <v>32</v>
      </c>
      <c r="N1762" s="460"/>
      <c r="P1762" s="417"/>
    </row>
    <row r="1763" spans="1:16" s="413" customFormat="1" ht="15" customHeight="1" outlineLevel="3">
      <c r="A1763" s="388">
        <v>3</v>
      </c>
      <c r="B1763" s="389" t="s">
        <v>311</v>
      </c>
      <c r="C1763" s="390"/>
      <c r="D1763" s="391"/>
      <c r="E1763" s="391"/>
      <c r="F1763" s="391"/>
      <c r="G1763" s="391"/>
      <c r="H1763" s="391"/>
      <c r="I1763" s="391"/>
      <c r="J1763" s="410"/>
      <c r="K1763" s="411"/>
      <c r="L1763" s="411"/>
      <c r="M1763" s="412"/>
      <c r="N1763" s="412"/>
      <c r="P1763" s="414"/>
    </row>
    <row r="1764" spans="1:16" s="413" customFormat="1" ht="15" customHeight="1" outlineLevel="3">
      <c r="A1764" s="388">
        <v>4</v>
      </c>
      <c r="B1764" s="389" t="s">
        <v>313</v>
      </c>
      <c r="C1764" s="390"/>
      <c r="D1764" s="391"/>
      <c r="E1764" s="391"/>
      <c r="F1764" s="391"/>
      <c r="G1764" s="391">
        <f>SUBTOTAL(9,G1765:G1825)</f>
        <v>0</v>
      </c>
      <c r="H1764" s="391">
        <f>SUBTOTAL(9,H1765:H1825)</f>
        <v>0</v>
      </c>
      <c r="I1764" s="391"/>
      <c r="J1764" s="410"/>
      <c r="K1764" s="411"/>
      <c r="L1764" s="411"/>
      <c r="M1764" s="412"/>
      <c r="N1764" s="412"/>
      <c r="P1764" s="414"/>
    </row>
    <row r="1765" spans="1:16" s="413" customFormat="1" ht="13" customHeight="1" outlineLevel="4">
      <c r="A1765" s="388">
        <v>4.2</v>
      </c>
      <c r="B1765" s="532" t="s">
        <v>1065</v>
      </c>
      <c r="C1765" s="390"/>
      <c r="D1765" s="391"/>
      <c r="E1765" s="391"/>
      <c r="F1765" s="391"/>
      <c r="G1765" s="391">
        <f>SUBTOTAL(9,G1766:G1773)</f>
        <v>0</v>
      </c>
      <c r="H1765" s="391">
        <f>SUBTOTAL(9,H1766:H1773)</f>
        <v>0</v>
      </c>
      <c r="I1765" s="391"/>
      <c r="J1765" s="410"/>
      <c r="K1765" s="411"/>
      <c r="L1765" s="411"/>
      <c r="M1765" s="412"/>
      <c r="N1765" s="412"/>
      <c r="P1765" s="414"/>
    </row>
    <row r="1766" spans="1:16" s="416" customFormat="1" ht="14" outlineLevel="5">
      <c r="A1766" s="405" t="s">
        <v>8</v>
      </c>
      <c r="B1766" s="564" t="s">
        <v>1066</v>
      </c>
      <c r="C1766" s="397" t="s">
        <v>1063</v>
      </c>
      <c r="D1766" s="398"/>
      <c r="E1766" s="398"/>
      <c r="F1766" s="398"/>
      <c r="G1766" s="398">
        <f t="shared" ref="G1766:G1773" si="454">F1766*D1766</f>
        <v>0</v>
      </c>
      <c r="H1766" s="398">
        <f t="shared" ref="H1766:H1773" si="455">F1766*E1766</f>
        <v>0</v>
      </c>
      <c r="I1766" s="399"/>
      <c r="J1766" s="411" t="s">
        <v>21</v>
      </c>
      <c r="K1766" s="411" t="s">
        <v>145</v>
      </c>
      <c r="L1766" s="411" t="s">
        <v>112</v>
      </c>
      <c r="M1766" s="411" t="s">
        <v>32</v>
      </c>
      <c r="N1766" s="460"/>
      <c r="P1766" s="417"/>
    </row>
    <row r="1767" spans="1:16" s="416" customFormat="1" ht="14" outlineLevel="5">
      <c r="A1767" s="400" t="s">
        <v>8</v>
      </c>
      <c r="B1767" s="563" t="s">
        <v>1067</v>
      </c>
      <c r="C1767" s="397" t="s">
        <v>23</v>
      </c>
      <c r="D1767" s="398"/>
      <c r="E1767" s="398"/>
      <c r="F1767" s="398"/>
      <c r="G1767" s="398">
        <f t="shared" si="454"/>
        <v>0</v>
      </c>
      <c r="H1767" s="398">
        <f t="shared" si="455"/>
        <v>0</v>
      </c>
      <c r="I1767" s="399"/>
      <c r="J1767" s="411" t="s">
        <v>21</v>
      </c>
      <c r="K1767" s="411" t="s">
        <v>145</v>
      </c>
      <c r="L1767" s="411" t="s">
        <v>112</v>
      </c>
      <c r="M1767" s="411" t="s">
        <v>32</v>
      </c>
      <c r="N1767" s="460"/>
      <c r="P1767" s="417"/>
    </row>
    <row r="1768" spans="1:16" s="416" customFormat="1" ht="14" outlineLevel="5">
      <c r="A1768" s="400" t="s">
        <v>8</v>
      </c>
      <c r="B1768" s="563" t="s">
        <v>1068</v>
      </c>
      <c r="C1768" s="397" t="s">
        <v>23</v>
      </c>
      <c r="D1768" s="398"/>
      <c r="E1768" s="398"/>
      <c r="F1768" s="398"/>
      <c r="G1768" s="398">
        <f t="shared" si="454"/>
        <v>0</v>
      </c>
      <c r="H1768" s="398">
        <f t="shared" si="455"/>
        <v>0</v>
      </c>
      <c r="I1768" s="399"/>
      <c r="J1768" s="411" t="s">
        <v>21</v>
      </c>
      <c r="K1768" s="411" t="s">
        <v>145</v>
      </c>
      <c r="L1768" s="411" t="s">
        <v>112</v>
      </c>
      <c r="M1768" s="411" t="s">
        <v>32</v>
      </c>
      <c r="N1768" s="460"/>
      <c r="P1768" s="417"/>
    </row>
    <row r="1769" spans="1:16" s="416" customFormat="1" ht="14" outlineLevel="5">
      <c r="A1769" s="405" t="s">
        <v>8</v>
      </c>
      <c r="B1769" s="564" t="s">
        <v>1069</v>
      </c>
      <c r="C1769" s="397" t="s">
        <v>23</v>
      </c>
      <c r="D1769" s="398"/>
      <c r="E1769" s="398"/>
      <c r="F1769" s="398"/>
      <c r="G1769" s="398">
        <f t="shared" si="454"/>
        <v>0</v>
      </c>
      <c r="H1769" s="398">
        <f t="shared" si="455"/>
        <v>0</v>
      </c>
      <c r="I1769" s="399"/>
      <c r="J1769" s="411" t="s">
        <v>21</v>
      </c>
      <c r="K1769" s="411" t="s">
        <v>145</v>
      </c>
      <c r="L1769" s="411" t="s">
        <v>112</v>
      </c>
      <c r="M1769" s="411" t="s">
        <v>32</v>
      </c>
      <c r="N1769" s="460"/>
      <c r="P1769" s="417"/>
    </row>
    <row r="1770" spans="1:16" s="416" customFormat="1" ht="14" outlineLevel="5">
      <c r="A1770" s="400" t="s">
        <v>8</v>
      </c>
      <c r="B1770" s="563" t="s">
        <v>1070</v>
      </c>
      <c r="C1770" s="397" t="s">
        <v>23</v>
      </c>
      <c r="D1770" s="398"/>
      <c r="E1770" s="398"/>
      <c r="F1770" s="398"/>
      <c r="G1770" s="398">
        <f t="shared" si="454"/>
        <v>0</v>
      </c>
      <c r="H1770" s="398">
        <f t="shared" si="455"/>
        <v>0</v>
      </c>
      <c r="I1770" s="399"/>
      <c r="J1770" s="411" t="s">
        <v>21</v>
      </c>
      <c r="K1770" s="411" t="s">
        <v>145</v>
      </c>
      <c r="L1770" s="411" t="s">
        <v>112</v>
      </c>
      <c r="M1770" s="411" t="s">
        <v>32</v>
      </c>
      <c r="N1770" s="460"/>
      <c r="P1770" s="417"/>
    </row>
    <row r="1771" spans="1:16" s="416" customFormat="1" ht="14" outlineLevel="5">
      <c r="A1771" s="400" t="s">
        <v>8</v>
      </c>
      <c r="B1771" s="563" t="s">
        <v>1040</v>
      </c>
      <c r="C1771" s="397" t="s">
        <v>166</v>
      </c>
      <c r="D1771" s="398"/>
      <c r="E1771" s="398"/>
      <c r="F1771" s="398"/>
      <c r="G1771" s="398">
        <f t="shared" si="454"/>
        <v>0</v>
      </c>
      <c r="H1771" s="398">
        <f t="shared" si="455"/>
        <v>0</v>
      </c>
      <c r="I1771" s="399"/>
      <c r="J1771" s="411" t="s">
        <v>21</v>
      </c>
      <c r="K1771" s="411" t="s">
        <v>145</v>
      </c>
      <c r="L1771" s="411" t="s">
        <v>112</v>
      </c>
      <c r="M1771" s="411" t="s">
        <v>32</v>
      </c>
      <c r="N1771" s="460"/>
      <c r="P1771" s="417"/>
    </row>
    <row r="1772" spans="1:16" s="416" customFormat="1" ht="14" outlineLevel="5">
      <c r="A1772" s="400" t="s">
        <v>8</v>
      </c>
      <c r="B1772" s="563" t="s">
        <v>1047</v>
      </c>
      <c r="C1772" s="397" t="s">
        <v>166</v>
      </c>
      <c r="D1772" s="398"/>
      <c r="E1772" s="398"/>
      <c r="F1772" s="398"/>
      <c r="G1772" s="398">
        <f t="shared" si="454"/>
        <v>0</v>
      </c>
      <c r="H1772" s="398">
        <f t="shared" si="455"/>
        <v>0</v>
      </c>
      <c r="I1772" s="399"/>
      <c r="J1772" s="411" t="s">
        <v>21</v>
      </c>
      <c r="K1772" s="411" t="s">
        <v>145</v>
      </c>
      <c r="L1772" s="411" t="s">
        <v>112</v>
      </c>
      <c r="M1772" s="411" t="s">
        <v>32</v>
      </c>
      <c r="N1772" s="460"/>
      <c r="P1772" s="417"/>
    </row>
    <row r="1773" spans="1:16" s="416" customFormat="1" ht="14" outlineLevel="5">
      <c r="A1773" s="405" t="s">
        <v>8</v>
      </c>
      <c r="B1773" s="564" t="s">
        <v>1032</v>
      </c>
      <c r="C1773" s="397" t="s">
        <v>1064</v>
      </c>
      <c r="D1773" s="398"/>
      <c r="E1773" s="398"/>
      <c r="F1773" s="398"/>
      <c r="G1773" s="398">
        <f t="shared" si="454"/>
        <v>0</v>
      </c>
      <c r="H1773" s="398">
        <f t="shared" si="455"/>
        <v>0</v>
      </c>
      <c r="I1773" s="399"/>
      <c r="J1773" s="411" t="s">
        <v>21</v>
      </c>
      <c r="K1773" s="411" t="s">
        <v>145</v>
      </c>
      <c r="L1773" s="411" t="s">
        <v>112</v>
      </c>
      <c r="M1773" s="411" t="s">
        <v>32</v>
      </c>
      <c r="N1773" s="460"/>
      <c r="P1773" s="417"/>
    </row>
    <row r="1774" spans="1:16" s="413" customFormat="1" ht="13" customHeight="1" outlineLevel="4">
      <c r="A1774" s="388">
        <v>4.3</v>
      </c>
      <c r="B1774" s="532" t="s">
        <v>1071</v>
      </c>
      <c r="C1774" s="390"/>
      <c r="D1774" s="391"/>
      <c r="E1774" s="391"/>
      <c r="F1774" s="391"/>
      <c r="G1774" s="391">
        <f>SUBTOTAL(9,G1775:G1782)</f>
        <v>0</v>
      </c>
      <c r="H1774" s="391">
        <f>SUBTOTAL(9,H1775:H1782)</f>
        <v>0</v>
      </c>
      <c r="I1774" s="391"/>
      <c r="J1774" s="410"/>
      <c r="K1774" s="411"/>
      <c r="L1774" s="411"/>
      <c r="M1774" s="412"/>
      <c r="N1774" s="412"/>
      <c r="P1774" s="414"/>
    </row>
    <row r="1775" spans="1:16" s="416" customFormat="1" ht="14" outlineLevel="5">
      <c r="A1775" s="405" t="s">
        <v>8</v>
      </c>
      <c r="B1775" s="564" t="s">
        <v>1072</v>
      </c>
      <c r="C1775" s="397" t="s">
        <v>1063</v>
      </c>
      <c r="D1775" s="398"/>
      <c r="E1775" s="398"/>
      <c r="F1775" s="398"/>
      <c r="G1775" s="398">
        <f t="shared" ref="G1775:G1782" si="456">F1775*D1775</f>
        <v>0</v>
      </c>
      <c r="H1775" s="398">
        <f t="shared" ref="H1775:H1782" si="457">F1775*E1775</f>
        <v>0</v>
      </c>
      <c r="I1775" s="399"/>
      <c r="J1775" s="411" t="s">
        <v>21</v>
      </c>
      <c r="K1775" s="411" t="s">
        <v>145</v>
      </c>
      <c r="L1775" s="411" t="s">
        <v>112</v>
      </c>
      <c r="M1775" s="411" t="s">
        <v>32</v>
      </c>
      <c r="N1775" s="460"/>
      <c r="P1775" s="417"/>
    </row>
    <row r="1776" spans="1:16" s="416" customFormat="1" ht="14" outlineLevel="5">
      <c r="A1776" s="400" t="s">
        <v>8</v>
      </c>
      <c r="B1776" s="563" t="s">
        <v>1069</v>
      </c>
      <c r="C1776" s="397" t="s">
        <v>23</v>
      </c>
      <c r="D1776" s="398"/>
      <c r="E1776" s="398"/>
      <c r="F1776" s="398"/>
      <c r="G1776" s="398">
        <f t="shared" si="456"/>
        <v>0</v>
      </c>
      <c r="H1776" s="398">
        <f t="shared" si="457"/>
        <v>0</v>
      </c>
      <c r="I1776" s="399"/>
      <c r="J1776" s="411" t="s">
        <v>21</v>
      </c>
      <c r="K1776" s="411" t="s">
        <v>145</v>
      </c>
      <c r="L1776" s="411" t="s">
        <v>112</v>
      </c>
      <c r="M1776" s="411" t="s">
        <v>32</v>
      </c>
      <c r="N1776" s="460"/>
      <c r="P1776" s="417"/>
    </row>
    <row r="1777" spans="1:16" s="416" customFormat="1" ht="14" outlineLevel="5">
      <c r="A1777" s="400" t="s">
        <v>8</v>
      </c>
      <c r="B1777" s="563" t="s">
        <v>1070</v>
      </c>
      <c r="C1777" s="397" t="s">
        <v>23</v>
      </c>
      <c r="D1777" s="398"/>
      <c r="E1777" s="398"/>
      <c r="F1777" s="398"/>
      <c r="G1777" s="398">
        <f t="shared" si="456"/>
        <v>0</v>
      </c>
      <c r="H1777" s="398">
        <f t="shared" si="457"/>
        <v>0</v>
      </c>
      <c r="I1777" s="399"/>
      <c r="J1777" s="411" t="s">
        <v>21</v>
      </c>
      <c r="K1777" s="411" t="s">
        <v>145</v>
      </c>
      <c r="L1777" s="411" t="s">
        <v>112</v>
      </c>
      <c r="M1777" s="411" t="s">
        <v>32</v>
      </c>
      <c r="N1777" s="460"/>
      <c r="P1777" s="417"/>
    </row>
    <row r="1778" spans="1:16" s="416" customFormat="1" ht="14" outlineLevel="5">
      <c r="A1778" s="405" t="s">
        <v>8</v>
      </c>
      <c r="B1778" s="564" t="s">
        <v>1073</v>
      </c>
      <c r="C1778" s="397" t="s">
        <v>23</v>
      </c>
      <c r="D1778" s="398"/>
      <c r="E1778" s="398"/>
      <c r="F1778" s="398"/>
      <c r="G1778" s="398">
        <f t="shared" si="456"/>
        <v>0</v>
      </c>
      <c r="H1778" s="398">
        <f t="shared" si="457"/>
        <v>0</v>
      </c>
      <c r="I1778" s="399"/>
      <c r="J1778" s="411" t="s">
        <v>21</v>
      </c>
      <c r="K1778" s="411" t="s">
        <v>145</v>
      </c>
      <c r="L1778" s="411" t="s">
        <v>112</v>
      </c>
      <c r="M1778" s="411" t="s">
        <v>32</v>
      </c>
      <c r="N1778" s="460"/>
      <c r="P1778" s="417"/>
    </row>
    <row r="1779" spans="1:16" s="416" customFormat="1" ht="14" outlineLevel="5">
      <c r="A1779" s="400" t="s">
        <v>8</v>
      </c>
      <c r="B1779" s="563" t="s">
        <v>1040</v>
      </c>
      <c r="C1779" s="397" t="s">
        <v>166</v>
      </c>
      <c r="D1779" s="398"/>
      <c r="E1779" s="398"/>
      <c r="F1779" s="398"/>
      <c r="G1779" s="398">
        <f t="shared" si="456"/>
        <v>0</v>
      </c>
      <c r="H1779" s="398">
        <f t="shared" si="457"/>
        <v>0</v>
      </c>
      <c r="I1779" s="399"/>
      <c r="J1779" s="411" t="s">
        <v>21</v>
      </c>
      <c r="K1779" s="411" t="s">
        <v>145</v>
      </c>
      <c r="L1779" s="411" t="s">
        <v>112</v>
      </c>
      <c r="M1779" s="411" t="s">
        <v>32</v>
      </c>
      <c r="N1779" s="460"/>
      <c r="P1779" s="417"/>
    </row>
    <row r="1780" spans="1:16" s="416" customFormat="1" ht="14" outlineLevel="5">
      <c r="A1780" s="400" t="s">
        <v>8</v>
      </c>
      <c r="B1780" s="563" t="s">
        <v>1047</v>
      </c>
      <c r="C1780" s="397" t="s">
        <v>166</v>
      </c>
      <c r="D1780" s="398"/>
      <c r="E1780" s="398"/>
      <c r="F1780" s="398"/>
      <c r="G1780" s="398">
        <f t="shared" si="456"/>
        <v>0</v>
      </c>
      <c r="H1780" s="398">
        <f t="shared" si="457"/>
        <v>0</v>
      </c>
      <c r="I1780" s="399"/>
      <c r="J1780" s="411" t="s">
        <v>21</v>
      </c>
      <c r="K1780" s="411" t="s">
        <v>145</v>
      </c>
      <c r="L1780" s="411" t="s">
        <v>112</v>
      </c>
      <c r="M1780" s="411" t="s">
        <v>32</v>
      </c>
      <c r="N1780" s="460"/>
      <c r="P1780" s="417"/>
    </row>
    <row r="1781" spans="1:16" s="416" customFormat="1" ht="14" outlineLevel="5">
      <c r="A1781" s="400" t="s">
        <v>8</v>
      </c>
      <c r="B1781" s="563" t="s">
        <v>1059</v>
      </c>
      <c r="C1781" s="397" t="s">
        <v>166</v>
      </c>
      <c r="D1781" s="398"/>
      <c r="E1781" s="398"/>
      <c r="F1781" s="398"/>
      <c r="G1781" s="398">
        <f t="shared" si="456"/>
        <v>0</v>
      </c>
      <c r="H1781" s="398">
        <f t="shared" si="457"/>
        <v>0</v>
      </c>
      <c r="I1781" s="399"/>
      <c r="J1781" s="411" t="s">
        <v>21</v>
      </c>
      <c r="K1781" s="411" t="s">
        <v>145</v>
      </c>
      <c r="L1781" s="411" t="s">
        <v>112</v>
      </c>
      <c r="M1781" s="411" t="s">
        <v>32</v>
      </c>
      <c r="N1781" s="460"/>
      <c r="P1781" s="417"/>
    </row>
    <row r="1782" spans="1:16" s="416" customFormat="1" ht="14" outlineLevel="5">
      <c r="A1782" s="405" t="s">
        <v>8</v>
      </c>
      <c r="B1782" s="564" t="s">
        <v>1032</v>
      </c>
      <c r="C1782" s="397" t="s">
        <v>1064</v>
      </c>
      <c r="D1782" s="398"/>
      <c r="E1782" s="398"/>
      <c r="F1782" s="398"/>
      <c r="G1782" s="398">
        <f t="shared" si="456"/>
        <v>0</v>
      </c>
      <c r="H1782" s="398">
        <f t="shared" si="457"/>
        <v>0</v>
      </c>
      <c r="I1782" s="399"/>
      <c r="J1782" s="411" t="s">
        <v>21</v>
      </c>
      <c r="K1782" s="411" t="s">
        <v>145</v>
      </c>
      <c r="L1782" s="411" t="s">
        <v>112</v>
      </c>
      <c r="M1782" s="411" t="s">
        <v>32</v>
      </c>
      <c r="N1782" s="460"/>
      <c r="P1782" s="417"/>
    </row>
    <row r="1783" spans="1:16" s="413" customFormat="1" ht="13" customHeight="1" outlineLevel="4">
      <c r="A1783" s="388">
        <v>4.4000000000000004</v>
      </c>
      <c r="B1783" s="532" t="s">
        <v>1074</v>
      </c>
      <c r="C1783" s="390"/>
      <c r="D1783" s="391"/>
      <c r="E1783" s="391"/>
      <c r="F1783" s="391"/>
      <c r="G1783" s="391">
        <f>SUBTOTAL(9,G1784:G1795)</f>
        <v>0</v>
      </c>
      <c r="H1783" s="391">
        <f>SUBTOTAL(9,H1784:H1795)</f>
        <v>0</v>
      </c>
      <c r="I1783" s="391"/>
      <c r="J1783" s="410"/>
      <c r="K1783" s="411"/>
      <c r="L1783" s="411"/>
      <c r="M1783" s="412"/>
      <c r="N1783" s="412"/>
      <c r="P1783" s="414"/>
    </row>
    <row r="1784" spans="1:16" s="416" customFormat="1" ht="14" outlineLevel="5">
      <c r="A1784" s="405" t="s">
        <v>8</v>
      </c>
      <c r="B1784" s="564" t="s">
        <v>1075</v>
      </c>
      <c r="C1784" s="397" t="s">
        <v>1063</v>
      </c>
      <c r="D1784" s="562"/>
      <c r="E1784" s="398"/>
      <c r="F1784" s="398"/>
      <c r="G1784" s="398">
        <f t="shared" ref="G1784:G1795" si="458">F1784*D1784</f>
        <v>0</v>
      </c>
      <c r="H1784" s="398">
        <f t="shared" ref="H1784:H1795" si="459">F1784*E1784</f>
        <v>0</v>
      </c>
      <c r="I1784" s="399"/>
      <c r="J1784" s="411" t="s">
        <v>21</v>
      </c>
      <c r="K1784" s="411" t="s">
        <v>145</v>
      </c>
      <c r="L1784" s="411" t="s">
        <v>112</v>
      </c>
      <c r="M1784" s="411" t="s">
        <v>32</v>
      </c>
      <c r="N1784" s="460"/>
      <c r="P1784" s="417"/>
    </row>
    <row r="1785" spans="1:16" s="416" customFormat="1" ht="14" outlineLevel="5">
      <c r="A1785" s="400" t="s">
        <v>8</v>
      </c>
      <c r="B1785" s="563" t="s">
        <v>1076</v>
      </c>
      <c r="C1785" s="397" t="s">
        <v>23</v>
      </c>
      <c r="D1785" s="562"/>
      <c r="E1785" s="398"/>
      <c r="F1785" s="398"/>
      <c r="G1785" s="398">
        <f t="shared" si="458"/>
        <v>0</v>
      </c>
      <c r="H1785" s="398">
        <f t="shared" si="459"/>
        <v>0</v>
      </c>
      <c r="I1785" s="399"/>
      <c r="J1785" s="411" t="s">
        <v>21</v>
      </c>
      <c r="K1785" s="411" t="s">
        <v>145</v>
      </c>
      <c r="L1785" s="411" t="s">
        <v>112</v>
      </c>
      <c r="M1785" s="411" t="s">
        <v>32</v>
      </c>
      <c r="N1785" s="460"/>
      <c r="P1785" s="417"/>
    </row>
    <row r="1786" spans="1:16" s="416" customFormat="1" ht="14" outlineLevel="5">
      <c r="A1786" s="400" t="s">
        <v>8</v>
      </c>
      <c r="B1786" s="563" t="s">
        <v>1067</v>
      </c>
      <c r="C1786" s="397" t="s">
        <v>23</v>
      </c>
      <c r="D1786" s="562"/>
      <c r="E1786" s="398"/>
      <c r="F1786" s="398"/>
      <c r="G1786" s="398">
        <f t="shared" si="458"/>
        <v>0</v>
      </c>
      <c r="H1786" s="398">
        <f t="shared" si="459"/>
        <v>0</v>
      </c>
      <c r="I1786" s="399"/>
      <c r="J1786" s="411" t="s">
        <v>21</v>
      </c>
      <c r="K1786" s="411" t="s">
        <v>145</v>
      </c>
      <c r="L1786" s="411" t="s">
        <v>112</v>
      </c>
      <c r="M1786" s="411" t="s">
        <v>32</v>
      </c>
      <c r="N1786" s="460"/>
      <c r="P1786" s="417"/>
    </row>
    <row r="1787" spans="1:16" s="416" customFormat="1" ht="14" outlineLevel="5">
      <c r="A1787" s="405" t="s">
        <v>8</v>
      </c>
      <c r="B1787" s="564" t="s">
        <v>1069</v>
      </c>
      <c r="C1787" s="397" t="s">
        <v>23</v>
      </c>
      <c r="D1787" s="562"/>
      <c r="E1787" s="398"/>
      <c r="F1787" s="398"/>
      <c r="G1787" s="398">
        <f t="shared" si="458"/>
        <v>0</v>
      </c>
      <c r="H1787" s="398">
        <f t="shared" si="459"/>
        <v>0</v>
      </c>
      <c r="I1787" s="399"/>
      <c r="J1787" s="411" t="s">
        <v>21</v>
      </c>
      <c r="K1787" s="411" t="s">
        <v>145</v>
      </c>
      <c r="L1787" s="411" t="s">
        <v>112</v>
      </c>
      <c r="M1787" s="411" t="s">
        <v>32</v>
      </c>
      <c r="N1787" s="460"/>
      <c r="P1787" s="417"/>
    </row>
    <row r="1788" spans="1:16" s="416" customFormat="1" ht="14" outlineLevel="5">
      <c r="A1788" s="405" t="s">
        <v>8</v>
      </c>
      <c r="B1788" s="564" t="s">
        <v>1070</v>
      </c>
      <c r="C1788" s="397" t="s">
        <v>23</v>
      </c>
      <c r="D1788" s="562"/>
      <c r="E1788" s="398"/>
      <c r="F1788" s="398"/>
      <c r="G1788" s="398">
        <f t="shared" si="458"/>
        <v>0</v>
      </c>
      <c r="H1788" s="398">
        <f t="shared" si="459"/>
        <v>0</v>
      </c>
      <c r="I1788" s="399"/>
      <c r="J1788" s="411" t="s">
        <v>21</v>
      </c>
      <c r="K1788" s="411" t="s">
        <v>145</v>
      </c>
      <c r="L1788" s="411" t="s">
        <v>112</v>
      </c>
      <c r="M1788" s="411" t="s">
        <v>32</v>
      </c>
      <c r="N1788" s="460"/>
      <c r="P1788" s="417"/>
    </row>
    <row r="1789" spans="1:16" s="416" customFormat="1" ht="14" outlineLevel="5">
      <c r="A1789" s="400" t="s">
        <v>8</v>
      </c>
      <c r="B1789" s="563" t="s">
        <v>1077</v>
      </c>
      <c r="C1789" s="397" t="s">
        <v>166</v>
      </c>
      <c r="D1789" s="562"/>
      <c r="E1789" s="398"/>
      <c r="F1789" s="398"/>
      <c r="G1789" s="398">
        <f t="shared" si="458"/>
        <v>0</v>
      </c>
      <c r="H1789" s="398">
        <f t="shared" si="459"/>
        <v>0</v>
      </c>
      <c r="I1789" s="399"/>
      <c r="J1789" s="411" t="s">
        <v>21</v>
      </c>
      <c r="K1789" s="411" t="s">
        <v>145</v>
      </c>
      <c r="L1789" s="411" t="s">
        <v>112</v>
      </c>
      <c r="M1789" s="411" t="s">
        <v>32</v>
      </c>
      <c r="N1789" s="460"/>
      <c r="P1789" s="417"/>
    </row>
    <row r="1790" spans="1:16" s="416" customFormat="1" ht="14" outlineLevel="5">
      <c r="A1790" s="400" t="s">
        <v>8</v>
      </c>
      <c r="B1790" s="563" t="s">
        <v>1078</v>
      </c>
      <c r="C1790" s="397" t="s">
        <v>166</v>
      </c>
      <c r="D1790" s="562"/>
      <c r="E1790" s="398"/>
      <c r="F1790" s="398"/>
      <c r="G1790" s="398">
        <f t="shared" si="458"/>
        <v>0</v>
      </c>
      <c r="H1790" s="398">
        <f t="shared" si="459"/>
        <v>0</v>
      </c>
      <c r="I1790" s="399"/>
      <c r="J1790" s="411" t="s">
        <v>21</v>
      </c>
      <c r="K1790" s="411" t="s">
        <v>145</v>
      </c>
      <c r="L1790" s="411" t="s">
        <v>112</v>
      </c>
      <c r="M1790" s="411" t="s">
        <v>32</v>
      </c>
      <c r="N1790" s="460"/>
      <c r="P1790" s="417"/>
    </row>
    <row r="1791" spans="1:16" s="416" customFormat="1" ht="14" outlineLevel="5">
      <c r="A1791" s="405" t="s">
        <v>8</v>
      </c>
      <c r="B1791" s="564" t="s">
        <v>1040</v>
      </c>
      <c r="C1791" s="397" t="s">
        <v>166</v>
      </c>
      <c r="D1791" s="562"/>
      <c r="E1791" s="398"/>
      <c r="F1791" s="398"/>
      <c r="G1791" s="398">
        <f t="shared" si="458"/>
        <v>0</v>
      </c>
      <c r="H1791" s="398">
        <f t="shared" si="459"/>
        <v>0</v>
      </c>
      <c r="I1791" s="399"/>
      <c r="J1791" s="411" t="s">
        <v>21</v>
      </c>
      <c r="K1791" s="411" t="s">
        <v>145</v>
      </c>
      <c r="L1791" s="411" t="s">
        <v>112</v>
      </c>
      <c r="M1791" s="411" t="s">
        <v>32</v>
      </c>
      <c r="N1791" s="460"/>
      <c r="P1791" s="417"/>
    </row>
    <row r="1792" spans="1:16" s="416" customFormat="1" ht="14" outlineLevel="5">
      <c r="A1792" s="400" t="s">
        <v>8</v>
      </c>
      <c r="B1792" s="563" t="s">
        <v>1047</v>
      </c>
      <c r="C1792" s="397" t="s">
        <v>166</v>
      </c>
      <c r="D1792" s="562"/>
      <c r="E1792" s="398"/>
      <c r="F1792" s="398"/>
      <c r="G1792" s="398">
        <f t="shared" si="458"/>
        <v>0</v>
      </c>
      <c r="H1792" s="398">
        <f t="shared" si="459"/>
        <v>0</v>
      </c>
      <c r="I1792" s="399"/>
      <c r="J1792" s="411" t="s">
        <v>21</v>
      </c>
      <c r="K1792" s="411" t="s">
        <v>145</v>
      </c>
      <c r="L1792" s="411" t="s">
        <v>112</v>
      </c>
      <c r="M1792" s="411" t="s">
        <v>32</v>
      </c>
      <c r="N1792" s="460"/>
      <c r="P1792" s="417"/>
    </row>
    <row r="1793" spans="1:16" s="416" customFormat="1" ht="14" outlineLevel="5">
      <c r="A1793" s="400" t="s">
        <v>8</v>
      </c>
      <c r="B1793" s="563" t="s">
        <v>472</v>
      </c>
      <c r="C1793" s="397" t="s">
        <v>1064</v>
      </c>
      <c r="D1793" s="562"/>
      <c r="E1793" s="398"/>
      <c r="F1793" s="398"/>
      <c r="G1793" s="398">
        <f t="shared" si="458"/>
        <v>0</v>
      </c>
      <c r="H1793" s="398">
        <f t="shared" si="459"/>
        <v>0</v>
      </c>
      <c r="I1793" s="399"/>
      <c r="J1793" s="411" t="s">
        <v>21</v>
      </c>
      <c r="K1793" s="411" t="s">
        <v>145</v>
      </c>
      <c r="L1793" s="411" t="s">
        <v>112</v>
      </c>
      <c r="M1793" s="411" t="s">
        <v>32</v>
      </c>
      <c r="N1793" s="460"/>
      <c r="P1793" s="417"/>
    </row>
    <row r="1794" spans="1:16" s="416" customFormat="1" ht="14" outlineLevel="5">
      <c r="A1794" s="400" t="s">
        <v>8</v>
      </c>
      <c r="B1794" s="563" t="s">
        <v>474</v>
      </c>
      <c r="C1794" s="397" t="s">
        <v>1064</v>
      </c>
      <c r="D1794" s="562"/>
      <c r="E1794" s="398"/>
      <c r="F1794" s="398"/>
      <c r="G1794" s="398">
        <f t="shared" si="458"/>
        <v>0</v>
      </c>
      <c r="H1794" s="398">
        <f t="shared" si="459"/>
        <v>0</v>
      </c>
      <c r="I1794" s="399"/>
      <c r="J1794" s="411" t="s">
        <v>21</v>
      </c>
      <c r="K1794" s="411" t="s">
        <v>145</v>
      </c>
      <c r="L1794" s="411" t="s">
        <v>112</v>
      </c>
      <c r="M1794" s="411" t="s">
        <v>32</v>
      </c>
      <c r="N1794" s="460"/>
      <c r="P1794" s="417"/>
    </row>
    <row r="1795" spans="1:16" s="416" customFormat="1" ht="14" outlineLevel="5">
      <c r="A1795" s="405" t="s">
        <v>8</v>
      </c>
      <c r="B1795" s="564" t="s">
        <v>1032</v>
      </c>
      <c r="C1795" s="397" t="s">
        <v>1064</v>
      </c>
      <c r="D1795" s="562"/>
      <c r="E1795" s="398"/>
      <c r="F1795" s="398"/>
      <c r="G1795" s="398">
        <f t="shared" si="458"/>
        <v>0</v>
      </c>
      <c r="H1795" s="398">
        <f t="shared" si="459"/>
        <v>0</v>
      </c>
      <c r="I1795" s="399"/>
      <c r="J1795" s="411" t="s">
        <v>21</v>
      </c>
      <c r="K1795" s="411" t="s">
        <v>145</v>
      </c>
      <c r="L1795" s="411" t="s">
        <v>112</v>
      </c>
      <c r="M1795" s="411" t="s">
        <v>32</v>
      </c>
      <c r="N1795" s="460"/>
      <c r="P1795" s="417"/>
    </row>
    <row r="1796" spans="1:16" s="413" customFormat="1" ht="13" customHeight="1" outlineLevel="4">
      <c r="A1796" s="388">
        <v>4.5</v>
      </c>
      <c r="B1796" s="532" t="s">
        <v>1079</v>
      </c>
      <c r="C1796" s="390"/>
      <c r="D1796" s="391"/>
      <c r="E1796" s="391"/>
      <c r="F1796" s="391"/>
      <c r="G1796" s="391">
        <f>SUBTOTAL(9,G1797:G1809)</f>
        <v>0</v>
      </c>
      <c r="H1796" s="391">
        <f>SUBTOTAL(9,H1797:H1809)</f>
        <v>0</v>
      </c>
      <c r="I1796" s="391"/>
      <c r="J1796" s="410"/>
      <c r="K1796" s="411"/>
      <c r="L1796" s="411"/>
      <c r="M1796" s="412"/>
      <c r="N1796" s="412"/>
      <c r="P1796" s="414"/>
    </row>
    <row r="1797" spans="1:16" s="416" customFormat="1" ht="14" outlineLevel="5">
      <c r="A1797" s="405" t="s">
        <v>8</v>
      </c>
      <c r="B1797" s="564" t="s">
        <v>1075</v>
      </c>
      <c r="C1797" s="397" t="s">
        <v>1063</v>
      </c>
      <c r="D1797" s="398"/>
      <c r="E1797" s="398"/>
      <c r="F1797" s="398"/>
      <c r="G1797" s="398">
        <f t="shared" ref="G1797:G1809" si="460">F1797*D1797</f>
        <v>0</v>
      </c>
      <c r="H1797" s="398">
        <f t="shared" ref="H1797:H1809" si="461">F1797*E1797</f>
        <v>0</v>
      </c>
      <c r="I1797" s="399"/>
      <c r="J1797" s="411" t="s">
        <v>21</v>
      </c>
      <c r="K1797" s="411" t="s">
        <v>145</v>
      </c>
      <c r="L1797" s="411" t="s">
        <v>112</v>
      </c>
      <c r="M1797" s="411" t="s">
        <v>32</v>
      </c>
      <c r="N1797" s="460"/>
      <c r="P1797" s="417"/>
    </row>
    <row r="1798" spans="1:16" s="416" customFormat="1" ht="14" outlineLevel="5">
      <c r="A1798" s="405" t="s">
        <v>8</v>
      </c>
      <c r="B1798" s="564" t="s">
        <v>1080</v>
      </c>
      <c r="C1798" s="397" t="s">
        <v>23</v>
      </c>
      <c r="D1798" s="398"/>
      <c r="E1798" s="398"/>
      <c r="F1798" s="398"/>
      <c r="G1798" s="398">
        <f t="shared" si="460"/>
        <v>0</v>
      </c>
      <c r="H1798" s="398">
        <f t="shared" si="461"/>
        <v>0</v>
      </c>
      <c r="I1798" s="399"/>
      <c r="J1798" s="411" t="s">
        <v>21</v>
      </c>
      <c r="K1798" s="411" t="s">
        <v>145</v>
      </c>
      <c r="L1798" s="411" t="s">
        <v>112</v>
      </c>
      <c r="M1798" s="411" t="s">
        <v>32</v>
      </c>
      <c r="N1798" s="460"/>
      <c r="P1798" s="417"/>
    </row>
    <row r="1799" spans="1:16" s="416" customFormat="1" ht="14" outlineLevel="5">
      <c r="A1799" s="400" t="s">
        <v>8</v>
      </c>
      <c r="B1799" s="563" t="s">
        <v>1081</v>
      </c>
      <c r="C1799" s="397" t="s">
        <v>23</v>
      </c>
      <c r="D1799" s="398"/>
      <c r="E1799" s="398"/>
      <c r="F1799" s="398"/>
      <c r="G1799" s="398">
        <f t="shared" si="460"/>
        <v>0</v>
      </c>
      <c r="H1799" s="398">
        <f t="shared" si="461"/>
        <v>0</v>
      </c>
      <c r="I1799" s="399"/>
      <c r="J1799" s="411" t="s">
        <v>21</v>
      </c>
      <c r="K1799" s="411" t="s">
        <v>145</v>
      </c>
      <c r="L1799" s="411" t="s">
        <v>112</v>
      </c>
      <c r="M1799" s="411" t="s">
        <v>32</v>
      </c>
      <c r="N1799" s="460"/>
      <c r="P1799" s="417"/>
    </row>
    <row r="1800" spans="1:16" s="416" customFormat="1" ht="14" outlineLevel="5">
      <c r="A1800" s="400" t="s">
        <v>8</v>
      </c>
      <c r="B1800" s="563" t="s">
        <v>1082</v>
      </c>
      <c r="C1800" s="397" t="s">
        <v>23</v>
      </c>
      <c r="D1800" s="398"/>
      <c r="E1800" s="398"/>
      <c r="F1800" s="398"/>
      <c r="G1800" s="398">
        <f t="shared" si="460"/>
        <v>0</v>
      </c>
      <c r="H1800" s="398">
        <f t="shared" si="461"/>
        <v>0</v>
      </c>
      <c r="I1800" s="399"/>
      <c r="J1800" s="411" t="s">
        <v>21</v>
      </c>
      <c r="K1800" s="411" t="s">
        <v>145</v>
      </c>
      <c r="L1800" s="411" t="s">
        <v>112</v>
      </c>
      <c r="M1800" s="411" t="s">
        <v>32</v>
      </c>
      <c r="N1800" s="460"/>
      <c r="P1800" s="417"/>
    </row>
    <row r="1801" spans="1:16" s="416" customFormat="1" ht="14" outlineLevel="5">
      <c r="A1801" s="405" t="s">
        <v>8</v>
      </c>
      <c r="B1801" s="564" t="s">
        <v>1083</v>
      </c>
      <c r="C1801" s="397" t="s">
        <v>23</v>
      </c>
      <c r="D1801" s="398"/>
      <c r="E1801" s="398"/>
      <c r="F1801" s="398"/>
      <c r="G1801" s="398">
        <f t="shared" si="460"/>
        <v>0</v>
      </c>
      <c r="H1801" s="398">
        <f t="shared" si="461"/>
        <v>0</v>
      </c>
      <c r="I1801" s="399"/>
      <c r="J1801" s="411" t="s">
        <v>21</v>
      </c>
      <c r="K1801" s="411" t="s">
        <v>145</v>
      </c>
      <c r="L1801" s="411" t="s">
        <v>112</v>
      </c>
      <c r="M1801" s="411" t="s">
        <v>32</v>
      </c>
      <c r="N1801" s="460"/>
      <c r="P1801" s="417"/>
    </row>
    <row r="1802" spans="1:16" s="416" customFormat="1" ht="14" outlineLevel="5">
      <c r="A1802" s="405" t="s">
        <v>8</v>
      </c>
      <c r="B1802" s="564" t="s">
        <v>1076</v>
      </c>
      <c r="C1802" s="397" t="s">
        <v>23</v>
      </c>
      <c r="D1802" s="398"/>
      <c r="E1802" s="398"/>
      <c r="F1802" s="398"/>
      <c r="G1802" s="398">
        <f t="shared" si="460"/>
        <v>0</v>
      </c>
      <c r="H1802" s="398">
        <f t="shared" si="461"/>
        <v>0</v>
      </c>
      <c r="I1802" s="399"/>
      <c r="J1802" s="411" t="s">
        <v>21</v>
      </c>
      <c r="K1802" s="411" t="s">
        <v>145</v>
      </c>
      <c r="L1802" s="411" t="s">
        <v>112</v>
      </c>
      <c r="M1802" s="411" t="s">
        <v>32</v>
      </c>
      <c r="N1802" s="460"/>
      <c r="P1802" s="417"/>
    </row>
    <row r="1803" spans="1:16" s="416" customFormat="1" ht="14" outlineLevel="5">
      <c r="A1803" s="400" t="s">
        <v>8</v>
      </c>
      <c r="B1803" s="563" t="s">
        <v>1077</v>
      </c>
      <c r="C1803" s="397" t="s">
        <v>166</v>
      </c>
      <c r="D1803" s="398"/>
      <c r="E1803" s="398"/>
      <c r="F1803" s="398"/>
      <c r="G1803" s="398">
        <f t="shared" si="460"/>
        <v>0</v>
      </c>
      <c r="H1803" s="398">
        <f t="shared" si="461"/>
        <v>0</v>
      </c>
      <c r="I1803" s="399"/>
      <c r="J1803" s="411" t="s">
        <v>21</v>
      </c>
      <c r="K1803" s="411" t="s">
        <v>145</v>
      </c>
      <c r="L1803" s="411" t="s">
        <v>112</v>
      </c>
      <c r="M1803" s="411" t="s">
        <v>32</v>
      </c>
      <c r="N1803" s="460"/>
      <c r="P1803" s="417"/>
    </row>
    <row r="1804" spans="1:16" s="416" customFormat="1" ht="14" outlineLevel="5">
      <c r="A1804" s="400" t="s">
        <v>8</v>
      </c>
      <c r="B1804" s="563" t="s">
        <v>1078</v>
      </c>
      <c r="C1804" s="397" t="s">
        <v>166</v>
      </c>
      <c r="D1804" s="398"/>
      <c r="E1804" s="398"/>
      <c r="F1804" s="398"/>
      <c r="G1804" s="398">
        <f t="shared" si="460"/>
        <v>0</v>
      </c>
      <c r="H1804" s="398">
        <f t="shared" si="461"/>
        <v>0</v>
      </c>
      <c r="I1804" s="399"/>
      <c r="J1804" s="411" t="s">
        <v>21</v>
      </c>
      <c r="K1804" s="411" t="s">
        <v>145</v>
      </c>
      <c r="L1804" s="411" t="s">
        <v>112</v>
      </c>
      <c r="M1804" s="411" t="s">
        <v>32</v>
      </c>
      <c r="N1804" s="460"/>
      <c r="P1804" s="417"/>
    </row>
    <row r="1805" spans="1:16" s="416" customFormat="1" ht="14" outlineLevel="5">
      <c r="A1805" s="405" t="s">
        <v>8</v>
      </c>
      <c r="B1805" s="564" t="s">
        <v>1040</v>
      </c>
      <c r="C1805" s="397" t="s">
        <v>166</v>
      </c>
      <c r="D1805" s="398"/>
      <c r="E1805" s="398"/>
      <c r="F1805" s="398"/>
      <c r="G1805" s="398">
        <f t="shared" si="460"/>
        <v>0</v>
      </c>
      <c r="H1805" s="398">
        <f t="shared" si="461"/>
        <v>0</v>
      </c>
      <c r="I1805" s="399"/>
      <c r="J1805" s="411" t="s">
        <v>21</v>
      </c>
      <c r="K1805" s="411" t="s">
        <v>145</v>
      </c>
      <c r="L1805" s="411" t="s">
        <v>112</v>
      </c>
      <c r="M1805" s="411" t="s">
        <v>32</v>
      </c>
      <c r="N1805" s="460"/>
      <c r="P1805" s="417"/>
    </row>
    <row r="1806" spans="1:16" s="416" customFormat="1" ht="14" outlineLevel="5">
      <c r="A1806" s="400" t="s">
        <v>8</v>
      </c>
      <c r="B1806" s="563" t="s">
        <v>1047</v>
      </c>
      <c r="C1806" s="397" t="s">
        <v>166</v>
      </c>
      <c r="D1806" s="398"/>
      <c r="E1806" s="398"/>
      <c r="F1806" s="398"/>
      <c r="G1806" s="398">
        <f t="shared" si="460"/>
        <v>0</v>
      </c>
      <c r="H1806" s="398">
        <f t="shared" si="461"/>
        <v>0</v>
      </c>
      <c r="I1806" s="399"/>
      <c r="J1806" s="411" t="s">
        <v>21</v>
      </c>
      <c r="K1806" s="411" t="s">
        <v>145</v>
      </c>
      <c r="L1806" s="411" t="s">
        <v>112</v>
      </c>
      <c r="M1806" s="411" t="s">
        <v>32</v>
      </c>
      <c r="N1806" s="460"/>
      <c r="P1806" s="417"/>
    </row>
    <row r="1807" spans="1:16" s="416" customFormat="1" ht="14" outlineLevel="5">
      <c r="A1807" s="400" t="s">
        <v>8</v>
      </c>
      <c r="B1807" s="563" t="s">
        <v>472</v>
      </c>
      <c r="C1807" s="397" t="s">
        <v>1064</v>
      </c>
      <c r="D1807" s="398"/>
      <c r="E1807" s="398"/>
      <c r="F1807" s="398"/>
      <c r="G1807" s="398">
        <f t="shared" si="460"/>
        <v>0</v>
      </c>
      <c r="H1807" s="398">
        <f t="shared" si="461"/>
        <v>0</v>
      </c>
      <c r="I1807" s="399"/>
      <c r="J1807" s="411" t="s">
        <v>21</v>
      </c>
      <c r="K1807" s="411" t="s">
        <v>145</v>
      </c>
      <c r="L1807" s="411" t="s">
        <v>112</v>
      </c>
      <c r="M1807" s="411" t="s">
        <v>32</v>
      </c>
      <c r="N1807" s="460"/>
      <c r="P1807" s="417"/>
    </row>
    <row r="1808" spans="1:16" s="416" customFormat="1" ht="14" outlineLevel="5">
      <c r="A1808" s="400" t="s">
        <v>8</v>
      </c>
      <c r="B1808" s="563" t="s">
        <v>474</v>
      </c>
      <c r="C1808" s="397" t="s">
        <v>1064</v>
      </c>
      <c r="D1808" s="398"/>
      <c r="E1808" s="398"/>
      <c r="F1808" s="398"/>
      <c r="G1808" s="398">
        <f t="shared" si="460"/>
        <v>0</v>
      </c>
      <c r="H1808" s="398">
        <f t="shared" si="461"/>
        <v>0</v>
      </c>
      <c r="I1808" s="399"/>
      <c r="J1808" s="411" t="s">
        <v>21</v>
      </c>
      <c r="K1808" s="411" t="s">
        <v>145</v>
      </c>
      <c r="L1808" s="411" t="s">
        <v>112</v>
      </c>
      <c r="M1808" s="411" t="s">
        <v>32</v>
      </c>
      <c r="N1808" s="460"/>
      <c r="P1808" s="417"/>
    </row>
    <row r="1809" spans="1:16" s="416" customFormat="1" ht="14" outlineLevel="5">
      <c r="A1809" s="405" t="s">
        <v>8</v>
      </c>
      <c r="B1809" s="564" t="s">
        <v>1032</v>
      </c>
      <c r="C1809" s="397" t="s">
        <v>1064</v>
      </c>
      <c r="D1809" s="398"/>
      <c r="E1809" s="398"/>
      <c r="F1809" s="398"/>
      <c r="G1809" s="398">
        <f t="shared" si="460"/>
        <v>0</v>
      </c>
      <c r="H1809" s="398">
        <f t="shared" si="461"/>
        <v>0</v>
      </c>
      <c r="I1809" s="399"/>
      <c r="J1809" s="411" t="s">
        <v>21</v>
      </c>
      <c r="K1809" s="411" t="s">
        <v>145</v>
      </c>
      <c r="L1809" s="411" t="s">
        <v>112</v>
      </c>
      <c r="M1809" s="411" t="s">
        <v>32</v>
      </c>
      <c r="N1809" s="460"/>
      <c r="P1809" s="417"/>
    </row>
    <row r="1810" spans="1:16" s="413" customFormat="1" ht="13" customHeight="1" outlineLevel="4">
      <c r="A1810" s="388">
        <v>4.5999999999999996</v>
      </c>
      <c r="B1810" s="565" t="s">
        <v>1084</v>
      </c>
      <c r="C1810" s="390"/>
      <c r="D1810" s="391"/>
      <c r="E1810" s="391"/>
      <c r="F1810" s="391"/>
      <c r="G1810" s="391">
        <f>SUBTOTAL(9,G1811:G1817)</f>
        <v>0</v>
      </c>
      <c r="H1810" s="391">
        <f>SUBTOTAL(9,H1811:H1817)</f>
        <v>0</v>
      </c>
      <c r="I1810" s="391"/>
      <c r="J1810" s="410"/>
      <c r="K1810" s="411"/>
      <c r="L1810" s="411"/>
      <c r="M1810" s="412"/>
      <c r="N1810" s="412"/>
      <c r="P1810" s="414"/>
    </row>
    <row r="1811" spans="1:16" s="416" customFormat="1" ht="14" outlineLevel="5">
      <c r="A1811" s="405" t="s">
        <v>8</v>
      </c>
      <c r="B1811" s="564" t="s">
        <v>1085</v>
      </c>
      <c r="C1811" s="397" t="s">
        <v>1063</v>
      </c>
      <c r="D1811" s="398"/>
      <c r="E1811" s="398"/>
      <c r="F1811" s="398"/>
      <c r="G1811" s="398">
        <f t="shared" ref="G1811:G1817" si="462">F1811*D1811</f>
        <v>0</v>
      </c>
      <c r="H1811" s="398">
        <f t="shared" ref="H1811:H1817" si="463">F1811*E1811</f>
        <v>0</v>
      </c>
      <c r="I1811" s="399"/>
      <c r="J1811" s="411" t="s">
        <v>21</v>
      </c>
      <c r="K1811" s="411" t="s">
        <v>145</v>
      </c>
      <c r="L1811" s="411" t="s">
        <v>112</v>
      </c>
      <c r="M1811" s="411" t="s">
        <v>32</v>
      </c>
      <c r="N1811" s="460"/>
      <c r="P1811" s="417"/>
    </row>
    <row r="1812" spans="1:16" s="416" customFormat="1" ht="14" outlineLevel="5">
      <c r="A1812" s="405" t="s">
        <v>8</v>
      </c>
      <c r="B1812" s="564" t="s">
        <v>1077</v>
      </c>
      <c r="C1812" s="397" t="s">
        <v>166</v>
      </c>
      <c r="D1812" s="398"/>
      <c r="E1812" s="398"/>
      <c r="F1812" s="398"/>
      <c r="G1812" s="398">
        <f t="shared" si="462"/>
        <v>0</v>
      </c>
      <c r="H1812" s="398">
        <f t="shared" si="463"/>
        <v>0</v>
      </c>
      <c r="I1812" s="399"/>
      <c r="J1812" s="411" t="s">
        <v>21</v>
      </c>
      <c r="K1812" s="411" t="s">
        <v>145</v>
      </c>
      <c r="L1812" s="411" t="s">
        <v>112</v>
      </c>
      <c r="M1812" s="411" t="s">
        <v>32</v>
      </c>
      <c r="N1812" s="460"/>
      <c r="P1812" s="417"/>
    </row>
    <row r="1813" spans="1:16" s="416" customFormat="1" ht="14" outlineLevel="5">
      <c r="A1813" s="400" t="s">
        <v>8</v>
      </c>
      <c r="B1813" s="563" t="s">
        <v>1078</v>
      </c>
      <c r="C1813" s="397" t="s">
        <v>166</v>
      </c>
      <c r="D1813" s="398"/>
      <c r="E1813" s="398"/>
      <c r="F1813" s="398"/>
      <c r="G1813" s="398">
        <f t="shared" si="462"/>
        <v>0</v>
      </c>
      <c r="H1813" s="398">
        <f t="shared" si="463"/>
        <v>0</v>
      </c>
      <c r="I1813" s="399"/>
      <c r="J1813" s="411" t="s">
        <v>21</v>
      </c>
      <c r="K1813" s="411" t="s">
        <v>145</v>
      </c>
      <c r="L1813" s="411" t="s">
        <v>112</v>
      </c>
      <c r="M1813" s="411" t="s">
        <v>32</v>
      </c>
      <c r="N1813" s="460"/>
      <c r="P1813" s="417"/>
    </row>
    <row r="1814" spans="1:16" s="416" customFormat="1" ht="14" outlineLevel="5">
      <c r="A1814" s="400" t="s">
        <v>8</v>
      </c>
      <c r="B1814" s="563" t="s">
        <v>1040</v>
      </c>
      <c r="C1814" s="397" t="s">
        <v>166</v>
      </c>
      <c r="D1814" s="398"/>
      <c r="E1814" s="398"/>
      <c r="F1814" s="398"/>
      <c r="G1814" s="398">
        <f t="shared" si="462"/>
        <v>0</v>
      </c>
      <c r="H1814" s="398">
        <f t="shared" si="463"/>
        <v>0</v>
      </c>
      <c r="I1814" s="399"/>
      <c r="J1814" s="411" t="s">
        <v>21</v>
      </c>
      <c r="K1814" s="411" t="s">
        <v>145</v>
      </c>
      <c r="L1814" s="411" t="s">
        <v>112</v>
      </c>
      <c r="M1814" s="411" t="s">
        <v>32</v>
      </c>
      <c r="N1814" s="460"/>
      <c r="P1814" s="417"/>
    </row>
    <row r="1815" spans="1:16" s="416" customFormat="1" ht="14" outlineLevel="5">
      <c r="A1815" s="405" t="s">
        <v>8</v>
      </c>
      <c r="B1815" s="564" t="s">
        <v>472</v>
      </c>
      <c r="C1815" s="397" t="s">
        <v>166</v>
      </c>
      <c r="D1815" s="398"/>
      <c r="E1815" s="398"/>
      <c r="F1815" s="398"/>
      <c r="G1815" s="398">
        <f t="shared" si="462"/>
        <v>0</v>
      </c>
      <c r="H1815" s="398">
        <f t="shared" si="463"/>
        <v>0</v>
      </c>
      <c r="I1815" s="399"/>
      <c r="J1815" s="411" t="s">
        <v>21</v>
      </c>
      <c r="K1815" s="411" t="s">
        <v>145</v>
      </c>
      <c r="L1815" s="411" t="s">
        <v>112</v>
      </c>
      <c r="M1815" s="411" t="s">
        <v>32</v>
      </c>
      <c r="N1815" s="460"/>
      <c r="P1815" s="417"/>
    </row>
    <row r="1816" spans="1:16" s="416" customFormat="1" ht="14" outlineLevel="5">
      <c r="A1816" s="405" t="s">
        <v>8</v>
      </c>
      <c r="B1816" s="564" t="s">
        <v>474</v>
      </c>
      <c r="C1816" s="397" t="s">
        <v>166</v>
      </c>
      <c r="D1816" s="398"/>
      <c r="E1816" s="398"/>
      <c r="F1816" s="398"/>
      <c r="G1816" s="398">
        <f t="shared" si="462"/>
        <v>0</v>
      </c>
      <c r="H1816" s="398">
        <f t="shared" si="463"/>
        <v>0</v>
      </c>
      <c r="I1816" s="399"/>
      <c r="J1816" s="411" t="s">
        <v>21</v>
      </c>
      <c r="K1816" s="411" t="s">
        <v>145</v>
      </c>
      <c r="L1816" s="411" t="s">
        <v>112</v>
      </c>
      <c r="M1816" s="411" t="s">
        <v>32</v>
      </c>
      <c r="N1816" s="460"/>
      <c r="P1816" s="417"/>
    </row>
    <row r="1817" spans="1:16" s="416" customFormat="1" ht="14" outlineLevel="5">
      <c r="A1817" s="400" t="s">
        <v>8</v>
      </c>
      <c r="B1817" s="563" t="s">
        <v>1086</v>
      </c>
      <c r="C1817" s="397" t="s">
        <v>1064</v>
      </c>
      <c r="D1817" s="398"/>
      <c r="E1817" s="398"/>
      <c r="F1817" s="398"/>
      <c r="G1817" s="398">
        <f t="shared" si="462"/>
        <v>0</v>
      </c>
      <c r="H1817" s="398">
        <f t="shared" si="463"/>
        <v>0</v>
      </c>
      <c r="I1817" s="399"/>
      <c r="J1817" s="411" t="s">
        <v>21</v>
      </c>
      <c r="K1817" s="411" t="s">
        <v>145</v>
      </c>
      <c r="L1817" s="411" t="s">
        <v>112</v>
      </c>
      <c r="M1817" s="411" t="s">
        <v>32</v>
      </c>
      <c r="N1817" s="460"/>
      <c r="P1817" s="417"/>
    </row>
    <row r="1818" spans="1:16" s="413" customFormat="1" ht="13" customHeight="1" outlineLevel="4">
      <c r="A1818" s="388">
        <v>4.7</v>
      </c>
      <c r="B1818" s="565" t="s">
        <v>1087</v>
      </c>
      <c r="C1818" s="390"/>
      <c r="D1818" s="391"/>
      <c r="E1818" s="391"/>
      <c r="F1818" s="391"/>
      <c r="G1818" s="391">
        <f>SUBTOTAL(9,G1819:G1825)</f>
        <v>0</v>
      </c>
      <c r="H1818" s="391">
        <f>SUBTOTAL(9,H1819:H1825)</f>
        <v>0</v>
      </c>
      <c r="I1818" s="391"/>
      <c r="J1818" s="410"/>
      <c r="K1818" s="411"/>
      <c r="L1818" s="411"/>
      <c r="M1818" s="412"/>
      <c r="N1818" s="412"/>
      <c r="P1818" s="414"/>
    </row>
    <row r="1819" spans="1:16" s="416" customFormat="1" ht="14" outlineLevel="5">
      <c r="A1819" s="405" t="s">
        <v>8</v>
      </c>
      <c r="B1819" s="564" t="s">
        <v>1088</v>
      </c>
      <c r="C1819" s="397" t="s">
        <v>23</v>
      </c>
      <c r="D1819" s="398"/>
      <c r="E1819" s="398"/>
      <c r="F1819" s="398"/>
      <c r="G1819" s="398">
        <f t="shared" ref="G1819:G1825" si="464">F1819*D1819</f>
        <v>0</v>
      </c>
      <c r="H1819" s="398">
        <f t="shared" ref="H1819:H1825" si="465">F1819*E1819</f>
        <v>0</v>
      </c>
      <c r="I1819" s="399"/>
      <c r="J1819" s="411" t="s">
        <v>21</v>
      </c>
      <c r="K1819" s="411" t="s">
        <v>145</v>
      </c>
      <c r="L1819" s="411" t="s">
        <v>112</v>
      </c>
      <c r="M1819" s="411" t="s">
        <v>32</v>
      </c>
      <c r="N1819" s="460"/>
      <c r="P1819" s="417"/>
    </row>
    <row r="1820" spans="1:16" s="416" customFormat="1" ht="14" outlineLevel="5">
      <c r="A1820" s="405" t="s">
        <v>8</v>
      </c>
      <c r="B1820" s="564" t="s">
        <v>1069</v>
      </c>
      <c r="C1820" s="397" t="s">
        <v>23</v>
      </c>
      <c r="D1820" s="398"/>
      <c r="E1820" s="398"/>
      <c r="F1820" s="398"/>
      <c r="G1820" s="398">
        <f t="shared" si="464"/>
        <v>0</v>
      </c>
      <c r="H1820" s="398">
        <f t="shared" si="465"/>
        <v>0</v>
      </c>
      <c r="I1820" s="399"/>
      <c r="J1820" s="411" t="s">
        <v>21</v>
      </c>
      <c r="K1820" s="411" t="s">
        <v>145</v>
      </c>
      <c r="L1820" s="411" t="s">
        <v>112</v>
      </c>
      <c r="M1820" s="411" t="s">
        <v>32</v>
      </c>
      <c r="N1820" s="460"/>
      <c r="P1820" s="417"/>
    </row>
    <row r="1821" spans="1:16" s="416" customFormat="1" ht="14" outlineLevel="5">
      <c r="A1821" s="400" t="s">
        <v>8</v>
      </c>
      <c r="B1821" s="563" t="s">
        <v>1089</v>
      </c>
      <c r="C1821" s="397" t="s">
        <v>23</v>
      </c>
      <c r="D1821" s="398"/>
      <c r="E1821" s="398"/>
      <c r="F1821" s="398"/>
      <c r="G1821" s="398">
        <f t="shared" si="464"/>
        <v>0</v>
      </c>
      <c r="H1821" s="398">
        <f t="shared" si="465"/>
        <v>0</v>
      </c>
      <c r="I1821" s="399"/>
      <c r="J1821" s="411" t="s">
        <v>21</v>
      </c>
      <c r="K1821" s="411" t="s">
        <v>145</v>
      </c>
      <c r="L1821" s="411" t="s">
        <v>112</v>
      </c>
      <c r="M1821" s="411" t="s">
        <v>32</v>
      </c>
      <c r="N1821" s="460"/>
      <c r="P1821" s="417"/>
    </row>
    <row r="1822" spans="1:16" s="416" customFormat="1" ht="14" outlineLevel="5">
      <c r="A1822" s="400" t="s">
        <v>8</v>
      </c>
      <c r="B1822" s="563" t="s">
        <v>1035</v>
      </c>
      <c r="C1822" s="397" t="s">
        <v>166</v>
      </c>
      <c r="D1822" s="398"/>
      <c r="E1822" s="398"/>
      <c r="F1822" s="398"/>
      <c r="G1822" s="398">
        <f t="shared" si="464"/>
        <v>0</v>
      </c>
      <c r="H1822" s="398">
        <f t="shared" si="465"/>
        <v>0</v>
      </c>
      <c r="I1822" s="399"/>
      <c r="J1822" s="411" t="s">
        <v>21</v>
      </c>
      <c r="K1822" s="411" t="s">
        <v>145</v>
      </c>
      <c r="L1822" s="411" t="s">
        <v>112</v>
      </c>
      <c r="M1822" s="411" t="s">
        <v>32</v>
      </c>
      <c r="N1822" s="460"/>
      <c r="P1822" s="417"/>
    </row>
    <row r="1823" spans="1:16" s="416" customFormat="1" ht="14" outlineLevel="5">
      <c r="A1823" s="405" t="s">
        <v>8</v>
      </c>
      <c r="B1823" s="564" t="s">
        <v>1078</v>
      </c>
      <c r="C1823" s="397" t="s">
        <v>166</v>
      </c>
      <c r="D1823" s="398"/>
      <c r="E1823" s="398"/>
      <c r="F1823" s="398"/>
      <c r="G1823" s="398">
        <f t="shared" si="464"/>
        <v>0</v>
      </c>
      <c r="H1823" s="398">
        <f t="shared" si="465"/>
        <v>0</v>
      </c>
      <c r="I1823" s="399"/>
      <c r="J1823" s="411" t="s">
        <v>21</v>
      </c>
      <c r="K1823" s="411" t="s">
        <v>145</v>
      </c>
      <c r="L1823" s="411" t="s">
        <v>112</v>
      </c>
      <c r="M1823" s="411" t="s">
        <v>32</v>
      </c>
      <c r="N1823" s="460"/>
      <c r="P1823" s="417"/>
    </row>
    <row r="1824" spans="1:16" s="416" customFormat="1" ht="14" outlineLevel="5">
      <c r="A1824" s="405" t="s">
        <v>8</v>
      </c>
      <c r="B1824" s="564" t="s">
        <v>1040</v>
      </c>
      <c r="C1824" s="397" t="s">
        <v>166</v>
      </c>
      <c r="D1824" s="398"/>
      <c r="E1824" s="398"/>
      <c r="F1824" s="398"/>
      <c r="G1824" s="398">
        <f t="shared" si="464"/>
        <v>0</v>
      </c>
      <c r="H1824" s="398">
        <f t="shared" si="465"/>
        <v>0</v>
      </c>
      <c r="I1824" s="399"/>
      <c r="J1824" s="411" t="s">
        <v>21</v>
      </c>
      <c r="K1824" s="411" t="s">
        <v>145</v>
      </c>
      <c r="L1824" s="411" t="s">
        <v>112</v>
      </c>
      <c r="M1824" s="411" t="s">
        <v>32</v>
      </c>
      <c r="N1824" s="460"/>
      <c r="P1824" s="417"/>
    </row>
    <row r="1825" spans="1:17" s="416" customFormat="1" ht="14" outlineLevel="5">
      <c r="A1825" s="400" t="s">
        <v>8</v>
      </c>
      <c r="B1825" s="563" t="s">
        <v>1032</v>
      </c>
      <c r="C1825" s="397" t="s">
        <v>1064</v>
      </c>
      <c r="D1825" s="398"/>
      <c r="E1825" s="398"/>
      <c r="F1825" s="398"/>
      <c r="G1825" s="398">
        <f t="shared" si="464"/>
        <v>0</v>
      </c>
      <c r="H1825" s="398">
        <f t="shared" si="465"/>
        <v>0</v>
      </c>
      <c r="I1825" s="399"/>
      <c r="J1825" s="411" t="s">
        <v>21</v>
      </c>
      <c r="K1825" s="411" t="s">
        <v>145</v>
      </c>
      <c r="L1825" s="411" t="s">
        <v>112</v>
      </c>
      <c r="M1825" s="411" t="s">
        <v>32</v>
      </c>
      <c r="N1825" s="460"/>
      <c r="P1825" s="417"/>
    </row>
    <row r="1826" spans="1:17" s="413" customFormat="1" ht="13" customHeight="1" outlineLevel="4">
      <c r="A1826" s="388">
        <v>5</v>
      </c>
      <c r="B1826" s="565" t="s">
        <v>1119</v>
      </c>
      <c r="C1826" s="390"/>
      <c r="D1826" s="391"/>
      <c r="E1826" s="391"/>
      <c r="F1826" s="391"/>
      <c r="G1826" s="391">
        <f>SUBTOTAL(9,G1827:G1833)</f>
        <v>0</v>
      </c>
      <c r="H1826" s="391">
        <f>SUBTOTAL(9,H1827:H1833)</f>
        <v>0</v>
      </c>
      <c r="I1826" s="391"/>
      <c r="J1826" s="410"/>
      <c r="K1826" s="411"/>
      <c r="L1826" s="411"/>
      <c r="M1826" s="412"/>
      <c r="N1826" s="412"/>
      <c r="P1826" s="414"/>
    </row>
    <row r="1827" spans="1:17" s="416" customFormat="1" ht="14" outlineLevel="5">
      <c r="A1827" s="405" t="s">
        <v>8</v>
      </c>
      <c r="B1827" s="564" t="s">
        <v>1117</v>
      </c>
      <c r="C1827" s="397" t="s">
        <v>33</v>
      </c>
      <c r="D1827" s="398"/>
      <c r="E1827" s="398"/>
      <c r="F1827" s="398"/>
      <c r="G1827" s="398">
        <f t="shared" ref="G1827:G1828" si="466">F1827*D1827</f>
        <v>0</v>
      </c>
      <c r="H1827" s="398">
        <f t="shared" ref="H1827:H1828" si="467">F1827*E1827</f>
        <v>0</v>
      </c>
      <c r="I1827" s="399"/>
      <c r="J1827" s="411" t="s">
        <v>21</v>
      </c>
      <c r="K1827" s="411" t="s">
        <v>145</v>
      </c>
      <c r="L1827" s="411" t="s">
        <v>112</v>
      </c>
      <c r="M1827" s="411" t="s">
        <v>32</v>
      </c>
      <c r="N1827" s="460"/>
      <c r="P1827" s="417"/>
    </row>
    <row r="1828" spans="1:17" s="416" customFormat="1" ht="14" outlineLevel="5">
      <c r="A1828" s="405" t="s">
        <v>8</v>
      </c>
      <c r="B1828" s="564" t="s">
        <v>1118</v>
      </c>
      <c r="C1828" s="397" t="s">
        <v>33</v>
      </c>
      <c r="D1828" s="398"/>
      <c r="E1828" s="398"/>
      <c r="F1828" s="398"/>
      <c r="G1828" s="398">
        <f t="shared" si="466"/>
        <v>0</v>
      </c>
      <c r="H1828" s="398">
        <f t="shared" si="467"/>
        <v>0</v>
      </c>
      <c r="I1828" s="399"/>
      <c r="J1828" s="411" t="s">
        <v>21</v>
      </c>
      <c r="K1828" s="411" t="s">
        <v>145</v>
      </c>
      <c r="L1828" s="411" t="s">
        <v>112</v>
      </c>
      <c r="M1828" s="411" t="s">
        <v>32</v>
      </c>
      <c r="N1828" s="460"/>
      <c r="P1828" s="417"/>
    </row>
    <row r="1829" spans="1:17" s="425" customFormat="1" ht="14">
      <c r="A1829" s="584" t="s">
        <v>60</v>
      </c>
      <c r="B1829" s="585" t="s">
        <v>5</v>
      </c>
      <c r="C1829" s="376"/>
      <c r="D1829" s="378"/>
      <c r="E1829" s="378"/>
      <c r="F1829" s="586"/>
      <c r="G1829" s="378">
        <f>SUBTOTAL(9,G1830:G2153)</f>
        <v>3665629.7850000001</v>
      </c>
      <c r="H1829" s="378">
        <f>SUBTOTAL(9,H1830:H2153)</f>
        <v>3671054.9499999997</v>
      </c>
      <c r="I1829" s="587"/>
      <c r="J1829" s="410"/>
      <c r="K1829" s="424"/>
      <c r="L1829" s="424"/>
      <c r="M1829" s="424"/>
      <c r="N1829" s="588"/>
      <c r="O1829" s="589"/>
      <c r="P1829" s="414"/>
      <c r="Q1829" s="413"/>
    </row>
    <row r="1830" spans="1:17" s="413" customFormat="1" ht="14" outlineLevel="1">
      <c r="A1830" s="388" t="s">
        <v>4</v>
      </c>
      <c r="B1830" s="350" t="s">
        <v>55</v>
      </c>
      <c r="C1830" s="403"/>
      <c r="D1830" s="391"/>
      <c r="E1830" s="391"/>
      <c r="F1830" s="409"/>
      <c r="G1830" s="391">
        <f>SUBTOTAL(9,G1831:G1873)</f>
        <v>659980</v>
      </c>
      <c r="H1830" s="398">
        <f>SUBTOTAL(9,H1831:H1873)</f>
        <v>82250</v>
      </c>
      <c r="I1830" s="392"/>
      <c r="J1830" s="411"/>
      <c r="K1830" s="411"/>
      <c r="L1830" s="411"/>
      <c r="M1830" s="412"/>
      <c r="N1830" s="590"/>
      <c r="P1830" s="414"/>
    </row>
    <row r="1831" spans="1:17" s="413" customFormat="1" ht="14">
      <c r="A1831" s="388" t="s">
        <v>43</v>
      </c>
      <c r="B1831" s="350" t="s">
        <v>1341</v>
      </c>
      <c r="C1831" s="403"/>
      <c r="D1831" s="391"/>
      <c r="E1831" s="391"/>
      <c r="F1831" s="409"/>
      <c r="G1831" s="398">
        <f>SUBTOTAL(9,G1833:G1870)</f>
        <v>259980</v>
      </c>
      <c r="H1831" s="398">
        <f>SUBTOTAL(9,H1833:H1870)</f>
        <v>82250</v>
      </c>
      <c r="I1831" s="392"/>
      <c r="J1831" s="591"/>
      <c r="K1831" s="591"/>
      <c r="L1831" s="591"/>
      <c r="M1831" s="592"/>
      <c r="N1831" s="590"/>
      <c r="P1831" s="414"/>
    </row>
    <row r="1832" spans="1:17" s="413" customFormat="1" ht="14">
      <c r="A1832" s="388">
        <v>1</v>
      </c>
      <c r="B1832" s="350" t="s">
        <v>41</v>
      </c>
      <c r="C1832" s="403"/>
      <c r="D1832" s="391"/>
      <c r="E1832" s="391"/>
      <c r="F1832" s="409"/>
      <c r="G1832" s="391"/>
      <c r="H1832" s="398"/>
      <c r="I1832" s="392"/>
      <c r="J1832" s="591"/>
      <c r="K1832" s="591"/>
      <c r="L1832" s="591"/>
      <c r="M1832" s="592"/>
      <c r="N1832" s="412"/>
      <c r="P1832" s="414"/>
    </row>
    <row r="1833" spans="1:17" s="413" customFormat="1" ht="14">
      <c r="A1833" s="299" t="s">
        <v>651</v>
      </c>
      <c r="B1833" s="300" t="s">
        <v>652</v>
      </c>
      <c r="C1833" s="301"/>
      <c r="D1833" s="391"/>
      <c r="E1833" s="391"/>
      <c r="F1833" s="409"/>
      <c r="G1833" s="391"/>
      <c r="H1833" s="398"/>
      <c r="I1833" s="392"/>
      <c r="J1833" s="591"/>
      <c r="K1833" s="591"/>
      <c r="L1833" s="591"/>
      <c r="M1833" s="592"/>
      <c r="N1833" s="412"/>
      <c r="P1833" s="414"/>
    </row>
    <row r="1834" spans="1:17" s="413" customFormat="1" ht="14">
      <c r="A1834" s="302" t="s">
        <v>8</v>
      </c>
      <c r="B1834" s="303" t="s">
        <v>653</v>
      </c>
      <c r="C1834" s="304" t="s">
        <v>27</v>
      </c>
      <c r="D1834" s="391"/>
      <c r="E1834" s="398"/>
      <c r="F1834" s="305">
        <v>12406.800000000001</v>
      </c>
      <c r="G1834" s="391">
        <f>D1834*$F1834</f>
        <v>0</v>
      </c>
      <c r="H1834" s="398">
        <f>E1834*$F1834</f>
        <v>0</v>
      </c>
      <c r="I1834" s="392"/>
      <c r="J1834" s="591" t="s">
        <v>6</v>
      </c>
      <c r="K1834" s="591" t="s">
        <v>145</v>
      </c>
      <c r="L1834" s="591" t="s">
        <v>112</v>
      </c>
      <c r="M1834" s="328"/>
      <c r="N1834" s="412"/>
      <c r="P1834" s="343"/>
    </row>
    <row r="1835" spans="1:17" s="413" customFormat="1" ht="14">
      <c r="A1835" s="302" t="s">
        <v>8</v>
      </c>
      <c r="B1835" s="303" t="s">
        <v>654</v>
      </c>
      <c r="C1835" s="304" t="s">
        <v>27</v>
      </c>
      <c r="D1835" s="391">
        <v>4</v>
      </c>
      <c r="E1835" s="391"/>
      <c r="F1835" s="305">
        <v>15120</v>
      </c>
      <c r="G1835" s="391">
        <f>D1835*$F1835</f>
        <v>60480</v>
      </c>
      <c r="H1835" s="391">
        <f>E1835*$F1835</f>
        <v>0</v>
      </c>
      <c r="I1835" s="392"/>
      <c r="J1835" s="591" t="s">
        <v>6</v>
      </c>
      <c r="K1835" s="591" t="s">
        <v>145</v>
      </c>
      <c r="L1835" s="591" t="s">
        <v>112</v>
      </c>
      <c r="M1835" s="592"/>
      <c r="N1835" s="412"/>
      <c r="P1835" s="414"/>
    </row>
    <row r="1836" spans="1:17" s="413" customFormat="1" ht="14">
      <c r="A1836" s="299" t="s">
        <v>655</v>
      </c>
      <c r="B1836" s="300" t="s">
        <v>656</v>
      </c>
      <c r="C1836" s="301"/>
      <c r="D1836" s="391"/>
      <c r="E1836" s="391"/>
      <c r="F1836" s="409"/>
      <c r="G1836" s="391"/>
      <c r="H1836" s="398"/>
      <c r="I1836" s="392"/>
      <c r="J1836" s="591"/>
      <c r="K1836" s="591"/>
      <c r="L1836" s="591"/>
      <c r="M1836" s="592"/>
      <c r="N1836" s="412"/>
      <c r="P1836" s="414"/>
    </row>
    <row r="1837" spans="1:17" s="413" customFormat="1" ht="14">
      <c r="A1837" s="307" t="s">
        <v>8</v>
      </c>
      <c r="B1837" s="306" t="s">
        <v>657</v>
      </c>
      <c r="C1837" s="308" t="s">
        <v>10</v>
      </c>
      <c r="D1837" s="398"/>
      <c r="E1837" s="398"/>
      <c r="F1837" s="305"/>
      <c r="G1837" s="398">
        <f t="shared" ref="G1837:H1853" si="468">D1837*$F1837</f>
        <v>0</v>
      </c>
      <c r="H1837" s="398">
        <f t="shared" si="468"/>
        <v>0</v>
      </c>
      <c r="I1837" s="392"/>
      <c r="J1837" s="591" t="s">
        <v>6</v>
      </c>
      <c r="K1837" s="591" t="s">
        <v>145</v>
      </c>
      <c r="L1837" s="591" t="s">
        <v>112</v>
      </c>
      <c r="M1837" s="328"/>
      <c r="N1837" s="412"/>
      <c r="P1837" s="343"/>
    </row>
    <row r="1838" spans="1:17" s="413" customFormat="1" ht="14">
      <c r="A1838" s="307" t="s">
        <v>8</v>
      </c>
      <c r="B1838" s="306" t="s">
        <v>658</v>
      </c>
      <c r="C1838" s="308" t="s">
        <v>10</v>
      </c>
      <c r="D1838" s="391"/>
      <c r="E1838" s="391"/>
      <c r="F1838" s="593"/>
      <c r="G1838" s="391">
        <f t="shared" si="468"/>
        <v>0</v>
      </c>
      <c r="H1838" s="391">
        <f t="shared" si="468"/>
        <v>0</v>
      </c>
      <c r="I1838" s="392"/>
      <c r="J1838" s="591" t="s">
        <v>6</v>
      </c>
      <c r="K1838" s="591" t="s">
        <v>145</v>
      </c>
      <c r="L1838" s="591" t="s">
        <v>112</v>
      </c>
      <c r="M1838" s="592"/>
      <c r="N1838" s="412"/>
      <c r="P1838" s="414"/>
    </row>
    <row r="1839" spans="1:17" s="413" customFormat="1" ht="14">
      <c r="A1839" s="307" t="s">
        <v>8</v>
      </c>
      <c r="B1839" s="306" t="s">
        <v>659</v>
      </c>
      <c r="C1839" s="308" t="s">
        <v>10</v>
      </c>
      <c r="D1839" s="391"/>
      <c r="E1839" s="391"/>
      <c r="F1839" s="593"/>
      <c r="G1839" s="391">
        <f t="shared" si="468"/>
        <v>0</v>
      </c>
      <c r="H1839" s="391">
        <f t="shared" si="468"/>
        <v>0</v>
      </c>
      <c r="I1839" s="392"/>
      <c r="J1839" s="591" t="s">
        <v>6</v>
      </c>
      <c r="K1839" s="591" t="s">
        <v>145</v>
      </c>
      <c r="L1839" s="591" t="s">
        <v>112</v>
      </c>
      <c r="M1839" s="592"/>
      <c r="N1839" s="412"/>
      <c r="P1839" s="414"/>
    </row>
    <row r="1840" spans="1:17" s="413" customFormat="1" ht="14">
      <c r="A1840" s="299" t="s">
        <v>660</v>
      </c>
      <c r="B1840" s="300" t="s">
        <v>661</v>
      </c>
      <c r="C1840" s="308"/>
      <c r="D1840" s="391"/>
      <c r="E1840" s="391"/>
      <c r="F1840" s="593"/>
      <c r="G1840" s="391"/>
      <c r="H1840" s="391"/>
      <c r="I1840" s="392"/>
      <c r="J1840" s="591"/>
      <c r="K1840" s="591"/>
      <c r="L1840" s="591"/>
      <c r="M1840" s="592"/>
      <c r="N1840" s="412"/>
      <c r="P1840" s="414"/>
    </row>
    <row r="1841" spans="1:16" s="413" customFormat="1" ht="14">
      <c r="A1841" s="309" t="s">
        <v>8</v>
      </c>
      <c r="B1841" s="306" t="s">
        <v>662</v>
      </c>
      <c r="C1841" s="308" t="s">
        <v>663</v>
      </c>
      <c r="D1841" s="398"/>
      <c r="E1841" s="398"/>
      <c r="F1841" s="593"/>
      <c r="G1841" s="398">
        <f t="shared" ref="G1841:H1843" si="469">D1841*$F1841</f>
        <v>0</v>
      </c>
      <c r="H1841" s="391">
        <f t="shared" si="469"/>
        <v>0</v>
      </c>
      <c r="I1841" s="392"/>
      <c r="J1841" s="591" t="s">
        <v>6</v>
      </c>
      <c r="K1841" s="591" t="s">
        <v>145</v>
      </c>
      <c r="L1841" s="591" t="s">
        <v>112</v>
      </c>
      <c r="M1841" s="328"/>
      <c r="N1841" s="412"/>
      <c r="P1841" s="343"/>
    </row>
    <row r="1842" spans="1:16" s="413" customFormat="1" ht="14">
      <c r="A1842" s="310" t="s">
        <v>8</v>
      </c>
      <c r="B1842" s="306" t="s">
        <v>664</v>
      </c>
      <c r="C1842" s="308" t="s">
        <v>10</v>
      </c>
      <c r="D1842" s="398"/>
      <c r="E1842" s="398"/>
      <c r="F1842" s="593"/>
      <c r="G1842" s="398">
        <f t="shared" si="469"/>
        <v>0</v>
      </c>
      <c r="H1842" s="391">
        <f t="shared" si="469"/>
        <v>0</v>
      </c>
      <c r="I1842" s="392"/>
      <c r="J1842" s="591" t="s">
        <v>6</v>
      </c>
      <c r="K1842" s="591" t="s">
        <v>145</v>
      </c>
      <c r="L1842" s="591" t="s">
        <v>112</v>
      </c>
      <c r="M1842" s="328"/>
      <c r="N1842" s="412"/>
      <c r="P1842" s="343"/>
    </row>
    <row r="1843" spans="1:16" s="413" customFormat="1" ht="14">
      <c r="A1843" s="310" t="s">
        <v>8</v>
      </c>
      <c r="B1843" s="306" t="s">
        <v>665</v>
      </c>
      <c r="C1843" s="308" t="s">
        <v>9</v>
      </c>
      <c r="D1843" s="398">
        <v>1</v>
      </c>
      <c r="E1843" s="398"/>
      <c r="F1843" s="594">
        <v>50000</v>
      </c>
      <c r="G1843" s="398">
        <f t="shared" si="469"/>
        <v>50000</v>
      </c>
      <c r="H1843" s="391">
        <f t="shared" si="469"/>
        <v>0</v>
      </c>
      <c r="I1843" s="392"/>
      <c r="J1843" s="591" t="s">
        <v>6</v>
      </c>
      <c r="K1843" s="591" t="s">
        <v>145</v>
      </c>
      <c r="L1843" s="591" t="s">
        <v>112</v>
      </c>
      <c r="M1843" s="328"/>
      <c r="N1843" s="412"/>
      <c r="P1843" s="708" t="s">
        <v>1445</v>
      </c>
    </row>
    <row r="1844" spans="1:16" s="413" customFormat="1" ht="14">
      <c r="A1844" s="670">
        <v>1.4</v>
      </c>
      <c r="B1844" s="315" t="s">
        <v>1284</v>
      </c>
      <c r="C1844" s="308" t="s">
        <v>9</v>
      </c>
      <c r="D1844" s="398"/>
      <c r="E1844" s="398"/>
      <c r="F1844" s="593"/>
      <c r="G1844" s="398">
        <f t="shared" ref="G1844" si="470">D1844*$F1844</f>
        <v>0</v>
      </c>
      <c r="H1844" s="391">
        <f t="shared" ref="H1844" si="471">E1844*$F1844</f>
        <v>0</v>
      </c>
      <c r="I1844" s="392"/>
      <c r="J1844" s="591" t="s">
        <v>6</v>
      </c>
      <c r="K1844" s="591" t="s">
        <v>145</v>
      </c>
      <c r="L1844" s="591" t="s">
        <v>112</v>
      </c>
      <c r="M1844" s="328"/>
      <c r="N1844" s="412"/>
      <c r="P1844" s="343"/>
    </row>
    <row r="1845" spans="1:16" s="413" customFormat="1" ht="14">
      <c r="A1845" s="299" t="s">
        <v>666</v>
      </c>
      <c r="B1845" s="300" t="s">
        <v>667</v>
      </c>
      <c r="C1845" s="301" t="s">
        <v>9</v>
      </c>
      <c r="D1845" s="398">
        <v>1</v>
      </c>
      <c r="E1845" s="398">
        <v>1</v>
      </c>
      <c r="F1845" s="593">
        <v>30000</v>
      </c>
      <c r="G1845" s="398">
        <f t="shared" si="468"/>
        <v>30000</v>
      </c>
      <c r="H1845" s="398">
        <f t="shared" si="468"/>
        <v>30000</v>
      </c>
      <c r="I1845" s="399"/>
      <c r="J1845" s="502" t="s">
        <v>6</v>
      </c>
      <c r="K1845" s="591" t="s">
        <v>402</v>
      </c>
      <c r="L1845" s="591" t="s">
        <v>112</v>
      </c>
      <c r="M1845" s="592"/>
      <c r="N1845" s="412"/>
      <c r="P1845" s="708" t="s">
        <v>1446</v>
      </c>
    </row>
    <row r="1846" spans="1:16" s="413" customFormat="1" ht="14">
      <c r="A1846" s="307" t="s">
        <v>8</v>
      </c>
      <c r="B1846" s="347" t="s">
        <v>668</v>
      </c>
      <c r="C1846" s="311" t="s">
        <v>15</v>
      </c>
      <c r="D1846" s="391"/>
      <c r="E1846" s="391"/>
      <c r="F1846" s="312"/>
      <c r="G1846" s="391">
        <f t="shared" si="468"/>
        <v>0</v>
      </c>
      <c r="H1846" s="391">
        <f t="shared" si="468"/>
        <v>0</v>
      </c>
      <c r="I1846" s="392"/>
      <c r="J1846" s="502" t="s">
        <v>6</v>
      </c>
      <c r="K1846" s="591" t="s">
        <v>402</v>
      </c>
      <c r="L1846" s="591" t="s">
        <v>112</v>
      </c>
      <c r="M1846" s="592"/>
      <c r="N1846" s="412"/>
      <c r="P1846" s="414"/>
    </row>
    <row r="1847" spans="1:16" s="413" customFormat="1" ht="14">
      <c r="A1847" s="307" t="s">
        <v>8</v>
      </c>
      <c r="B1847" s="348" t="s">
        <v>669</v>
      </c>
      <c r="C1847" s="311" t="s">
        <v>15</v>
      </c>
      <c r="D1847" s="391"/>
      <c r="E1847" s="391"/>
      <c r="F1847" s="312"/>
      <c r="G1847" s="391">
        <f t="shared" si="468"/>
        <v>0</v>
      </c>
      <c r="H1847" s="391">
        <f t="shared" si="468"/>
        <v>0</v>
      </c>
      <c r="I1847" s="392"/>
      <c r="J1847" s="502" t="s">
        <v>6</v>
      </c>
      <c r="K1847" s="591" t="s">
        <v>402</v>
      </c>
      <c r="L1847" s="591" t="s">
        <v>112</v>
      </c>
      <c r="M1847" s="592"/>
      <c r="N1847" s="412"/>
      <c r="P1847" s="414"/>
    </row>
    <row r="1848" spans="1:16" s="413" customFormat="1" ht="14">
      <c r="A1848" s="307" t="s">
        <v>8</v>
      </c>
      <c r="B1848" s="347" t="s">
        <v>670</v>
      </c>
      <c r="C1848" s="311" t="s">
        <v>15</v>
      </c>
      <c r="D1848" s="391"/>
      <c r="E1848" s="391"/>
      <c r="F1848" s="312"/>
      <c r="G1848" s="391">
        <f t="shared" si="468"/>
        <v>0</v>
      </c>
      <c r="H1848" s="391">
        <f t="shared" si="468"/>
        <v>0</v>
      </c>
      <c r="I1848" s="392"/>
      <c r="J1848" s="502" t="s">
        <v>6</v>
      </c>
      <c r="K1848" s="591" t="s">
        <v>402</v>
      </c>
      <c r="L1848" s="591" t="s">
        <v>112</v>
      </c>
      <c r="M1848" s="592"/>
      <c r="N1848" s="412"/>
      <c r="P1848" s="414"/>
    </row>
    <row r="1849" spans="1:16" s="413" customFormat="1" ht="14">
      <c r="A1849" s="307" t="s">
        <v>8</v>
      </c>
      <c r="B1849" s="347" t="s">
        <v>671</v>
      </c>
      <c r="C1849" s="311" t="s">
        <v>15</v>
      </c>
      <c r="D1849" s="391"/>
      <c r="E1849" s="391"/>
      <c r="F1849" s="312"/>
      <c r="G1849" s="391">
        <f t="shared" si="468"/>
        <v>0</v>
      </c>
      <c r="H1849" s="391">
        <f t="shared" si="468"/>
        <v>0</v>
      </c>
      <c r="I1849" s="392"/>
      <c r="J1849" s="502" t="s">
        <v>6</v>
      </c>
      <c r="K1849" s="591" t="s">
        <v>402</v>
      </c>
      <c r="L1849" s="591" t="s">
        <v>112</v>
      </c>
      <c r="M1849" s="592"/>
      <c r="N1849" s="412"/>
      <c r="P1849" s="414"/>
    </row>
    <row r="1850" spans="1:16" s="413" customFormat="1" ht="14">
      <c r="A1850" s="307" t="s">
        <v>8</v>
      </c>
      <c r="B1850" s="347" t="s">
        <v>672</v>
      </c>
      <c r="C1850" s="311" t="s">
        <v>15</v>
      </c>
      <c r="D1850" s="391"/>
      <c r="E1850" s="391"/>
      <c r="F1850" s="312"/>
      <c r="G1850" s="391">
        <f t="shared" si="468"/>
        <v>0</v>
      </c>
      <c r="H1850" s="391">
        <f t="shared" si="468"/>
        <v>0</v>
      </c>
      <c r="I1850" s="392"/>
      <c r="J1850" s="502" t="s">
        <v>6</v>
      </c>
      <c r="K1850" s="591" t="s">
        <v>402</v>
      </c>
      <c r="L1850" s="591" t="s">
        <v>112</v>
      </c>
      <c r="M1850" s="592"/>
      <c r="N1850" s="412"/>
      <c r="P1850" s="414"/>
    </row>
    <row r="1851" spans="1:16" s="413" customFormat="1" ht="28">
      <c r="A1851" s="307" t="s">
        <v>8</v>
      </c>
      <c r="B1851" s="347" t="s">
        <v>673</v>
      </c>
      <c r="C1851" s="311" t="s">
        <v>15</v>
      </c>
      <c r="D1851" s="391"/>
      <c r="E1851" s="391"/>
      <c r="F1851" s="312"/>
      <c r="G1851" s="391">
        <f t="shared" si="468"/>
        <v>0</v>
      </c>
      <c r="H1851" s="391">
        <f t="shared" si="468"/>
        <v>0</v>
      </c>
      <c r="I1851" s="392"/>
      <c r="J1851" s="502" t="s">
        <v>6</v>
      </c>
      <c r="K1851" s="591" t="s">
        <v>402</v>
      </c>
      <c r="L1851" s="591" t="s">
        <v>112</v>
      </c>
      <c r="M1851" s="592"/>
      <c r="N1851" s="412"/>
      <c r="P1851" s="414"/>
    </row>
    <row r="1852" spans="1:16" s="413" customFormat="1" ht="14">
      <c r="A1852" s="307" t="s">
        <v>8</v>
      </c>
      <c r="B1852" s="347" t="s">
        <v>674</v>
      </c>
      <c r="C1852" s="311" t="s">
        <v>15</v>
      </c>
      <c r="D1852" s="391"/>
      <c r="E1852" s="391"/>
      <c r="F1852" s="312"/>
      <c r="G1852" s="391">
        <f t="shared" si="468"/>
        <v>0</v>
      </c>
      <c r="H1852" s="391">
        <f t="shared" si="468"/>
        <v>0</v>
      </c>
      <c r="I1852" s="392"/>
      <c r="J1852" s="502" t="s">
        <v>6</v>
      </c>
      <c r="K1852" s="591" t="s">
        <v>402</v>
      </c>
      <c r="L1852" s="591" t="s">
        <v>112</v>
      </c>
      <c r="M1852" s="592"/>
      <c r="N1852" s="412"/>
      <c r="P1852" s="414"/>
    </row>
    <row r="1853" spans="1:16" s="413" customFormat="1" ht="14">
      <c r="A1853" s="307" t="s">
        <v>8</v>
      </c>
      <c r="B1853" s="347" t="s">
        <v>675</v>
      </c>
      <c r="C1853" s="311" t="s">
        <v>15</v>
      </c>
      <c r="D1853" s="391"/>
      <c r="E1853" s="391"/>
      <c r="F1853" s="312"/>
      <c r="G1853" s="391">
        <f t="shared" si="468"/>
        <v>0</v>
      </c>
      <c r="H1853" s="391">
        <f t="shared" si="468"/>
        <v>0</v>
      </c>
      <c r="I1853" s="392"/>
      <c r="J1853" s="502" t="s">
        <v>6</v>
      </c>
      <c r="K1853" s="591" t="s">
        <v>402</v>
      </c>
      <c r="L1853" s="591" t="s">
        <v>112</v>
      </c>
      <c r="M1853" s="592"/>
      <c r="N1853" s="412"/>
      <c r="P1853" s="414"/>
    </row>
    <row r="1854" spans="1:16" s="413" customFormat="1" ht="14">
      <c r="A1854" s="307" t="s">
        <v>8</v>
      </c>
      <c r="B1854" s="347" t="s">
        <v>676</v>
      </c>
      <c r="C1854" s="311" t="s">
        <v>15</v>
      </c>
      <c r="D1854" s="391"/>
      <c r="E1854" s="391"/>
      <c r="F1854" s="312"/>
      <c r="G1854" s="391">
        <f t="shared" ref="G1854:H1864" si="472">D1854*$F1854</f>
        <v>0</v>
      </c>
      <c r="H1854" s="391">
        <f t="shared" si="472"/>
        <v>0</v>
      </c>
      <c r="I1854" s="392"/>
      <c r="J1854" s="502" t="s">
        <v>6</v>
      </c>
      <c r="K1854" s="591" t="s">
        <v>402</v>
      </c>
      <c r="L1854" s="591" t="s">
        <v>112</v>
      </c>
      <c r="M1854" s="592"/>
      <c r="N1854" s="412"/>
      <c r="P1854" s="414"/>
    </row>
    <row r="1855" spans="1:16" s="413" customFormat="1" ht="14">
      <c r="A1855" s="307" t="s">
        <v>8</v>
      </c>
      <c r="B1855" s="347" t="s">
        <v>677</v>
      </c>
      <c r="C1855" s="311" t="s">
        <v>15</v>
      </c>
      <c r="D1855" s="391"/>
      <c r="E1855" s="391"/>
      <c r="F1855" s="312"/>
      <c r="G1855" s="391">
        <f t="shared" si="472"/>
        <v>0</v>
      </c>
      <c r="H1855" s="391">
        <f t="shared" si="472"/>
        <v>0</v>
      </c>
      <c r="I1855" s="392"/>
      <c r="J1855" s="502" t="s">
        <v>6</v>
      </c>
      <c r="K1855" s="591" t="s">
        <v>402</v>
      </c>
      <c r="L1855" s="591" t="s">
        <v>112</v>
      </c>
      <c r="M1855" s="592"/>
      <c r="N1855" s="412"/>
      <c r="P1855" s="414"/>
    </row>
    <row r="1856" spans="1:16" s="413" customFormat="1" ht="14">
      <c r="A1856" s="307" t="s">
        <v>8</v>
      </c>
      <c r="B1856" s="347" t="s">
        <v>678</v>
      </c>
      <c r="C1856" s="311" t="s">
        <v>15</v>
      </c>
      <c r="D1856" s="391"/>
      <c r="E1856" s="391"/>
      <c r="F1856" s="312"/>
      <c r="G1856" s="391">
        <f t="shared" si="472"/>
        <v>0</v>
      </c>
      <c r="H1856" s="391">
        <f t="shared" si="472"/>
        <v>0</v>
      </c>
      <c r="I1856" s="392"/>
      <c r="J1856" s="502" t="s">
        <v>6</v>
      </c>
      <c r="K1856" s="591" t="s">
        <v>402</v>
      </c>
      <c r="L1856" s="591" t="s">
        <v>112</v>
      </c>
      <c r="M1856" s="592"/>
      <c r="N1856" s="412"/>
      <c r="P1856" s="414"/>
    </row>
    <row r="1857" spans="1:16" s="413" customFormat="1" ht="14">
      <c r="A1857" s="307" t="s">
        <v>8</v>
      </c>
      <c r="B1857" s="349" t="s">
        <v>679</v>
      </c>
      <c r="C1857" s="311" t="s">
        <v>15</v>
      </c>
      <c r="D1857" s="391"/>
      <c r="E1857" s="391"/>
      <c r="F1857" s="312"/>
      <c r="G1857" s="391">
        <f t="shared" si="472"/>
        <v>0</v>
      </c>
      <c r="H1857" s="391">
        <f t="shared" si="472"/>
        <v>0</v>
      </c>
      <c r="I1857" s="392"/>
      <c r="J1857" s="502" t="s">
        <v>6</v>
      </c>
      <c r="K1857" s="591" t="s">
        <v>402</v>
      </c>
      <c r="L1857" s="591" t="s">
        <v>112</v>
      </c>
      <c r="M1857" s="592"/>
      <c r="N1857" s="412"/>
      <c r="P1857" s="414"/>
    </row>
    <row r="1858" spans="1:16" s="413" customFormat="1" ht="14">
      <c r="A1858" s="307" t="s">
        <v>8</v>
      </c>
      <c r="B1858" s="349" t="s">
        <v>680</v>
      </c>
      <c r="C1858" s="311" t="s">
        <v>15</v>
      </c>
      <c r="D1858" s="391"/>
      <c r="E1858" s="391"/>
      <c r="F1858" s="312"/>
      <c r="G1858" s="391">
        <f t="shared" si="472"/>
        <v>0</v>
      </c>
      <c r="H1858" s="391">
        <f t="shared" si="472"/>
        <v>0</v>
      </c>
      <c r="I1858" s="392"/>
      <c r="J1858" s="502" t="s">
        <v>6</v>
      </c>
      <c r="K1858" s="591" t="s">
        <v>402</v>
      </c>
      <c r="L1858" s="591" t="s">
        <v>112</v>
      </c>
      <c r="M1858" s="592"/>
      <c r="N1858" s="412"/>
      <c r="P1858" s="414"/>
    </row>
    <row r="1859" spans="1:16" s="413" customFormat="1" ht="14">
      <c r="A1859" s="307" t="s">
        <v>8</v>
      </c>
      <c r="B1859" s="349" t="s">
        <v>681</v>
      </c>
      <c r="C1859" s="311" t="s">
        <v>15</v>
      </c>
      <c r="D1859" s="391"/>
      <c r="E1859" s="391"/>
      <c r="F1859" s="312"/>
      <c r="G1859" s="391">
        <f t="shared" si="472"/>
        <v>0</v>
      </c>
      <c r="H1859" s="391">
        <f t="shared" si="472"/>
        <v>0</v>
      </c>
      <c r="I1859" s="392"/>
      <c r="J1859" s="502" t="s">
        <v>6</v>
      </c>
      <c r="K1859" s="591" t="s">
        <v>402</v>
      </c>
      <c r="L1859" s="591" t="s">
        <v>112</v>
      </c>
      <c r="M1859" s="592"/>
      <c r="N1859" s="412"/>
      <c r="P1859" s="414"/>
    </row>
    <row r="1860" spans="1:16" s="413" customFormat="1" ht="14">
      <c r="A1860" s="307" t="s">
        <v>8</v>
      </c>
      <c r="B1860" s="349" t="s">
        <v>682</v>
      </c>
      <c r="C1860" s="311" t="s">
        <v>15</v>
      </c>
      <c r="D1860" s="391"/>
      <c r="E1860" s="391"/>
      <c r="F1860" s="312"/>
      <c r="G1860" s="391">
        <f t="shared" si="472"/>
        <v>0</v>
      </c>
      <c r="H1860" s="391">
        <f t="shared" si="472"/>
        <v>0</v>
      </c>
      <c r="I1860" s="392"/>
      <c r="J1860" s="502" t="s">
        <v>6</v>
      </c>
      <c r="K1860" s="591" t="s">
        <v>402</v>
      </c>
      <c r="L1860" s="591" t="s">
        <v>112</v>
      </c>
      <c r="M1860" s="592"/>
      <c r="N1860" s="412"/>
      <c r="P1860" s="414"/>
    </row>
    <row r="1861" spans="1:16" s="413" customFormat="1" ht="14">
      <c r="A1861" s="307" t="s">
        <v>8</v>
      </c>
      <c r="B1861" s="349" t="s">
        <v>683</v>
      </c>
      <c r="C1861" s="311" t="s">
        <v>15</v>
      </c>
      <c r="D1861" s="391"/>
      <c r="E1861" s="391"/>
      <c r="F1861" s="312"/>
      <c r="G1861" s="391">
        <f t="shared" si="472"/>
        <v>0</v>
      </c>
      <c r="H1861" s="391">
        <f t="shared" si="472"/>
        <v>0</v>
      </c>
      <c r="I1861" s="392"/>
      <c r="J1861" s="502" t="s">
        <v>6</v>
      </c>
      <c r="K1861" s="591" t="s">
        <v>402</v>
      </c>
      <c r="L1861" s="591" t="s">
        <v>112</v>
      </c>
      <c r="M1861" s="592"/>
      <c r="N1861" s="412"/>
      <c r="P1861" s="414"/>
    </row>
    <row r="1862" spans="1:16" s="413" customFormat="1" ht="14">
      <c r="A1862" s="307" t="s">
        <v>8</v>
      </c>
      <c r="B1862" s="349" t="s">
        <v>684</v>
      </c>
      <c r="C1862" s="311" t="s">
        <v>15</v>
      </c>
      <c r="D1862" s="391"/>
      <c r="E1862" s="391"/>
      <c r="F1862" s="312"/>
      <c r="G1862" s="391">
        <f t="shared" si="472"/>
        <v>0</v>
      </c>
      <c r="H1862" s="391">
        <f t="shared" si="472"/>
        <v>0</v>
      </c>
      <c r="I1862" s="392"/>
      <c r="J1862" s="502" t="s">
        <v>6</v>
      </c>
      <c r="K1862" s="591" t="s">
        <v>402</v>
      </c>
      <c r="L1862" s="591" t="s">
        <v>112</v>
      </c>
      <c r="M1862" s="592"/>
      <c r="N1862" s="412"/>
      <c r="P1862" s="414"/>
    </row>
    <row r="1863" spans="1:16" s="413" customFormat="1" ht="14">
      <c r="A1863" s="307" t="s">
        <v>8</v>
      </c>
      <c r="B1863" s="349" t="s">
        <v>685</v>
      </c>
      <c r="C1863" s="311" t="s">
        <v>15</v>
      </c>
      <c r="D1863" s="391"/>
      <c r="E1863" s="391"/>
      <c r="F1863" s="312"/>
      <c r="G1863" s="391">
        <f t="shared" si="472"/>
        <v>0</v>
      </c>
      <c r="H1863" s="391">
        <f t="shared" si="472"/>
        <v>0</v>
      </c>
      <c r="I1863" s="392"/>
      <c r="J1863" s="502" t="s">
        <v>6</v>
      </c>
      <c r="K1863" s="591" t="s">
        <v>402</v>
      </c>
      <c r="L1863" s="591" t="s">
        <v>112</v>
      </c>
      <c r="M1863" s="592"/>
      <c r="N1863" s="412"/>
      <c r="P1863" s="414"/>
    </row>
    <row r="1864" spans="1:16" s="413" customFormat="1" ht="14">
      <c r="A1864" s="307" t="s">
        <v>8</v>
      </c>
      <c r="B1864" s="349" t="s">
        <v>686</v>
      </c>
      <c r="C1864" s="311" t="s">
        <v>15</v>
      </c>
      <c r="D1864" s="391"/>
      <c r="E1864" s="391"/>
      <c r="F1864" s="312"/>
      <c r="G1864" s="391">
        <f t="shared" si="472"/>
        <v>0</v>
      </c>
      <c r="H1864" s="391">
        <f t="shared" si="472"/>
        <v>0</v>
      </c>
      <c r="I1864" s="392"/>
      <c r="J1864" s="502" t="s">
        <v>6</v>
      </c>
      <c r="K1864" s="591" t="s">
        <v>402</v>
      </c>
      <c r="L1864" s="591" t="s">
        <v>112</v>
      </c>
      <c r="M1864" s="592"/>
      <c r="N1864" s="412"/>
      <c r="P1864" s="414"/>
    </row>
    <row r="1865" spans="1:16" s="413" customFormat="1" ht="14">
      <c r="A1865" s="313">
        <v>3</v>
      </c>
      <c r="B1865" s="300" t="s">
        <v>687</v>
      </c>
      <c r="C1865" s="308"/>
      <c r="D1865" s="391"/>
      <c r="E1865" s="391"/>
      <c r="F1865" s="409"/>
      <c r="G1865" s="391">
        <f>SUBTOTAL(9,G1866)</f>
        <v>45000</v>
      </c>
      <c r="H1865" s="391">
        <f>SUBTOTAL(9,H1866)</f>
        <v>0</v>
      </c>
      <c r="I1865" s="392"/>
      <c r="J1865" s="591"/>
      <c r="K1865" s="591"/>
      <c r="L1865" s="591"/>
      <c r="M1865" s="592"/>
      <c r="N1865" s="412"/>
      <c r="P1865" s="414"/>
    </row>
    <row r="1866" spans="1:16" s="413" customFormat="1" ht="14">
      <c r="A1866" s="307" t="s">
        <v>8</v>
      </c>
      <c r="B1866" s="314" t="s">
        <v>1342</v>
      </c>
      <c r="C1866" s="566" t="s">
        <v>24</v>
      </c>
      <c r="D1866" s="398">
        <v>1</v>
      </c>
      <c r="E1866" s="398"/>
      <c r="F1866" s="593">
        <v>45000</v>
      </c>
      <c r="G1866" s="398">
        <v>45000</v>
      </c>
      <c r="H1866" s="398">
        <f t="shared" ref="H1866" si="473">E1866*$F1866</f>
        <v>0</v>
      </c>
      <c r="I1866" s="392"/>
      <c r="J1866" s="591" t="s">
        <v>6</v>
      </c>
      <c r="K1866" s="411" t="s">
        <v>145</v>
      </c>
      <c r="L1866" s="591" t="s">
        <v>112</v>
      </c>
      <c r="M1866" s="592"/>
      <c r="N1866" s="412"/>
      <c r="P1866" s="414" t="s">
        <v>1347</v>
      </c>
    </row>
    <row r="1867" spans="1:16" s="413" customFormat="1" ht="14">
      <c r="A1867" s="388">
        <v>4</v>
      </c>
      <c r="B1867" s="350" t="s">
        <v>688</v>
      </c>
      <c r="C1867" s="403"/>
      <c r="D1867" s="391"/>
      <c r="E1867" s="391"/>
      <c r="F1867" s="409"/>
      <c r="G1867" s="391">
        <f>SUBTOTAL(9,G1868:G1870)</f>
        <v>74500</v>
      </c>
      <c r="H1867" s="391">
        <f>SUBTOTAL(9,H1868:H1870)</f>
        <v>52250</v>
      </c>
      <c r="I1867" s="392"/>
      <c r="J1867" s="591"/>
      <c r="K1867" s="591"/>
      <c r="L1867" s="591"/>
      <c r="M1867" s="592"/>
      <c r="N1867" s="412"/>
      <c r="P1867" s="414"/>
    </row>
    <row r="1868" spans="1:16" s="413" customFormat="1" ht="14">
      <c r="A1868" s="307" t="s">
        <v>8</v>
      </c>
      <c r="B1868" s="314" t="s">
        <v>689</v>
      </c>
      <c r="C1868" s="566" t="s">
        <v>10</v>
      </c>
      <c r="D1868" s="398">
        <v>1</v>
      </c>
      <c r="E1868" s="398">
        <v>1</v>
      </c>
      <c r="F1868" s="593">
        <v>30000</v>
      </c>
      <c r="G1868" s="398">
        <f t="shared" ref="G1868:H1870" si="474">D1868*$F1868</f>
        <v>30000</v>
      </c>
      <c r="H1868" s="398">
        <f t="shared" si="474"/>
        <v>30000</v>
      </c>
      <c r="I1868" s="392"/>
      <c r="J1868" s="591" t="s">
        <v>6</v>
      </c>
      <c r="K1868" s="591" t="s">
        <v>145</v>
      </c>
      <c r="L1868" s="591" t="s">
        <v>112</v>
      </c>
      <c r="M1868" s="592"/>
      <c r="N1868" s="412"/>
      <c r="P1868" s="708" t="s">
        <v>1447</v>
      </c>
    </row>
    <row r="1869" spans="1:16" s="413" customFormat="1" ht="14">
      <c r="A1869" s="307" t="s">
        <v>8</v>
      </c>
      <c r="B1869" s="314" t="s">
        <v>690</v>
      </c>
      <c r="C1869" s="566" t="s">
        <v>10</v>
      </c>
      <c r="D1869" s="398">
        <v>1</v>
      </c>
      <c r="E1869" s="398">
        <v>1</v>
      </c>
      <c r="F1869" s="593">
        <v>22250</v>
      </c>
      <c r="G1869" s="398">
        <f t="shared" ref="G1869" si="475">D1869*$F1869</f>
        <v>22250</v>
      </c>
      <c r="H1869" s="398">
        <f t="shared" ref="H1869" si="476">E1869*$F1869</f>
        <v>22250</v>
      </c>
      <c r="I1869" s="392"/>
      <c r="J1869" s="591" t="s">
        <v>6</v>
      </c>
      <c r="K1869" s="591" t="s">
        <v>145</v>
      </c>
      <c r="L1869" s="591" t="s">
        <v>112</v>
      </c>
      <c r="M1869" s="592"/>
      <c r="N1869" s="412"/>
      <c r="P1869" s="708" t="s">
        <v>1448</v>
      </c>
    </row>
    <row r="1870" spans="1:16" s="413" customFormat="1" ht="14">
      <c r="A1870" s="307" t="s">
        <v>8</v>
      </c>
      <c r="B1870" s="314" t="s">
        <v>1343</v>
      </c>
      <c r="C1870" s="566" t="s">
        <v>9</v>
      </c>
      <c r="D1870" s="398">
        <v>1</v>
      </c>
      <c r="E1870" s="398">
        <v>0</v>
      </c>
      <c r="F1870" s="593">
        <v>22250</v>
      </c>
      <c r="G1870" s="398">
        <f t="shared" si="474"/>
        <v>22250</v>
      </c>
      <c r="H1870" s="398">
        <f t="shared" si="474"/>
        <v>0</v>
      </c>
      <c r="I1870" s="392"/>
      <c r="J1870" s="591" t="s">
        <v>6</v>
      </c>
      <c r="K1870" s="591" t="s">
        <v>145</v>
      </c>
      <c r="L1870" s="591" t="s">
        <v>112</v>
      </c>
      <c r="M1870" s="592"/>
      <c r="N1870" s="412"/>
      <c r="P1870" s="708" t="s">
        <v>1449</v>
      </c>
    </row>
    <row r="1871" spans="1:16" s="413" customFormat="1" ht="14">
      <c r="A1871" s="388" t="s">
        <v>45</v>
      </c>
      <c r="B1871" s="350" t="s">
        <v>188</v>
      </c>
      <c r="C1871" s="403"/>
      <c r="D1871" s="391"/>
      <c r="E1871" s="391"/>
      <c r="F1871" s="409"/>
      <c r="G1871" s="391">
        <f>SUBTOTAL(9,G1872:G1873)</f>
        <v>400000</v>
      </c>
      <c r="H1871" s="391">
        <f>SUBTOTAL(9,H1872:H1873)</f>
        <v>0</v>
      </c>
      <c r="I1871" s="392"/>
      <c r="J1871" s="591"/>
      <c r="K1871" s="591"/>
      <c r="L1871" s="591"/>
      <c r="M1871" s="592"/>
      <c r="N1871" s="412"/>
      <c r="P1871" s="414"/>
    </row>
    <row r="1872" spans="1:16" s="413" customFormat="1" ht="14">
      <c r="A1872" s="299" t="s">
        <v>1345</v>
      </c>
      <c r="B1872" s="300" t="s">
        <v>687</v>
      </c>
      <c r="C1872" s="301"/>
      <c r="D1872" s="391"/>
      <c r="E1872" s="391"/>
      <c r="F1872" s="409"/>
      <c r="G1872" s="391"/>
      <c r="H1872" s="398"/>
      <c r="I1872" s="392"/>
      <c r="J1872" s="591"/>
      <c r="K1872" s="591"/>
      <c r="L1872" s="591"/>
      <c r="M1872" s="592"/>
      <c r="N1872" s="412"/>
      <c r="P1872" s="414"/>
    </row>
    <row r="1873" spans="1:16" s="413" customFormat="1" ht="14">
      <c r="A1873" s="307" t="s">
        <v>8</v>
      </c>
      <c r="B1873" s="306" t="s">
        <v>1344</v>
      </c>
      <c r="C1873" s="308" t="s">
        <v>9</v>
      </c>
      <c r="D1873" s="391">
        <v>1</v>
      </c>
      <c r="E1873" s="391"/>
      <c r="F1873" s="593">
        <v>400000</v>
      </c>
      <c r="G1873" s="391">
        <f t="shared" ref="G1873:H1873" si="477">D1873*$F1873</f>
        <v>400000</v>
      </c>
      <c r="H1873" s="391">
        <f t="shared" si="477"/>
        <v>0</v>
      </c>
      <c r="I1873" s="392"/>
      <c r="J1873" s="591" t="s">
        <v>6</v>
      </c>
      <c r="K1873" s="411" t="s">
        <v>124</v>
      </c>
      <c r="L1873" s="591" t="s">
        <v>112</v>
      </c>
      <c r="M1873" s="592"/>
      <c r="N1873" s="412"/>
      <c r="P1873" s="414" t="s">
        <v>1346</v>
      </c>
    </row>
    <row r="1874" spans="1:16" s="413" customFormat="1" ht="14" outlineLevel="1">
      <c r="A1874" s="388" t="s">
        <v>12</v>
      </c>
      <c r="B1874" s="350" t="s">
        <v>56</v>
      </c>
      <c r="C1874" s="549"/>
      <c r="D1874" s="479"/>
      <c r="E1874" s="479"/>
      <c r="F1874" s="409"/>
      <c r="G1874" s="398">
        <f>SUBTOTAL(9,G1875:G2153)</f>
        <v>3005649.7849999997</v>
      </c>
      <c r="H1874" s="398">
        <f>SUBTOTAL(9,H1875:H2153)</f>
        <v>3588804.9499999997</v>
      </c>
      <c r="I1874" s="399"/>
      <c r="J1874" s="410"/>
      <c r="K1874" s="412"/>
      <c r="L1874" s="412"/>
      <c r="M1874" s="412"/>
      <c r="N1874" s="412"/>
      <c r="P1874" s="414"/>
    </row>
    <row r="1875" spans="1:16" s="604" customFormat="1" ht="14">
      <c r="A1875" s="595">
        <v>1</v>
      </c>
      <c r="B1875" s="596" t="s">
        <v>693</v>
      </c>
      <c r="C1875" s="597"/>
      <c r="D1875" s="598"/>
      <c r="E1875" s="598"/>
      <c r="F1875" s="599"/>
      <c r="G1875" s="598">
        <f>SUBTOTAL(9,G1878:G1920)</f>
        <v>1470076.4149999998</v>
      </c>
      <c r="H1875" s="598">
        <f>SUBTOTAL(9,H1878:H1920)</f>
        <v>970216.70000000007</v>
      </c>
      <c r="I1875" s="600"/>
      <c r="J1875" s="601"/>
      <c r="K1875" s="601"/>
      <c r="L1875" s="601"/>
      <c r="M1875" s="602"/>
      <c r="N1875" s="603"/>
      <c r="P1875" s="414"/>
    </row>
    <row r="1876" spans="1:16" s="413" customFormat="1" ht="14">
      <c r="A1876" s="595">
        <v>1.1000000000000001</v>
      </c>
      <c r="B1876" s="596" t="s">
        <v>694</v>
      </c>
      <c r="C1876" s="597"/>
      <c r="D1876" s="598"/>
      <c r="E1876" s="598"/>
      <c r="F1876" s="599"/>
      <c r="G1876" s="598">
        <f>SUBTOTAL(9,G1877:G1898)</f>
        <v>78852.579999999987</v>
      </c>
      <c r="H1876" s="598">
        <f>SUBTOTAL(9,H1877:H1898)</f>
        <v>19487.02</v>
      </c>
      <c r="I1876" s="600"/>
      <c r="J1876" s="601"/>
      <c r="K1876" s="601"/>
      <c r="L1876" s="601"/>
      <c r="M1876" s="602"/>
      <c r="N1876" s="412"/>
      <c r="P1876" s="414"/>
    </row>
    <row r="1877" spans="1:16" s="425" customFormat="1" ht="14">
      <c r="A1877" s="316" t="s">
        <v>695</v>
      </c>
      <c r="B1877" s="317" t="s">
        <v>696</v>
      </c>
      <c r="C1877" s="318"/>
      <c r="D1877" s="605"/>
      <c r="E1877" s="605"/>
      <c r="F1877" s="606"/>
      <c r="G1877" s="402"/>
      <c r="H1877" s="402"/>
      <c r="I1877" s="428"/>
      <c r="J1877" s="607"/>
      <c r="K1877" s="607"/>
      <c r="L1877" s="607"/>
      <c r="M1877" s="608"/>
      <c r="N1877" s="424"/>
      <c r="P1877" s="414"/>
    </row>
    <row r="1878" spans="1:16" s="425" customFormat="1" ht="14">
      <c r="A1878" s="319" t="s">
        <v>8</v>
      </c>
      <c r="B1878" s="314" t="s">
        <v>697</v>
      </c>
      <c r="C1878" s="320" t="s">
        <v>150</v>
      </c>
      <c r="D1878" s="402">
        <v>35</v>
      </c>
      <c r="E1878" s="402">
        <v>10</v>
      </c>
      <c r="F1878" s="609">
        <v>495.5</v>
      </c>
      <c r="G1878" s="398">
        <f t="shared" ref="G1878:H1879" si="478">D1878*$F1878</f>
        <v>17342.5</v>
      </c>
      <c r="H1878" s="398">
        <f t="shared" si="478"/>
        <v>4955</v>
      </c>
      <c r="I1878" s="428"/>
      <c r="J1878" s="607" t="s">
        <v>6</v>
      </c>
      <c r="K1878" s="607" t="s">
        <v>127</v>
      </c>
      <c r="L1878" s="607" t="s">
        <v>112</v>
      </c>
      <c r="M1878" s="608"/>
      <c r="N1878" s="424"/>
      <c r="P1878" s="414"/>
    </row>
    <row r="1879" spans="1:16" s="425" customFormat="1" ht="14">
      <c r="A1879" s="319" t="s">
        <v>8</v>
      </c>
      <c r="B1879" s="314" t="s">
        <v>698</v>
      </c>
      <c r="C1879" s="320" t="s">
        <v>31</v>
      </c>
      <c r="D1879" s="402">
        <v>6</v>
      </c>
      <c r="E1879" s="402">
        <v>1</v>
      </c>
      <c r="F1879" s="609">
        <v>756</v>
      </c>
      <c r="G1879" s="398">
        <f t="shared" si="478"/>
        <v>4536</v>
      </c>
      <c r="H1879" s="398">
        <f t="shared" si="478"/>
        <v>756</v>
      </c>
      <c r="I1879" s="428"/>
      <c r="J1879" s="607" t="s">
        <v>6</v>
      </c>
      <c r="K1879" s="607" t="s">
        <v>127</v>
      </c>
      <c r="L1879" s="607" t="s">
        <v>112</v>
      </c>
      <c r="M1879" s="608"/>
      <c r="N1879" s="424"/>
      <c r="P1879" s="414"/>
    </row>
    <row r="1880" spans="1:16" s="425" customFormat="1" ht="14">
      <c r="A1880" s="316" t="s">
        <v>699</v>
      </c>
      <c r="B1880" s="317" t="s">
        <v>700</v>
      </c>
      <c r="C1880" s="318"/>
      <c r="D1880" s="402"/>
      <c r="E1880" s="402"/>
      <c r="F1880" s="606"/>
      <c r="G1880" s="402"/>
      <c r="H1880" s="402"/>
      <c r="I1880" s="428"/>
      <c r="J1880" s="607"/>
      <c r="K1880" s="607"/>
      <c r="L1880" s="607"/>
      <c r="M1880" s="608"/>
      <c r="N1880" s="424"/>
      <c r="P1880" s="414"/>
    </row>
    <row r="1881" spans="1:16" s="425" customFormat="1" ht="14">
      <c r="A1881" s="319" t="s">
        <v>8</v>
      </c>
      <c r="B1881" s="314" t="s">
        <v>701</v>
      </c>
      <c r="C1881" s="320" t="s">
        <v>832</v>
      </c>
      <c r="D1881" s="402">
        <v>6</v>
      </c>
      <c r="E1881" s="402"/>
      <c r="F1881" s="609">
        <v>5420</v>
      </c>
      <c r="G1881" s="398">
        <f t="shared" ref="G1881:H1881" si="479">D1881*$F1881</f>
        <v>32520</v>
      </c>
      <c r="H1881" s="398">
        <f t="shared" si="479"/>
        <v>0</v>
      </c>
      <c r="I1881" s="428"/>
      <c r="J1881" s="607" t="s">
        <v>6</v>
      </c>
      <c r="K1881" s="607" t="s">
        <v>127</v>
      </c>
      <c r="L1881" s="607" t="s">
        <v>112</v>
      </c>
      <c r="M1881" s="608"/>
      <c r="N1881" s="424"/>
      <c r="P1881" s="414"/>
    </row>
    <row r="1882" spans="1:16" s="425" customFormat="1" ht="14">
      <c r="A1882" s="319" t="s">
        <v>8</v>
      </c>
      <c r="B1882" s="314" t="s">
        <v>1348</v>
      </c>
      <c r="C1882" s="320" t="s">
        <v>832</v>
      </c>
      <c r="D1882" s="402"/>
      <c r="E1882" s="402">
        <v>1</v>
      </c>
      <c r="F1882" s="609">
        <v>9350</v>
      </c>
      <c r="G1882" s="398">
        <f t="shared" ref="G1882" si="480">D1882*$F1882</f>
        <v>0</v>
      </c>
      <c r="H1882" s="398">
        <f t="shared" ref="H1882" si="481">E1882*$F1882</f>
        <v>9350</v>
      </c>
      <c r="I1882" s="428"/>
      <c r="J1882" s="607" t="s">
        <v>6</v>
      </c>
      <c r="K1882" s="607" t="s">
        <v>127</v>
      </c>
      <c r="L1882" s="607" t="s">
        <v>112</v>
      </c>
      <c r="M1882" s="608"/>
      <c r="N1882" s="424"/>
      <c r="P1882" s="414"/>
    </row>
    <row r="1883" spans="1:16" s="425" customFormat="1" ht="14">
      <c r="A1883" s="316" t="s">
        <v>702</v>
      </c>
      <c r="B1883" s="317" t="s">
        <v>703</v>
      </c>
      <c r="C1883" s="318"/>
      <c r="D1883" s="402"/>
      <c r="E1883" s="402"/>
      <c r="F1883" s="606"/>
      <c r="G1883" s="402"/>
      <c r="H1883" s="402"/>
      <c r="I1883" s="428"/>
      <c r="J1883" s="607"/>
      <c r="K1883" s="607"/>
      <c r="L1883" s="607"/>
      <c r="M1883" s="608"/>
      <c r="N1883" s="424"/>
      <c r="P1883" s="414"/>
    </row>
    <row r="1884" spans="1:16" s="425" customFormat="1" ht="14">
      <c r="A1884" s="319" t="s">
        <v>8</v>
      </c>
      <c r="B1884" s="314" t="s">
        <v>704</v>
      </c>
      <c r="C1884" s="320" t="s">
        <v>24</v>
      </c>
      <c r="D1884" s="402">
        <v>6</v>
      </c>
      <c r="E1884" s="402">
        <v>1</v>
      </c>
      <c r="F1884" s="609">
        <v>781</v>
      </c>
      <c r="G1884" s="398">
        <f t="shared" ref="G1884:H1884" si="482">D1884*$F1884</f>
        <v>4686</v>
      </c>
      <c r="H1884" s="398">
        <f t="shared" si="482"/>
        <v>781</v>
      </c>
      <c r="I1884" s="428"/>
      <c r="J1884" s="607" t="s">
        <v>6</v>
      </c>
      <c r="K1884" s="607" t="s">
        <v>127</v>
      </c>
      <c r="L1884" s="607" t="s">
        <v>112</v>
      </c>
      <c r="M1884" s="608"/>
      <c r="N1884" s="424"/>
      <c r="P1884" s="414"/>
    </row>
    <row r="1885" spans="1:16" s="425" customFormat="1" ht="14">
      <c r="A1885" s="316" t="s">
        <v>705</v>
      </c>
      <c r="B1885" s="317" t="s">
        <v>706</v>
      </c>
      <c r="C1885" s="318"/>
      <c r="D1885" s="402"/>
      <c r="E1885" s="402"/>
      <c r="F1885" s="606"/>
      <c r="G1885" s="402"/>
      <c r="H1885" s="402"/>
      <c r="I1885" s="428"/>
      <c r="J1885" s="607"/>
      <c r="K1885" s="607"/>
      <c r="L1885" s="607"/>
      <c r="M1885" s="608"/>
      <c r="N1885" s="424"/>
      <c r="P1885" s="414"/>
    </row>
    <row r="1886" spans="1:16" s="425" customFormat="1" ht="14">
      <c r="A1886" s="316" t="s">
        <v>707</v>
      </c>
      <c r="B1886" s="317" t="s">
        <v>708</v>
      </c>
      <c r="C1886" s="318"/>
      <c r="D1886" s="402"/>
      <c r="E1886" s="402"/>
      <c r="F1886" s="606"/>
      <c r="G1886" s="402"/>
      <c r="H1886" s="402"/>
      <c r="I1886" s="428"/>
      <c r="J1886" s="607"/>
      <c r="K1886" s="607"/>
      <c r="L1886" s="607"/>
      <c r="M1886" s="608"/>
      <c r="N1886" s="424"/>
      <c r="P1886" s="414"/>
    </row>
    <row r="1887" spans="1:16" s="425" customFormat="1" ht="14">
      <c r="A1887" s="319" t="s">
        <v>8</v>
      </c>
      <c r="B1887" s="314" t="s">
        <v>709</v>
      </c>
      <c r="C1887" s="320" t="s">
        <v>31</v>
      </c>
      <c r="D1887" s="402">
        <v>6</v>
      </c>
      <c r="E1887" s="402">
        <v>1</v>
      </c>
      <c r="F1887" s="609">
        <v>1437.67</v>
      </c>
      <c r="G1887" s="398">
        <f t="shared" ref="G1887:H1889" si="483">D1887*$F1887</f>
        <v>8626.02</v>
      </c>
      <c r="H1887" s="398">
        <f t="shared" si="483"/>
        <v>1437.67</v>
      </c>
      <c r="I1887" s="428"/>
      <c r="J1887" s="607" t="s">
        <v>6</v>
      </c>
      <c r="K1887" s="607" t="s">
        <v>127</v>
      </c>
      <c r="L1887" s="607" t="s">
        <v>112</v>
      </c>
      <c r="M1887" s="608"/>
      <c r="N1887" s="424"/>
      <c r="P1887" s="414"/>
    </row>
    <row r="1888" spans="1:16" s="425" customFormat="1" ht="14">
      <c r="A1888" s="319" t="s">
        <v>8</v>
      </c>
      <c r="B1888" s="314" t="s">
        <v>710</v>
      </c>
      <c r="C1888" s="320" t="s">
        <v>15</v>
      </c>
      <c r="D1888" s="402">
        <v>18</v>
      </c>
      <c r="E1888" s="402">
        <v>6</v>
      </c>
      <c r="F1888" s="609">
        <v>116.78</v>
      </c>
      <c r="G1888" s="398">
        <f t="shared" si="483"/>
        <v>2102.04</v>
      </c>
      <c r="H1888" s="398">
        <f t="shared" si="483"/>
        <v>700.68000000000006</v>
      </c>
      <c r="I1888" s="428"/>
      <c r="J1888" s="607" t="s">
        <v>6</v>
      </c>
      <c r="K1888" s="607" t="s">
        <v>127</v>
      </c>
      <c r="L1888" s="607" t="s">
        <v>112</v>
      </c>
      <c r="M1888" s="608"/>
      <c r="N1888" s="424"/>
      <c r="P1888" s="414"/>
    </row>
    <row r="1889" spans="1:16" s="425" customFormat="1" ht="14">
      <c r="A1889" s="319" t="s">
        <v>8</v>
      </c>
      <c r="B1889" s="314" t="s">
        <v>711</v>
      </c>
      <c r="C1889" s="320" t="s">
        <v>15</v>
      </c>
      <c r="D1889" s="402"/>
      <c r="E1889" s="402"/>
      <c r="F1889" s="610"/>
      <c r="G1889" s="398">
        <f t="shared" si="483"/>
        <v>0</v>
      </c>
      <c r="H1889" s="398">
        <f t="shared" si="483"/>
        <v>0</v>
      </c>
      <c r="I1889" s="428"/>
      <c r="J1889" s="607" t="s">
        <v>6</v>
      </c>
      <c r="K1889" s="607" t="s">
        <v>127</v>
      </c>
      <c r="L1889" s="607" t="s">
        <v>112</v>
      </c>
      <c r="M1889" s="608"/>
      <c r="N1889" s="424"/>
      <c r="P1889" s="414"/>
    </row>
    <row r="1890" spans="1:16" s="425" customFormat="1" ht="14">
      <c r="A1890" s="316" t="s">
        <v>712</v>
      </c>
      <c r="B1890" s="317" t="s">
        <v>713</v>
      </c>
      <c r="C1890" s="318"/>
      <c r="D1890" s="402"/>
      <c r="E1890" s="402"/>
      <c r="F1890" s="606"/>
      <c r="G1890" s="402"/>
      <c r="H1890" s="402"/>
      <c r="I1890" s="428"/>
      <c r="J1890" s="607"/>
      <c r="K1890" s="607"/>
      <c r="L1890" s="607"/>
      <c r="M1890" s="608"/>
      <c r="N1890" s="424"/>
      <c r="P1890" s="414"/>
    </row>
    <row r="1891" spans="1:16" s="425" customFormat="1" ht="14">
      <c r="A1891" s="319" t="s">
        <v>8</v>
      </c>
      <c r="B1891" s="314" t="s">
        <v>714</v>
      </c>
      <c r="C1891" s="320" t="s">
        <v>10</v>
      </c>
      <c r="D1891" s="402"/>
      <c r="E1891" s="402"/>
      <c r="F1891" s="611"/>
      <c r="G1891" s="398">
        <f t="shared" ref="G1891:H1892" si="484">D1891*$F1891</f>
        <v>0</v>
      </c>
      <c r="H1891" s="398">
        <f t="shared" si="484"/>
        <v>0</v>
      </c>
      <c r="I1891" s="428"/>
      <c r="J1891" s="607" t="s">
        <v>6</v>
      </c>
      <c r="K1891" s="607" t="s">
        <v>127</v>
      </c>
      <c r="L1891" s="607" t="s">
        <v>112</v>
      </c>
      <c r="M1891" s="608"/>
      <c r="N1891" s="424"/>
      <c r="P1891" s="414"/>
    </row>
    <row r="1892" spans="1:16" s="425" customFormat="1" ht="14">
      <c r="A1892" s="319" t="s">
        <v>8</v>
      </c>
      <c r="B1892" s="314" t="s">
        <v>715</v>
      </c>
      <c r="C1892" s="320" t="s">
        <v>10</v>
      </c>
      <c r="D1892" s="402"/>
      <c r="E1892" s="402"/>
      <c r="F1892" s="611"/>
      <c r="G1892" s="398">
        <f t="shared" si="484"/>
        <v>0</v>
      </c>
      <c r="H1892" s="398">
        <f t="shared" si="484"/>
        <v>0</v>
      </c>
      <c r="I1892" s="428"/>
      <c r="J1892" s="607" t="s">
        <v>6</v>
      </c>
      <c r="K1892" s="607" t="s">
        <v>127</v>
      </c>
      <c r="L1892" s="607" t="s">
        <v>112</v>
      </c>
      <c r="M1892" s="608"/>
      <c r="N1892" s="424"/>
      <c r="P1892" s="414"/>
    </row>
    <row r="1893" spans="1:16" s="425" customFormat="1" ht="14">
      <c r="A1893" s="316" t="s">
        <v>716</v>
      </c>
      <c r="B1893" s="317" t="s">
        <v>717</v>
      </c>
      <c r="C1893" s="318"/>
      <c r="D1893" s="402"/>
      <c r="E1893" s="402"/>
      <c r="F1893" s="606"/>
      <c r="G1893" s="402"/>
      <c r="H1893" s="402"/>
      <c r="I1893" s="428"/>
      <c r="J1893" s="607"/>
      <c r="K1893" s="607"/>
      <c r="L1893" s="607"/>
      <c r="M1893" s="608"/>
      <c r="N1893" s="424"/>
      <c r="P1893" s="414"/>
    </row>
    <row r="1894" spans="1:16" s="425" customFormat="1" ht="14">
      <c r="A1894" s="319" t="s">
        <v>8</v>
      </c>
      <c r="B1894" s="314" t="s">
        <v>718</v>
      </c>
      <c r="C1894" s="320" t="s">
        <v>15</v>
      </c>
      <c r="D1894" s="402">
        <v>6</v>
      </c>
      <c r="E1894" s="402">
        <v>1</v>
      </c>
      <c r="F1894" s="609">
        <v>6.27</v>
      </c>
      <c r="G1894" s="398">
        <f t="shared" ref="G1894:H1897" si="485">D1894*$F1894</f>
        <v>37.619999999999997</v>
      </c>
      <c r="H1894" s="398">
        <f t="shared" si="485"/>
        <v>6.27</v>
      </c>
      <c r="I1894" s="428"/>
      <c r="J1894" s="607" t="s">
        <v>6</v>
      </c>
      <c r="K1894" s="607" t="s">
        <v>127</v>
      </c>
      <c r="L1894" s="607" t="s">
        <v>112</v>
      </c>
      <c r="M1894" s="608"/>
      <c r="N1894" s="424"/>
      <c r="P1894" s="414"/>
    </row>
    <row r="1895" spans="1:16" s="425" customFormat="1" ht="14">
      <c r="A1895" s="319" t="s">
        <v>8</v>
      </c>
      <c r="B1895" s="314" t="s">
        <v>719</v>
      </c>
      <c r="C1895" s="320" t="s">
        <v>15</v>
      </c>
      <c r="D1895" s="402">
        <v>6</v>
      </c>
      <c r="E1895" s="402">
        <v>1</v>
      </c>
      <c r="F1895" s="609">
        <v>147</v>
      </c>
      <c r="G1895" s="398">
        <f t="shared" si="485"/>
        <v>882</v>
      </c>
      <c r="H1895" s="398">
        <f t="shared" si="485"/>
        <v>147</v>
      </c>
      <c r="I1895" s="428"/>
      <c r="J1895" s="607" t="s">
        <v>6</v>
      </c>
      <c r="K1895" s="607" t="s">
        <v>127</v>
      </c>
      <c r="L1895" s="607" t="s">
        <v>112</v>
      </c>
      <c r="M1895" s="608"/>
      <c r="N1895" s="424"/>
      <c r="P1895" s="414"/>
    </row>
    <row r="1896" spans="1:16" s="425" customFormat="1" ht="14">
      <c r="A1896" s="302" t="s">
        <v>8</v>
      </c>
      <c r="B1896" s="303" t="s">
        <v>720</v>
      </c>
      <c r="C1896" s="304" t="s">
        <v>15</v>
      </c>
      <c r="D1896" s="402">
        <v>6</v>
      </c>
      <c r="E1896" s="402">
        <v>1</v>
      </c>
      <c r="F1896" s="303">
        <v>10.5</v>
      </c>
      <c r="G1896" s="398">
        <f t="shared" si="485"/>
        <v>63</v>
      </c>
      <c r="H1896" s="398">
        <f t="shared" si="485"/>
        <v>10.5</v>
      </c>
      <c r="I1896" s="428"/>
      <c r="J1896" s="607" t="s">
        <v>6</v>
      </c>
      <c r="K1896" s="607" t="s">
        <v>127</v>
      </c>
      <c r="L1896" s="607" t="s">
        <v>112</v>
      </c>
      <c r="M1896" s="608"/>
      <c r="N1896" s="424"/>
      <c r="P1896" s="414"/>
    </row>
    <row r="1897" spans="1:16" s="425" customFormat="1" ht="14">
      <c r="A1897" s="302" t="s">
        <v>8</v>
      </c>
      <c r="B1897" s="303" t="s">
        <v>721</v>
      </c>
      <c r="C1897" s="304" t="s">
        <v>15</v>
      </c>
      <c r="D1897" s="402">
        <v>6</v>
      </c>
      <c r="E1897" s="402">
        <v>1</v>
      </c>
      <c r="F1897" s="303">
        <v>2.9</v>
      </c>
      <c r="G1897" s="398">
        <f t="shared" si="485"/>
        <v>17.399999999999999</v>
      </c>
      <c r="H1897" s="398">
        <f t="shared" si="485"/>
        <v>2.9</v>
      </c>
      <c r="I1897" s="428"/>
      <c r="J1897" s="607" t="s">
        <v>6</v>
      </c>
      <c r="K1897" s="607" t="s">
        <v>127</v>
      </c>
      <c r="L1897" s="607" t="s">
        <v>112</v>
      </c>
      <c r="M1897" s="608"/>
      <c r="N1897" s="424"/>
      <c r="P1897" s="414"/>
    </row>
    <row r="1898" spans="1:16" s="425" customFormat="1" ht="14">
      <c r="A1898" s="316" t="s">
        <v>1349</v>
      </c>
      <c r="B1898" s="317" t="s">
        <v>1350</v>
      </c>
      <c r="C1898" s="318" t="s">
        <v>40</v>
      </c>
      <c r="D1898" s="402">
        <v>6</v>
      </c>
      <c r="E1898" s="402">
        <v>1</v>
      </c>
      <c r="F1898" s="606">
        <v>1340</v>
      </c>
      <c r="G1898" s="398">
        <f t="shared" ref="G1898" si="486">D1898*$F1898</f>
        <v>8040</v>
      </c>
      <c r="H1898" s="398">
        <f t="shared" ref="H1898" si="487">E1898*$F1898</f>
        <v>1340</v>
      </c>
      <c r="I1898" s="428"/>
      <c r="J1898" s="607" t="s">
        <v>6</v>
      </c>
      <c r="K1898" s="607" t="s">
        <v>127</v>
      </c>
      <c r="L1898" s="607" t="s">
        <v>112</v>
      </c>
      <c r="M1898" s="608"/>
      <c r="N1898" s="424"/>
      <c r="P1898" s="414"/>
    </row>
    <row r="1899" spans="1:16" s="604" customFormat="1" ht="14">
      <c r="A1899" s="321" t="s">
        <v>655</v>
      </c>
      <c r="B1899" s="322" t="s">
        <v>722</v>
      </c>
      <c r="C1899" s="323"/>
      <c r="D1899" s="598"/>
      <c r="E1899" s="598"/>
      <c r="F1899" s="599"/>
      <c r="G1899" s="598">
        <f>SUBTOTAL(9,G1900:G1920)</f>
        <v>1391223.835</v>
      </c>
      <c r="H1899" s="598">
        <f>SUBTOTAL(9,H1900:H1920)</f>
        <v>950729.68</v>
      </c>
      <c r="I1899" s="600"/>
      <c r="J1899" s="601"/>
      <c r="K1899" s="601"/>
      <c r="L1899" s="601"/>
      <c r="M1899" s="602"/>
      <c r="N1899" s="603"/>
      <c r="P1899" s="414"/>
    </row>
    <row r="1900" spans="1:16" s="425" customFormat="1" ht="14">
      <c r="A1900" s="316" t="s">
        <v>723</v>
      </c>
      <c r="B1900" s="317" t="s">
        <v>696</v>
      </c>
      <c r="C1900" s="318"/>
      <c r="D1900" s="605"/>
      <c r="E1900" s="605"/>
      <c r="F1900" s="606"/>
      <c r="G1900" s="402"/>
      <c r="H1900" s="402"/>
      <c r="I1900" s="428"/>
      <c r="J1900" s="607"/>
      <c r="K1900" s="607"/>
      <c r="L1900" s="607"/>
      <c r="M1900" s="608"/>
      <c r="N1900" s="424"/>
      <c r="P1900" s="414"/>
    </row>
    <row r="1901" spans="1:16" s="425" customFormat="1" ht="14">
      <c r="A1901" s="319" t="s">
        <v>8</v>
      </c>
      <c r="B1901" s="314" t="s">
        <v>697</v>
      </c>
      <c r="C1901" s="320" t="s">
        <v>150</v>
      </c>
      <c r="D1901" s="402">
        <v>887</v>
      </c>
      <c r="E1901" s="402">
        <v>410</v>
      </c>
      <c r="F1901" s="609">
        <v>495.5</v>
      </c>
      <c r="G1901" s="398">
        <f t="shared" ref="G1901:H1902" si="488">D1901*$F1901</f>
        <v>439508.5</v>
      </c>
      <c r="H1901" s="398">
        <f t="shared" si="488"/>
        <v>203155</v>
      </c>
      <c r="I1901" s="428"/>
      <c r="J1901" s="607" t="s">
        <v>6</v>
      </c>
      <c r="K1901" s="607" t="s">
        <v>127</v>
      </c>
      <c r="L1901" s="607" t="s">
        <v>112</v>
      </c>
      <c r="M1901" s="608"/>
      <c r="N1901" s="424"/>
      <c r="P1901" s="414"/>
    </row>
    <row r="1902" spans="1:16" s="425" customFormat="1" ht="14">
      <c r="A1902" s="319" t="s">
        <v>8</v>
      </c>
      <c r="B1902" s="314" t="s">
        <v>698</v>
      </c>
      <c r="C1902" s="320" t="s">
        <v>31</v>
      </c>
      <c r="D1902" s="402">
        <v>102</v>
      </c>
      <c r="E1902" s="402">
        <v>64</v>
      </c>
      <c r="F1902" s="609">
        <v>756</v>
      </c>
      <c r="G1902" s="398">
        <f t="shared" si="488"/>
        <v>77112</v>
      </c>
      <c r="H1902" s="398">
        <f t="shared" si="488"/>
        <v>48384</v>
      </c>
      <c r="I1902" s="428"/>
      <c r="J1902" s="607" t="s">
        <v>6</v>
      </c>
      <c r="K1902" s="607" t="s">
        <v>127</v>
      </c>
      <c r="L1902" s="607" t="s">
        <v>112</v>
      </c>
      <c r="M1902" s="608"/>
      <c r="N1902" s="424"/>
      <c r="P1902" s="414"/>
    </row>
    <row r="1903" spans="1:16" s="425" customFormat="1" ht="14">
      <c r="A1903" s="316" t="s">
        <v>724</v>
      </c>
      <c r="B1903" s="317" t="s">
        <v>700</v>
      </c>
      <c r="C1903" s="318"/>
      <c r="D1903" s="605"/>
      <c r="E1903" s="605"/>
      <c r="F1903" s="606"/>
      <c r="G1903" s="402"/>
      <c r="H1903" s="402"/>
      <c r="I1903" s="428"/>
      <c r="J1903" s="607"/>
      <c r="K1903" s="607"/>
      <c r="L1903" s="607"/>
      <c r="M1903" s="608"/>
      <c r="N1903" s="424"/>
      <c r="P1903" s="414"/>
    </row>
    <row r="1904" spans="1:16" s="425" customFormat="1" ht="14">
      <c r="A1904" s="319" t="s">
        <v>8</v>
      </c>
      <c r="B1904" s="314" t="s">
        <v>701</v>
      </c>
      <c r="C1904" s="320" t="s">
        <v>15</v>
      </c>
      <c r="D1904" s="402">
        <v>51</v>
      </c>
      <c r="E1904" s="402">
        <v>6</v>
      </c>
      <c r="F1904" s="609">
        <v>5420</v>
      </c>
      <c r="G1904" s="398">
        <f t="shared" ref="G1904:H1905" si="489">D1904*$F1904</f>
        <v>276420</v>
      </c>
      <c r="H1904" s="398">
        <f t="shared" si="489"/>
        <v>32520</v>
      </c>
      <c r="I1904" s="428"/>
      <c r="J1904" s="607" t="s">
        <v>6</v>
      </c>
      <c r="K1904" s="607" t="s">
        <v>127</v>
      </c>
      <c r="L1904" s="607" t="s">
        <v>112</v>
      </c>
      <c r="M1904" s="608"/>
      <c r="N1904" s="424"/>
      <c r="P1904" s="414"/>
    </row>
    <row r="1905" spans="1:16" s="425" customFormat="1" ht="14">
      <c r="A1905" s="319" t="s">
        <v>8</v>
      </c>
      <c r="B1905" s="314" t="s">
        <v>1348</v>
      </c>
      <c r="C1905" s="320" t="s">
        <v>832</v>
      </c>
      <c r="D1905" s="402">
        <v>0</v>
      </c>
      <c r="E1905" s="402">
        <v>26</v>
      </c>
      <c r="F1905" s="609">
        <v>9350</v>
      </c>
      <c r="G1905" s="398">
        <f t="shared" si="489"/>
        <v>0</v>
      </c>
      <c r="H1905" s="398">
        <f t="shared" si="489"/>
        <v>243100</v>
      </c>
      <c r="I1905" s="428"/>
      <c r="J1905" s="607" t="s">
        <v>6</v>
      </c>
      <c r="K1905" s="607" t="s">
        <v>127</v>
      </c>
      <c r="L1905" s="607" t="s">
        <v>112</v>
      </c>
      <c r="M1905" s="608"/>
      <c r="N1905" s="424"/>
      <c r="P1905" s="414"/>
    </row>
    <row r="1906" spans="1:16" s="425" customFormat="1" ht="14">
      <c r="A1906" s="316" t="s">
        <v>725</v>
      </c>
      <c r="B1906" s="317" t="s">
        <v>706</v>
      </c>
      <c r="C1906" s="318"/>
      <c r="D1906" s="402"/>
      <c r="E1906" s="402"/>
      <c r="F1906" s="606"/>
      <c r="G1906" s="402"/>
      <c r="H1906" s="402"/>
      <c r="I1906" s="428"/>
      <c r="J1906" s="607"/>
      <c r="K1906" s="607"/>
      <c r="L1906" s="607"/>
      <c r="M1906" s="608"/>
      <c r="N1906" s="424"/>
      <c r="P1906" s="414"/>
    </row>
    <row r="1907" spans="1:16" s="425" customFormat="1" ht="14">
      <c r="A1907" s="316" t="s">
        <v>726</v>
      </c>
      <c r="B1907" s="317" t="s">
        <v>708</v>
      </c>
      <c r="C1907" s="318"/>
      <c r="D1907" s="402"/>
      <c r="E1907" s="402"/>
      <c r="F1907" s="606"/>
      <c r="G1907" s="402"/>
      <c r="H1907" s="402"/>
      <c r="I1907" s="428"/>
      <c r="J1907" s="607"/>
      <c r="K1907" s="607"/>
      <c r="L1907" s="607"/>
      <c r="M1907" s="608"/>
      <c r="N1907" s="424"/>
      <c r="P1907" s="414"/>
    </row>
    <row r="1908" spans="1:16" s="425" customFormat="1" ht="14">
      <c r="A1908" s="319" t="s">
        <v>8</v>
      </c>
      <c r="B1908" s="314" t="s">
        <v>709</v>
      </c>
      <c r="C1908" s="320" t="s">
        <v>31</v>
      </c>
      <c r="D1908" s="402">
        <v>51</v>
      </c>
      <c r="E1908" s="402">
        <v>58</v>
      </c>
      <c r="F1908" s="609">
        <v>1437.67</v>
      </c>
      <c r="G1908" s="398">
        <f t="shared" ref="G1908:H1910" si="490">D1908*$F1908</f>
        <v>73321.17</v>
      </c>
      <c r="H1908" s="398">
        <f t="shared" si="490"/>
        <v>83384.86</v>
      </c>
      <c r="I1908" s="428"/>
      <c r="J1908" s="607" t="s">
        <v>6</v>
      </c>
      <c r="K1908" s="607" t="s">
        <v>127</v>
      </c>
      <c r="L1908" s="607" t="s">
        <v>112</v>
      </c>
      <c r="M1908" s="608"/>
      <c r="N1908" s="424"/>
      <c r="P1908" s="414"/>
    </row>
    <row r="1909" spans="1:16" s="425" customFormat="1" ht="14">
      <c r="A1909" s="319" t="s">
        <v>8</v>
      </c>
      <c r="B1909" s="314" t="s">
        <v>710</v>
      </c>
      <c r="C1909" s="320" t="s">
        <v>15</v>
      </c>
      <c r="D1909" s="402">
        <v>153</v>
      </c>
      <c r="E1909" s="402">
        <v>189</v>
      </c>
      <c r="F1909" s="609">
        <v>116.78</v>
      </c>
      <c r="G1909" s="398">
        <f t="shared" si="490"/>
        <v>17867.34</v>
      </c>
      <c r="H1909" s="398">
        <f t="shared" si="490"/>
        <v>22071.420000000002</v>
      </c>
      <c r="I1909" s="428"/>
      <c r="J1909" s="607" t="s">
        <v>6</v>
      </c>
      <c r="K1909" s="607" t="s">
        <v>127</v>
      </c>
      <c r="L1909" s="607" t="s">
        <v>112</v>
      </c>
      <c r="M1909" s="608"/>
      <c r="N1909" s="424"/>
      <c r="P1909" s="414"/>
    </row>
    <row r="1910" spans="1:16" s="425" customFormat="1" ht="14">
      <c r="A1910" s="319" t="s">
        <v>8</v>
      </c>
      <c r="B1910" s="314" t="s">
        <v>1351</v>
      </c>
      <c r="C1910" s="320" t="s">
        <v>15</v>
      </c>
      <c r="D1910" s="402">
        <v>255</v>
      </c>
      <c r="E1910" s="402">
        <v>160</v>
      </c>
      <c r="F1910" s="610">
        <v>248.47</v>
      </c>
      <c r="G1910" s="398">
        <f t="shared" si="490"/>
        <v>63359.85</v>
      </c>
      <c r="H1910" s="398">
        <f t="shared" si="490"/>
        <v>39755.199999999997</v>
      </c>
      <c r="I1910" s="428"/>
      <c r="J1910" s="607" t="s">
        <v>6</v>
      </c>
      <c r="K1910" s="607" t="s">
        <v>127</v>
      </c>
      <c r="L1910" s="607" t="s">
        <v>112</v>
      </c>
      <c r="M1910" s="608"/>
      <c r="N1910" s="424"/>
      <c r="P1910" s="414"/>
    </row>
    <row r="1911" spans="1:16" s="425" customFormat="1" ht="14">
      <c r="A1911" s="316" t="s">
        <v>727</v>
      </c>
      <c r="B1911" s="317" t="s">
        <v>713</v>
      </c>
      <c r="C1911" s="318"/>
      <c r="D1911" s="402"/>
      <c r="E1911" s="402"/>
      <c r="F1911" s="606"/>
      <c r="G1911" s="402"/>
      <c r="H1911" s="402"/>
      <c r="I1911" s="428"/>
      <c r="J1911" s="607"/>
      <c r="K1911" s="607"/>
      <c r="L1911" s="607"/>
      <c r="M1911" s="608"/>
      <c r="N1911" s="424"/>
      <c r="P1911" s="414"/>
    </row>
    <row r="1912" spans="1:16" s="425" customFormat="1" ht="14">
      <c r="A1912" s="319" t="s">
        <v>8</v>
      </c>
      <c r="B1912" s="314" t="s">
        <v>1352</v>
      </c>
      <c r="C1912" s="320" t="s">
        <v>10</v>
      </c>
      <c r="D1912" s="402"/>
      <c r="E1912" s="402"/>
      <c r="F1912" s="611">
        <v>4854.03</v>
      </c>
      <c r="G1912" s="398">
        <f t="shared" ref="G1912:H1915" si="491">D1912*$F1912</f>
        <v>0</v>
      </c>
      <c r="H1912" s="398">
        <f t="shared" si="491"/>
        <v>0</v>
      </c>
      <c r="I1912" s="428"/>
      <c r="J1912" s="607" t="s">
        <v>6</v>
      </c>
      <c r="K1912" s="607" t="s">
        <v>127</v>
      </c>
      <c r="L1912" s="607" t="s">
        <v>112</v>
      </c>
      <c r="M1912" s="608"/>
      <c r="N1912" s="424"/>
      <c r="P1912" s="414"/>
    </row>
    <row r="1913" spans="1:16" s="425" customFormat="1" ht="14">
      <c r="A1913" s="319" t="s">
        <v>8</v>
      </c>
      <c r="B1913" s="314" t="s">
        <v>1353</v>
      </c>
      <c r="C1913" s="320" t="s">
        <v>10</v>
      </c>
      <c r="D1913" s="402"/>
      <c r="E1913" s="402"/>
      <c r="F1913" s="611">
        <v>6184.6900000000005</v>
      </c>
      <c r="G1913" s="398">
        <f t="shared" si="491"/>
        <v>0</v>
      </c>
      <c r="H1913" s="398">
        <f t="shared" si="491"/>
        <v>0</v>
      </c>
      <c r="I1913" s="428"/>
      <c r="J1913" s="607" t="s">
        <v>6</v>
      </c>
      <c r="K1913" s="607" t="s">
        <v>127</v>
      </c>
      <c r="L1913" s="607" t="s">
        <v>112</v>
      </c>
      <c r="M1913" s="608"/>
      <c r="N1913" s="424"/>
      <c r="P1913" s="414"/>
    </row>
    <row r="1914" spans="1:16" s="425" customFormat="1" ht="14">
      <c r="A1914" s="319" t="s">
        <v>8</v>
      </c>
      <c r="B1914" s="314" t="s">
        <v>1354</v>
      </c>
      <c r="C1914" s="320" t="s">
        <v>10</v>
      </c>
      <c r="D1914" s="402"/>
      <c r="E1914" s="402"/>
      <c r="F1914" s="611">
        <v>6992.91</v>
      </c>
      <c r="G1914" s="398">
        <f t="shared" si="491"/>
        <v>0</v>
      </c>
      <c r="H1914" s="398">
        <f t="shared" si="491"/>
        <v>0</v>
      </c>
      <c r="I1914" s="428"/>
      <c r="J1914" s="607" t="s">
        <v>6</v>
      </c>
      <c r="K1914" s="607" t="s">
        <v>127</v>
      </c>
      <c r="L1914" s="607" t="s">
        <v>112</v>
      </c>
      <c r="M1914" s="608"/>
      <c r="N1914" s="424"/>
      <c r="P1914" s="414"/>
    </row>
    <row r="1915" spans="1:16" s="425" customFormat="1" ht="14">
      <c r="A1915" s="319" t="s">
        <v>8</v>
      </c>
      <c r="B1915" s="314" t="s">
        <v>1355</v>
      </c>
      <c r="C1915" s="320" t="s">
        <v>10</v>
      </c>
      <c r="D1915" s="402">
        <v>51</v>
      </c>
      <c r="E1915" s="402">
        <v>32</v>
      </c>
      <c r="F1915" s="611">
        <v>8385.0550000000003</v>
      </c>
      <c r="G1915" s="398">
        <f t="shared" si="491"/>
        <v>427637.80499999999</v>
      </c>
      <c r="H1915" s="398">
        <f t="shared" si="491"/>
        <v>268321.76</v>
      </c>
      <c r="I1915" s="428"/>
      <c r="J1915" s="607" t="s">
        <v>6</v>
      </c>
      <c r="K1915" s="607" t="s">
        <v>127</v>
      </c>
      <c r="L1915" s="607" t="s">
        <v>112</v>
      </c>
      <c r="M1915" s="608"/>
      <c r="N1915" s="424"/>
      <c r="P1915" s="414"/>
    </row>
    <row r="1916" spans="1:16" s="425" customFormat="1" ht="14">
      <c r="A1916" s="316" t="s">
        <v>730</v>
      </c>
      <c r="B1916" s="317" t="s">
        <v>717</v>
      </c>
      <c r="C1916" s="318"/>
      <c r="D1916" s="605"/>
      <c r="E1916" s="605"/>
      <c r="F1916" s="606"/>
      <c r="G1916" s="402"/>
      <c r="H1916" s="402"/>
      <c r="I1916" s="428"/>
      <c r="J1916" s="607"/>
      <c r="K1916" s="607"/>
      <c r="L1916" s="607"/>
      <c r="M1916" s="608"/>
      <c r="N1916" s="424"/>
      <c r="P1916" s="414"/>
    </row>
    <row r="1917" spans="1:16" s="425" customFormat="1" ht="14">
      <c r="A1917" s="319" t="s">
        <v>8</v>
      </c>
      <c r="B1917" s="314" t="s">
        <v>718</v>
      </c>
      <c r="C1917" s="320" t="s">
        <v>15</v>
      </c>
      <c r="D1917" s="402">
        <v>51</v>
      </c>
      <c r="E1917" s="402">
        <v>32</v>
      </c>
      <c r="F1917" s="609">
        <v>6.27</v>
      </c>
      <c r="G1917" s="398">
        <f t="shared" ref="G1917:H1920" si="492">D1917*$F1917</f>
        <v>319.77</v>
      </c>
      <c r="H1917" s="398">
        <f t="shared" si="492"/>
        <v>200.64</v>
      </c>
      <c r="I1917" s="428"/>
      <c r="J1917" s="607" t="s">
        <v>6</v>
      </c>
      <c r="K1917" s="607" t="s">
        <v>127</v>
      </c>
      <c r="L1917" s="607" t="s">
        <v>112</v>
      </c>
      <c r="M1917" s="608"/>
      <c r="N1917" s="424"/>
      <c r="P1917" s="414"/>
    </row>
    <row r="1918" spans="1:16" s="425" customFormat="1" ht="14">
      <c r="A1918" s="319" t="s">
        <v>8</v>
      </c>
      <c r="B1918" s="314" t="s">
        <v>719</v>
      </c>
      <c r="C1918" s="320" t="s">
        <v>15</v>
      </c>
      <c r="D1918" s="402">
        <v>102</v>
      </c>
      <c r="E1918" s="402">
        <v>64</v>
      </c>
      <c r="F1918" s="609">
        <v>147</v>
      </c>
      <c r="G1918" s="398">
        <f t="shared" si="492"/>
        <v>14994</v>
      </c>
      <c r="H1918" s="398">
        <f t="shared" si="492"/>
        <v>9408</v>
      </c>
      <c r="I1918" s="428"/>
      <c r="J1918" s="607" t="s">
        <v>6</v>
      </c>
      <c r="K1918" s="607" t="s">
        <v>127</v>
      </c>
      <c r="L1918" s="607" t="s">
        <v>112</v>
      </c>
      <c r="M1918" s="608"/>
      <c r="N1918" s="424"/>
      <c r="P1918" s="414"/>
    </row>
    <row r="1919" spans="1:16" s="425" customFormat="1" ht="14">
      <c r="A1919" s="302" t="s">
        <v>8</v>
      </c>
      <c r="B1919" s="303" t="s">
        <v>720</v>
      </c>
      <c r="C1919" s="304" t="s">
        <v>15</v>
      </c>
      <c r="D1919" s="402">
        <v>51</v>
      </c>
      <c r="E1919" s="402">
        <v>32</v>
      </c>
      <c r="F1919" s="303">
        <v>10.5</v>
      </c>
      <c r="G1919" s="398">
        <f t="shared" si="492"/>
        <v>535.5</v>
      </c>
      <c r="H1919" s="398">
        <f t="shared" si="492"/>
        <v>336</v>
      </c>
      <c r="I1919" s="428"/>
      <c r="J1919" s="607" t="s">
        <v>6</v>
      </c>
      <c r="K1919" s="607" t="s">
        <v>127</v>
      </c>
      <c r="L1919" s="607" t="s">
        <v>112</v>
      </c>
      <c r="M1919" s="608"/>
      <c r="N1919" s="424"/>
      <c r="P1919" s="414"/>
    </row>
    <row r="1920" spans="1:16" s="425" customFormat="1" ht="14">
      <c r="A1920" s="302" t="s">
        <v>8</v>
      </c>
      <c r="B1920" s="303" t="s">
        <v>721</v>
      </c>
      <c r="C1920" s="304" t="s">
        <v>15</v>
      </c>
      <c r="D1920" s="402">
        <v>51</v>
      </c>
      <c r="E1920" s="402">
        <v>32</v>
      </c>
      <c r="F1920" s="303">
        <v>2.9</v>
      </c>
      <c r="G1920" s="398">
        <f t="shared" si="492"/>
        <v>147.9</v>
      </c>
      <c r="H1920" s="398">
        <f t="shared" si="492"/>
        <v>92.8</v>
      </c>
      <c r="I1920" s="428"/>
      <c r="J1920" s="607" t="s">
        <v>6</v>
      </c>
      <c r="K1920" s="607" t="s">
        <v>127</v>
      </c>
      <c r="L1920" s="607" t="s">
        <v>112</v>
      </c>
      <c r="M1920" s="608"/>
      <c r="N1920" s="424"/>
      <c r="P1920" s="414"/>
    </row>
    <row r="1921" spans="1:16" s="604" customFormat="1" ht="14">
      <c r="A1921" s="595">
        <v>2</v>
      </c>
      <c r="B1921" s="596" t="s">
        <v>731</v>
      </c>
      <c r="C1921" s="597"/>
      <c r="D1921" s="598"/>
      <c r="E1921" s="598"/>
      <c r="F1921" s="599"/>
      <c r="G1921" s="598">
        <f>SUBTOTAL(9,G1922:G1964)</f>
        <v>96935.2</v>
      </c>
      <c r="H1921" s="598">
        <f>SUBTOTAL(9,H1922:H1964)</f>
        <v>690663.3</v>
      </c>
      <c r="I1921" s="600"/>
      <c r="J1921" s="601"/>
      <c r="K1921" s="601"/>
      <c r="L1921" s="601"/>
      <c r="M1921" s="602"/>
      <c r="N1921" s="603"/>
      <c r="P1921" s="414"/>
    </row>
    <row r="1922" spans="1:16" s="604" customFormat="1" ht="14">
      <c r="A1922" s="595">
        <v>2.1</v>
      </c>
      <c r="B1922" s="596" t="s">
        <v>732</v>
      </c>
      <c r="C1922" s="597"/>
      <c r="D1922" s="598"/>
      <c r="E1922" s="598"/>
      <c r="F1922" s="599"/>
      <c r="G1922" s="598">
        <f>SUBTOTAL(9,G1923:G1943)</f>
        <v>96935.2</v>
      </c>
      <c r="H1922" s="598">
        <f>SUBTOTAL(9,H1923:H1943)</f>
        <v>690663.3</v>
      </c>
      <c r="I1922" s="600"/>
      <c r="J1922" s="601"/>
      <c r="K1922" s="601"/>
      <c r="L1922" s="601"/>
      <c r="M1922" s="602"/>
      <c r="N1922" s="603"/>
      <c r="P1922" s="414"/>
    </row>
    <row r="1923" spans="1:16" s="425" customFormat="1" ht="14">
      <c r="A1923" s="316" t="s">
        <v>603</v>
      </c>
      <c r="B1923" s="317" t="s">
        <v>696</v>
      </c>
      <c r="C1923" s="318"/>
      <c r="D1923" s="605"/>
      <c r="E1923" s="605"/>
      <c r="F1923" s="606"/>
      <c r="G1923" s="402"/>
      <c r="H1923" s="402"/>
      <c r="I1923" s="428"/>
      <c r="J1923" s="607"/>
      <c r="K1923" s="607"/>
      <c r="L1923" s="607"/>
      <c r="M1923" s="608"/>
      <c r="N1923" s="424"/>
      <c r="P1923" s="414"/>
    </row>
    <row r="1924" spans="1:16" s="425" customFormat="1" ht="14">
      <c r="A1924" s="319" t="s">
        <v>8</v>
      </c>
      <c r="B1924" s="314" t="s">
        <v>697</v>
      </c>
      <c r="C1924" s="320" t="s">
        <v>150</v>
      </c>
      <c r="D1924" s="402">
        <v>32</v>
      </c>
      <c r="E1924" s="402">
        <v>228</v>
      </c>
      <c r="F1924" s="609">
        <v>495.5</v>
      </c>
      <c r="G1924" s="398">
        <f t="shared" ref="G1924:H1925" si="493">D1924*$F1924</f>
        <v>15856</v>
      </c>
      <c r="H1924" s="398">
        <f t="shared" si="493"/>
        <v>112974</v>
      </c>
      <c r="I1924" s="428"/>
      <c r="J1924" s="607" t="s">
        <v>6</v>
      </c>
      <c r="K1924" s="607" t="s">
        <v>128</v>
      </c>
      <c r="L1924" s="607" t="s">
        <v>112</v>
      </c>
      <c r="M1924" s="608"/>
      <c r="N1924" s="424"/>
      <c r="P1924" s="414"/>
    </row>
    <row r="1925" spans="1:16" s="425" customFormat="1" ht="14">
      <c r="A1925" s="319" t="s">
        <v>8</v>
      </c>
      <c r="B1925" s="314" t="s">
        <v>698</v>
      </c>
      <c r="C1925" s="320" t="s">
        <v>31</v>
      </c>
      <c r="D1925" s="402">
        <v>8</v>
      </c>
      <c r="E1925" s="402">
        <v>57</v>
      </c>
      <c r="F1925" s="609">
        <v>756</v>
      </c>
      <c r="G1925" s="398">
        <f t="shared" si="493"/>
        <v>6048</v>
      </c>
      <c r="H1925" s="398">
        <f t="shared" si="493"/>
        <v>43092</v>
      </c>
      <c r="I1925" s="428"/>
      <c r="J1925" s="607" t="s">
        <v>6</v>
      </c>
      <c r="K1925" s="607" t="s">
        <v>128</v>
      </c>
      <c r="L1925" s="607" t="s">
        <v>112</v>
      </c>
      <c r="M1925" s="608"/>
      <c r="N1925" s="424"/>
      <c r="P1925" s="414"/>
    </row>
    <row r="1926" spans="1:16" s="425" customFormat="1" ht="14">
      <c r="A1926" s="316" t="s">
        <v>604</v>
      </c>
      <c r="B1926" s="317" t="s">
        <v>700</v>
      </c>
      <c r="C1926" s="318"/>
      <c r="D1926" s="402"/>
      <c r="E1926" s="402"/>
      <c r="F1926" s="606"/>
      <c r="G1926" s="402"/>
      <c r="H1926" s="402"/>
      <c r="I1926" s="428"/>
      <c r="J1926" s="607"/>
      <c r="K1926" s="607"/>
      <c r="L1926" s="607"/>
      <c r="M1926" s="608"/>
      <c r="N1926" s="424"/>
      <c r="P1926" s="414"/>
    </row>
    <row r="1927" spans="1:16" s="425" customFormat="1" ht="14">
      <c r="A1927" s="319" t="s">
        <v>8</v>
      </c>
      <c r="B1927" s="314" t="s">
        <v>701</v>
      </c>
      <c r="C1927" s="320" t="s">
        <v>15</v>
      </c>
      <c r="D1927" s="402">
        <v>8</v>
      </c>
      <c r="E1927" s="402">
        <v>57</v>
      </c>
      <c r="F1927" s="609">
        <v>5420</v>
      </c>
      <c r="G1927" s="398">
        <f t="shared" ref="G1927:H1927" si="494">D1927*$F1927</f>
        <v>43360</v>
      </c>
      <c r="H1927" s="398">
        <f t="shared" si="494"/>
        <v>308940</v>
      </c>
      <c r="I1927" s="428"/>
      <c r="J1927" s="607" t="s">
        <v>6</v>
      </c>
      <c r="K1927" s="607" t="s">
        <v>128</v>
      </c>
      <c r="L1927" s="607" t="s">
        <v>112</v>
      </c>
      <c r="M1927" s="608"/>
      <c r="N1927" s="424"/>
      <c r="P1927" s="414"/>
    </row>
    <row r="1928" spans="1:16" s="425" customFormat="1" ht="14">
      <c r="A1928" s="316" t="s">
        <v>605</v>
      </c>
      <c r="B1928" s="317" t="s">
        <v>703</v>
      </c>
      <c r="C1928" s="318"/>
      <c r="D1928" s="402"/>
      <c r="E1928" s="402"/>
      <c r="F1928" s="606"/>
      <c r="G1928" s="402"/>
      <c r="H1928" s="402"/>
      <c r="I1928" s="428"/>
      <c r="J1928" s="607"/>
      <c r="K1928" s="607"/>
      <c r="L1928" s="607"/>
      <c r="M1928" s="608"/>
      <c r="N1928" s="424"/>
      <c r="P1928" s="414"/>
    </row>
    <row r="1929" spans="1:16" s="425" customFormat="1" ht="14">
      <c r="A1929" s="319" t="s">
        <v>8</v>
      </c>
      <c r="B1929" s="314" t="s">
        <v>704</v>
      </c>
      <c r="C1929" s="320" t="s">
        <v>24</v>
      </c>
      <c r="D1929" s="402">
        <v>8</v>
      </c>
      <c r="E1929" s="402">
        <v>57</v>
      </c>
      <c r="F1929" s="609">
        <v>781</v>
      </c>
      <c r="G1929" s="398">
        <f t="shared" ref="G1929:H1929" si="495">D1929*$F1929</f>
        <v>6248</v>
      </c>
      <c r="H1929" s="398">
        <f t="shared" si="495"/>
        <v>44517</v>
      </c>
      <c r="I1929" s="428"/>
      <c r="J1929" s="607" t="s">
        <v>6</v>
      </c>
      <c r="K1929" s="607" t="s">
        <v>128</v>
      </c>
      <c r="L1929" s="607" t="s">
        <v>112</v>
      </c>
      <c r="M1929" s="608"/>
      <c r="N1929" s="424"/>
      <c r="P1929" s="414"/>
    </row>
    <row r="1930" spans="1:16" s="425" customFormat="1" ht="14">
      <c r="A1930" s="316" t="s">
        <v>733</v>
      </c>
      <c r="B1930" s="317" t="s">
        <v>706</v>
      </c>
      <c r="C1930" s="318"/>
      <c r="D1930" s="402"/>
      <c r="E1930" s="402"/>
      <c r="F1930" s="606"/>
      <c r="G1930" s="402"/>
      <c r="H1930" s="402"/>
      <c r="I1930" s="428"/>
      <c r="J1930" s="607"/>
      <c r="K1930" s="607"/>
      <c r="L1930" s="607"/>
      <c r="M1930" s="608"/>
      <c r="N1930" s="424"/>
      <c r="P1930" s="414"/>
    </row>
    <row r="1931" spans="1:16" s="425" customFormat="1" ht="14">
      <c r="A1931" s="316" t="s">
        <v>734</v>
      </c>
      <c r="B1931" s="317" t="s">
        <v>708</v>
      </c>
      <c r="C1931" s="318"/>
      <c r="D1931" s="402"/>
      <c r="E1931" s="402"/>
      <c r="F1931" s="606"/>
      <c r="G1931" s="402"/>
      <c r="H1931" s="402"/>
      <c r="I1931" s="428"/>
      <c r="J1931" s="607"/>
      <c r="K1931" s="607"/>
      <c r="L1931" s="607"/>
      <c r="M1931" s="608"/>
      <c r="N1931" s="424"/>
      <c r="P1931" s="414"/>
    </row>
    <row r="1932" spans="1:16" s="425" customFormat="1" ht="14">
      <c r="A1932" s="319" t="s">
        <v>8</v>
      </c>
      <c r="B1932" s="314" t="s">
        <v>709</v>
      </c>
      <c r="C1932" s="320" t="s">
        <v>31</v>
      </c>
      <c r="D1932" s="402">
        <v>8</v>
      </c>
      <c r="E1932" s="402">
        <v>57</v>
      </c>
      <c r="F1932" s="609">
        <v>1437.67</v>
      </c>
      <c r="G1932" s="398">
        <f t="shared" ref="G1932:H1934" si="496">D1932*$F1932</f>
        <v>11501.36</v>
      </c>
      <c r="H1932" s="398">
        <f t="shared" si="496"/>
        <v>81947.19</v>
      </c>
      <c r="I1932" s="428"/>
      <c r="J1932" s="607" t="s">
        <v>6</v>
      </c>
      <c r="K1932" s="607" t="s">
        <v>128</v>
      </c>
      <c r="L1932" s="607" t="s">
        <v>112</v>
      </c>
      <c r="M1932" s="608"/>
      <c r="N1932" s="424"/>
      <c r="P1932" s="414"/>
    </row>
    <row r="1933" spans="1:16" s="425" customFormat="1" ht="14">
      <c r="A1933" s="319" t="s">
        <v>8</v>
      </c>
      <c r="B1933" s="314" t="s">
        <v>710</v>
      </c>
      <c r="C1933" s="320" t="s">
        <v>15</v>
      </c>
      <c r="D1933" s="402">
        <v>16</v>
      </c>
      <c r="E1933" s="402">
        <v>114</v>
      </c>
      <c r="F1933" s="609">
        <v>116.78</v>
      </c>
      <c r="G1933" s="398">
        <f t="shared" si="496"/>
        <v>1868.48</v>
      </c>
      <c r="H1933" s="398">
        <f t="shared" si="496"/>
        <v>13312.92</v>
      </c>
      <c r="I1933" s="428"/>
      <c r="J1933" s="607" t="s">
        <v>6</v>
      </c>
      <c r="K1933" s="607" t="s">
        <v>128</v>
      </c>
      <c r="L1933" s="607" t="s">
        <v>112</v>
      </c>
      <c r="M1933" s="608"/>
      <c r="N1933" s="424"/>
      <c r="P1933" s="414"/>
    </row>
    <row r="1934" spans="1:16" s="425" customFormat="1" ht="14">
      <c r="A1934" s="319" t="s">
        <v>8</v>
      </c>
      <c r="B1934" s="314" t="s">
        <v>711</v>
      </c>
      <c r="C1934" s="320" t="s">
        <v>15</v>
      </c>
      <c r="D1934" s="402"/>
      <c r="E1934" s="402"/>
      <c r="F1934" s="610"/>
      <c r="G1934" s="398">
        <f t="shared" si="496"/>
        <v>0</v>
      </c>
      <c r="H1934" s="398">
        <f t="shared" si="496"/>
        <v>0</v>
      </c>
      <c r="I1934" s="428"/>
      <c r="J1934" s="607" t="s">
        <v>6</v>
      </c>
      <c r="K1934" s="607" t="s">
        <v>128</v>
      </c>
      <c r="L1934" s="607" t="s">
        <v>112</v>
      </c>
      <c r="M1934" s="608"/>
      <c r="N1934" s="424"/>
      <c r="P1934" s="414"/>
    </row>
    <row r="1935" spans="1:16" s="425" customFormat="1" ht="14">
      <c r="A1935" s="316" t="s">
        <v>735</v>
      </c>
      <c r="B1935" s="317" t="s">
        <v>713</v>
      </c>
      <c r="C1935" s="318"/>
      <c r="D1935" s="402"/>
      <c r="E1935" s="402"/>
      <c r="F1935" s="606"/>
      <c r="G1935" s="402"/>
      <c r="H1935" s="402"/>
      <c r="I1935" s="428"/>
      <c r="J1935" s="607"/>
      <c r="K1935" s="607"/>
      <c r="L1935" s="607"/>
      <c r="M1935" s="608"/>
      <c r="N1935" s="424"/>
      <c r="P1935" s="414"/>
    </row>
    <row r="1936" spans="1:16" s="425" customFormat="1" ht="14">
      <c r="A1936" s="319" t="s">
        <v>8</v>
      </c>
      <c r="B1936" s="314" t="s">
        <v>714</v>
      </c>
      <c r="C1936" s="320" t="s">
        <v>10</v>
      </c>
      <c r="D1936" s="402"/>
      <c r="E1936" s="402"/>
      <c r="F1936" s="611"/>
      <c r="G1936" s="398">
        <f t="shared" ref="G1936:H1937" si="497">D1936*$F1936</f>
        <v>0</v>
      </c>
      <c r="H1936" s="398">
        <f t="shared" si="497"/>
        <v>0</v>
      </c>
      <c r="I1936" s="428"/>
      <c r="J1936" s="607" t="s">
        <v>6</v>
      </c>
      <c r="K1936" s="607" t="s">
        <v>128</v>
      </c>
      <c r="L1936" s="607" t="s">
        <v>112</v>
      </c>
      <c r="M1936" s="608"/>
      <c r="N1936" s="424"/>
      <c r="P1936" s="414"/>
    </row>
    <row r="1937" spans="1:16" s="425" customFormat="1" ht="14">
      <c r="A1937" s="319" t="s">
        <v>8</v>
      </c>
      <c r="B1937" s="314" t="s">
        <v>715</v>
      </c>
      <c r="C1937" s="320" t="s">
        <v>10</v>
      </c>
      <c r="D1937" s="402"/>
      <c r="E1937" s="402"/>
      <c r="F1937" s="611"/>
      <c r="G1937" s="398">
        <f t="shared" si="497"/>
        <v>0</v>
      </c>
      <c r="H1937" s="398">
        <f t="shared" si="497"/>
        <v>0</v>
      </c>
      <c r="I1937" s="428"/>
      <c r="J1937" s="607" t="s">
        <v>6</v>
      </c>
      <c r="K1937" s="607" t="s">
        <v>128</v>
      </c>
      <c r="L1937" s="607" t="s">
        <v>112</v>
      </c>
      <c r="M1937" s="608"/>
      <c r="N1937" s="424"/>
      <c r="P1937" s="414"/>
    </row>
    <row r="1938" spans="1:16" s="425" customFormat="1" ht="14">
      <c r="A1938" s="316" t="s">
        <v>736</v>
      </c>
      <c r="B1938" s="317" t="s">
        <v>717</v>
      </c>
      <c r="C1938" s="318"/>
      <c r="D1938" s="402"/>
      <c r="E1938" s="402"/>
      <c r="F1938" s="606"/>
      <c r="G1938" s="402"/>
      <c r="H1938" s="402"/>
      <c r="I1938" s="428"/>
      <c r="J1938" s="607"/>
      <c r="K1938" s="607"/>
      <c r="L1938" s="607"/>
      <c r="M1938" s="608"/>
      <c r="N1938" s="424"/>
      <c r="P1938" s="414"/>
    </row>
    <row r="1939" spans="1:16" s="425" customFormat="1" ht="14">
      <c r="A1939" s="319" t="s">
        <v>8</v>
      </c>
      <c r="B1939" s="314" t="s">
        <v>718</v>
      </c>
      <c r="C1939" s="320" t="s">
        <v>15</v>
      </c>
      <c r="D1939" s="402">
        <v>8</v>
      </c>
      <c r="E1939" s="402">
        <v>57</v>
      </c>
      <c r="F1939" s="609">
        <v>6.27</v>
      </c>
      <c r="G1939" s="398">
        <f t="shared" ref="G1939:H1943" si="498">D1939*$F1939</f>
        <v>50.16</v>
      </c>
      <c r="H1939" s="398">
        <f t="shared" si="498"/>
        <v>357.39</v>
      </c>
      <c r="I1939" s="428"/>
      <c r="J1939" s="607" t="s">
        <v>6</v>
      </c>
      <c r="K1939" s="607" t="s">
        <v>128</v>
      </c>
      <c r="L1939" s="607" t="s">
        <v>112</v>
      </c>
      <c r="M1939" s="608"/>
      <c r="N1939" s="424"/>
      <c r="P1939" s="414"/>
    </row>
    <row r="1940" spans="1:16" s="425" customFormat="1" ht="14">
      <c r="A1940" s="319" t="s">
        <v>8</v>
      </c>
      <c r="B1940" s="314" t="s">
        <v>719</v>
      </c>
      <c r="C1940" s="320" t="s">
        <v>15</v>
      </c>
      <c r="D1940" s="402">
        <v>8</v>
      </c>
      <c r="E1940" s="402">
        <v>57</v>
      </c>
      <c r="F1940" s="609">
        <v>147</v>
      </c>
      <c r="G1940" s="398">
        <f t="shared" si="498"/>
        <v>1176</v>
      </c>
      <c r="H1940" s="398">
        <f t="shared" si="498"/>
        <v>8379</v>
      </c>
      <c r="I1940" s="428"/>
      <c r="J1940" s="607" t="s">
        <v>6</v>
      </c>
      <c r="K1940" s="607" t="s">
        <v>128</v>
      </c>
      <c r="L1940" s="607" t="s">
        <v>112</v>
      </c>
      <c r="M1940" s="608"/>
      <c r="N1940" s="424"/>
      <c r="P1940" s="414"/>
    </row>
    <row r="1941" spans="1:16" s="425" customFormat="1" ht="14">
      <c r="A1941" s="302" t="s">
        <v>8</v>
      </c>
      <c r="B1941" s="303" t="s">
        <v>720</v>
      </c>
      <c r="C1941" s="304" t="s">
        <v>15</v>
      </c>
      <c r="D1941" s="402">
        <v>8</v>
      </c>
      <c r="E1941" s="402">
        <v>57</v>
      </c>
      <c r="F1941" s="303">
        <v>10.5</v>
      </c>
      <c r="G1941" s="398">
        <f t="shared" si="498"/>
        <v>84</v>
      </c>
      <c r="H1941" s="398">
        <f t="shared" si="498"/>
        <v>598.5</v>
      </c>
      <c r="I1941" s="428"/>
      <c r="J1941" s="607" t="s">
        <v>6</v>
      </c>
      <c r="K1941" s="607" t="s">
        <v>128</v>
      </c>
      <c r="L1941" s="607" t="s">
        <v>112</v>
      </c>
      <c r="M1941" s="608"/>
      <c r="N1941" s="424"/>
      <c r="P1941" s="414"/>
    </row>
    <row r="1942" spans="1:16" s="425" customFormat="1" ht="14">
      <c r="A1942" s="302" t="s">
        <v>8</v>
      </c>
      <c r="B1942" s="303" t="s">
        <v>721</v>
      </c>
      <c r="C1942" s="304" t="s">
        <v>15</v>
      </c>
      <c r="D1942" s="402">
        <v>8</v>
      </c>
      <c r="E1942" s="402">
        <v>57</v>
      </c>
      <c r="F1942" s="303">
        <v>2.9</v>
      </c>
      <c r="G1942" s="398">
        <f t="shared" si="498"/>
        <v>23.2</v>
      </c>
      <c r="H1942" s="398">
        <f t="shared" si="498"/>
        <v>165.29999999999998</v>
      </c>
      <c r="I1942" s="428"/>
      <c r="J1942" s="607" t="s">
        <v>6</v>
      </c>
      <c r="K1942" s="607" t="s">
        <v>128</v>
      </c>
      <c r="L1942" s="607" t="s">
        <v>112</v>
      </c>
      <c r="M1942" s="608"/>
      <c r="N1942" s="424"/>
      <c r="P1942" s="414"/>
    </row>
    <row r="1943" spans="1:16" s="425" customFormat="1" ht="14">
      <c r="A1943" s="316" t="s">
        <v>1356</v>
      </c>
      <c r="B1943" s="317" t="s">
        <v>1350</v>
      </c>
      <c r="C1943" s="318" t="s">
        <v>40</v>
      </c>
      <c r="D1943" s="402">
        <v>8</v>
      </c>
      <c r="E1943" s="402">
        <v>57</v>
      </c>
      <c r="F1943" s="606">
        <v>1340</v>
      </c>
      <c r="G1943" s="398">
        <f t="shared" si="498"/>
        <v>10720</v>
      </c>
      <c r="H1943" s="398">
        <f t="shared" si="498"/>
        <v>76380</v>
      </c>
      <c r="I1943" s="428"/>
      <c r="J1943" s="607" t="s">
        <v>6</v>
      </c>
      <c r="K1943" s="607" t="s">
        <v>128</v>
      </c>
      <c r="L1943" s="607" t="s">
        <v>112</v>
      </c>
      <c r="M1943" s="608"/>
      <c r="N1943" s="424"/>
      <c r="P1943" s="414"/>
    </row>
    <row r="1944" spans="1:16" s="604" customFormat="1" ht="14">
      <c r="A1944" s="595" t="s">
        <v>737</v>
      </c>
      <c r="B1944" s="596" t="s">
        <v>738</v>
      </c>
      <c r="C1944" s="597"/>
      <c r="D1944" s="598"/>
      <c r="E1944" s="598"/>
      <c r="F1944" s="599"/>
      <c r="G1944" s="598">
        <f>SUBTOTAL(9,G1945:G1964)</f>
        <v>0</v>
      </c>
      <c r="H1944" s="598">
        <f>SUBTOTAL(9,H1945:H1964)</f>
        <v>0</v>
      </c>
      <c r="I1944" s="600"/>
      <c r="J1944" s="601"/>
      <c r="K1944" s="601"/>
      <c r="L1944" s="601"/>
      <c r="M1944" s="602"/>
      <c r="N1944" s="603"/>
      <c r="P1944" s="414"/>
    </row>
    <row r="1945" spans="1:16" s="425" customFormat="1" ht="14">
      <c r="A1945" s="316" t="s">
        <v>606</v>
      </c>
      <c r="B1945" s="317" t="s">
        <v>696</v>
      </c>
      <c r="C1945" s="318"/>
      <c r="D1945" s="605"/>
      <c r="E1945" s="605"/>
      <c r="F1945" s="606"/>
      <c r="G1945" s="402"/>
      <c r="H1945" s="402"/>
      <c r="I1945" s="428"/>
      <c r="J1945" s="607"/>
      <c r="K1945" s="607"/>
      <c r="L1945" s="607"/>
      <c r="M1945" s="608"/>
      <c r="N1945" s="424"/>
      <c r="P1945" s="414"/>
    </row>
    <row r="1946" spans="1:16" s="425" customFormat="1" ht="14">
      <c r="A1946" s="319" t="s">
        <v>8</v>
      </c>
      <c r="B1946" s="314" t="s">
        <v>697</v>
      </c>
      <c r="C1946" s="320" t="s">
        <v>150</v>
      </c>
      <c r="D1946" s="605"/>
      <c r="E1946" s="605"/>
      <c r="F1946" s="609"/>
      <c r="G1946" s="391">
        <f t="shared" ref="G1946:H1947" si="499">D1946*$F1946</f>
        <v>0</v>
      </c>
      <c r="H1946" s="391">
        <f t="shared" si="499"/>
        <v>0</v>
      </c>
      <c r="I1946" s="428"/>
      <c r="J1946" s="607" t="s">
        <v>6</v>
      </c>
      <c r="K1946" s="607" t="s">
        <v>128</v>
      </c>
      <c r="L1946" s="607" t="s">
        <v>112</v>
      </c>
      <c r="M1946" s="608"/>
      <c r="N1946" s="424"/>
      <c r="P1946" s="414"/>
    </row>
    <row r="1947" spans="1:16" s="425" customFormat="1" ht="14">
      <c r="A1947" s="319" t="s">
        <v>8</v>
      </c>
      <c r="B1947" s="314" t="s">
        <v>698</v>
      </c>
      <c r="C1947" s="320" t="s">
        <v>31</v>
      </c>
      <c r="D1947" s="605"/>
      <c r="E1947" s="605"/>
      <c r="F1947" s="609"/>
      <c r="G1947" s="391">
        <f t="shared" si="499"/>
        <v>0</v>
      </c>
      <c r="H1947" s="391">
        <f t="shared" si="499"/>
        <v>0</v>
      </c>
      <c r="I1947" s="428"/>
      <c r="J1947" s="607" t="s">
        <v>6</v>
      </c>
      <c r="K1947" s="607" t="s">
        <v>128</v>
      </c>
      <c r="L1947" s="607" t="s">
        <v>112</v>
      </c>
      <c r="M1947" s="608"/>
      <c r="N1947" s="424"/>
      <c r="P1947" s="414"/>
    </row>
    <row r="1948" spans="1:16" s="425" customFormat="1" ht="14">
      <c r="A1948" s="316" t="s">
        <v>607</v>
      </c>
      <c r="B1948" s="317" t="s">
        <v>700</v>
      </c>
      <c r="C1948" s="318"/>
      <c r="D1948" s="605"/>
      <c r="E1948" s="605"/>
      <c r="F1948" s="606"/>
      <c r="G1948" s="402"/>
      <c r="H1948" s="402"/>
      <c r="I1948" s="428"/>
      <c r="J1948" s="607"/>
      <c r="K1948" s="607"/>
      <c r="L1948" s="607"/>
      <c r="M1948" s="608"/>
      <c r="N1948" s="424"/>
      <c r="P1948" s="414"/>
    </row>
    <row r="1949" spans="1:16" s="425" customFormat="1" ht="14">
      <c r="A1949" s="319" t="s">
        <v>8</v>
      </c>
      <c r="B1949" s="314" t="s">
        <v>701</v>
      </c>
      <c r="C1949" s="320" t="s">
        <v>15</v>
      </c>
      <c r="D1949" s="605"/>
      <c r="E1949" s="605"/>
      <c r="F1949" s="609"/>
      <c r="G1949" s="391">
        <f t="shared" ref="G1949:H1949" si="500">D1949*$F1949</f>
        <v>0</v>
      </c>
      <c r="H1949" s="391">
        <f t="shared" si="500"/>
        <v>0</v>
      </c>
      <c r="I1949" s="428"/>
      <c r="J1949" s="607" t="s">
        <v>6</v>
      </c>
      <c r="K1949" s="607" t="s">
        <v>128</v>
      </c>
      <c r="L1949" s="607" t="s">
        <v>112</v>
      </c>
      <c r="M1949" s="608"/>
      <c r="N1949" s="424"/>
      <c r="P1949" s="414"/>
    </row>
    <row r="1950" spans="1:16" s="425" customFormat="1" ht="14">
      <c r="A1950" s="316" t="s">
        <v>608</v>
      </c>
      <c r="B1950" s="317" t="s">
        <v>706</v>
      </c>
      <c r="C1950" s="318"/>
      <c r="D1950" s="605"/>
      <c r="E1950" s="605"/>
      <c r="F1950" s="606"/>
      <c r="G1950" s="402"/>
      <c r="H1950" s="402"/>
      <c r="I1950" s="428"/>
      <c r="J1950" s="607"/>
      <c r="K1950" s="607"/>
      <c r="L1950" s="607"/>
      <c r="M1950" s="608"/>
      <c r="N1950" s="424"/>
      <c r="P1950" s="414"/>
    </row>
    <row r="1951" spans="1:16" s="425" customFormat="1" ht="14">
      <c r="A1951" s="316" t="s">
        <v>739</v>
      </c>
      <c r="B1951" s="317" t="s">
        <v>708</v>
      </c>
      <c r="C1951" s="318"/>
      <c r="D1951" s="605"/>
      <c r="E1951" s="605"/>
      <c r="F1951" s="606"/>
      <c r="G1951" s="402"/>
      <c r="H1951" s="402"/>
      <c r="I1951" s="428"/>
      <c r="J1951" s="607"/>
      <c r="K1951" s="607"/>
      <c r="L1951" s="607"/>
      <c r="M1951" s="608"/>
      <c r="N1951" s="424"/>
      <c r="P1951" s="414"/>
    </row>
    <row r="1952" spans="1:16" s="425" customFormat="1" ht="14">
      <c r="A1952" s="319" t="s">
        <v>8</v>
      </c>
      <c r="B1952" s="314" t="s">
        <v>709</v>
      </c>
      <c r="C1952" s="320" t="s">
        <v>31</v>
      </c>
      <c r="D1952" s="605"/>
      <c r="E1952" s="605"/>
      <c r="F1952" s="609"/>
      <c r="G1952" s="391">
        <f t="shared" ref="G1952:H1954" si="501">D1952*$F1952</f>
        <v>0</v>
      </c>
      <c r="H1952" s="391">
        <f t="shared" si="501"/>
        <v>0</v>
      </c>
      <c r="I1952" s="428"/>
      <c r="J1952" s="607" t="s">
        <v>6</v>
      </c>
      <c r="K1952" s="607" t="s">
        <v>128</v>
      </c>
      <c r="L1952" s="607" t="s">
        <v>112</v>
      </c>
      <c r="M1952" s="608"/>
      <c r="N1952" s="424"/>
      <c r="P1952" s="414"/>
    </row>
    <row r="1953" spans="1:16" s="425" customFormat="1" ht="14">
      <c r="A1953" s="319" t="s">
        <v>8</v>
      </c>
      <c r="B1953" s="314" t="s">
        <v>710</v>
      </c>
      <c r="C1953" s="320" t="s">
        <v>15</v>
      </c>
      <c r="D1953" s="605"/>
      <c r="E1953" s="605"/>
      <c r="F1953" s="609"/>
      <c r="G1953" s="391">
        <f t="shared" si="501"/>
        <v>0</v>
      </c>
      <c r="H1953" s="391">
        <f t="shared" si="501"/>
        <v>0</v>
      </c>
      <c r="I1953" s="428"/>
      <c r="J1953" s="607" t="s">
        <v>6</v>
      </c>
      <c r="K1953" s="607" t="s">
        <v>128</v>
      </c>
      <c r="L1953" s="607" t="s">
        <v>112</v>
      </c>
      <c r="M1953" s="608"/>
      <c r="N1953" s="424"/>
      <c r="P1953" s="414"/>
    </row>
    <row r="1954" spans="1:16" s="425" customFormat="1" ht="14">
      <c r="A1954" s="319" t="s">
        <v>8</v>
      </c>
      <c r="B1954" s="314" t="s">
        <v>711</v>
      </c>
      <c r="C1954" s="320" t="s">
        <v>15</v>
      </c>
      <c r="D1954" s="605"/>
      <c r="E1954" s="605"/>
      <c r="F1954" s="610"/>
      <c r="G1954" s="391">
        <f t="shared" si="501"/>
        <v>0</v>
      </c>
      <c r="H1954" s="391">
        <f t="shared" si="501"/>
        <v>0</v>
      </c>
      <c r="I1954" s="428"/>
      <c r="J1954" s="607" t="s">
        <v>6</v>
      </c>
      <c r="K1954" s="607" t="s">
        <v>128</v>
      </c>
      <c r="L1954" s="607" t="s">
        <v>112</v>
      </c>
      <c r="M1954" s="608"/>
      <c r="N1954" s="424"/>
      <c r="P1954" s="414"/>
    </row>
    <row r="1955" spans="1:16" s="425" customFormat="1" ht="14">
      <c r="A1955" s="316" t="s">
        <v>740</v>
      </c>
      <c r="B1955" s="317" t="s">
        <v>713</v>
      </c>
      <c r="C1955" s="318"/>
      <c r="D1955" s="605"/>
      <c r="E1955" s="605"/>
      <c r="F1955" s="606"/>
      <c r="G1955" s="402"/>
      <c r="H1955" s="402"/>
      <c r="I1955" s="428"/>
      <c r="J1955" s="607"/>
      <c r="K1955" s="607"/>
      <c r="L1955" s="607"/>
      <c r="M1955" s="608"/>
      <c r="N1955" s="424"/>
      <c r="P1955" s="414"/>
    </row>
    <row r="1956" spans="1:16" s="425" customFormat="1" ht="14">
      <c r="A1956" s="319" t="s">
        <v>8</v>
      </c>
      <c r="B1956" s="314" t="s">
        <v>714</v>
      </c>
      <c r="C1956" s="320" t="s">
        <v>10</v>
      </c>
      <c r="D1956" s="605"/>
      <c r="E1956" s="605"/>
      <c r="F1956" s="611"/>
      <c r="G1956" s="391">
        <f t="shared" ref="G1956:H1959" si="502">D1956*$F1956</f>
        <v>0</v>
      </c>
      <c r="H1956" s="391">
        <f t="shared" si="502"/>
        <v>0</v>
      </c>
      <c r="I1956" s="428"/>
      <c r="J1956" s="607" t="s">
        <v>6</v>
      </c>
      <c r="K1956" s="607" t="s">
        <v>128</v>
      </c>
      <c r="L1956" s="607" t="s">
        <v>112</v>
      </c>
      <c r="M1956" s="608"/>
      <c r="N1956" s="424"/>
      <c r="P1956" s="414"/>
    </row>
    <row r="1957" spans="1:16" s="425" customFormat="1" ht="14">
      <c r="A1957" s="319" t="s">
        <v>8</v>
      </c>
      <c r="B1957" s="314" t="s">
        <v>715</v>
      </c>
      <c r="C1957" s="320" t="s">
        <v>10</v>
      </c>
      <c r="D1957" s="605"/>
      <c r="E1957" s="605"/>
      <c r="F1957" s="611"/>
      <c r="G1957" s="391">
        <f t="shared" si="502"/>
        <v>0</v>
      </c>
      <c r="H1957" s="391">
        <f t="shared" si="502"/>
        <v>0</v>
      </c>
      <c r="I1957" s="428"/>
      <c r="J1957" s="607" t="s">
        <v>6</v>
      </c>
      <c r="K1957" s="607" t="s">
        <v>128</v>
      </c>
      <c r="L1957" s="607" t="s">
        <v>112</v>
      </c>
      <c r="M1957" s="608"/>
      <c r="N1957" s="424"/>
      <c r="P1957" s="414"/>
    </row>
    <row r="1958" spans="1:16" s="425" customFormat="1" ht="14">
      <c r="A1958" s="319" t="s">
        <v>8</v>
      </c>
      <c r="B1958" s="314" t="s">
        <v>728</v>
      </c>
      <c r="C1958" s="320" t="s">
        <v>10</v>
      </c>
      <c r="D1958" s="605"/>
      <c r="E1958" s="605"/>
      <c r="F1958" s="611"/>
      <c r="G1958" s="391">
        <f t="shared" si="502"/>
        <v>0</v>
      </c>
      <c r="H1958" s="391">
        <f t="shared" si="502"/>
        <v>0</v>
      </c>
      <c r="I1958" s="428"/>
      <c r="J1958" s="607" t="s">
        <v>6</v>
      </c>
      <c r="K1958" s="607" t="s">
        <v>128</v>
      </c>
      <c r="L1958" s="607" t="s">
        <v>112</v>
      </c>
      <c r="M1958" s="608"/>
      <c r="N1958" s="424"/>
      <c r="P1958" s="414"/>
    </row>
    <row r="1959" spans="1:16" s="425" customFormat="1" ht="14">
      <c r="A1959" s="319" t="s">
        <v>8</v>
      </c>
      <c r="B1959" s="314" t="s">
        <v>729</v>
      </c>
      <c r="C1959" s="320" t="s">
        <v>10</v>
      </c>
      <c r="D1959" s="605"/>
      <c r="E1959" s="605"/>
      <c r="F1959" s="611"/>
      <c r="G1959" s="391">
        <f t="shared" si="502"/>
        <v>0</v>
      </c>
      <c r="H1959" s="391">
        <f t="shared" si="502"/>
        <v>0</v>
      </c>
      <c r="I1959" s="428"/>
      <c r="J1959" s="607" t="s">
        <v>6</v>
      </c>
      <c r="K1959" s="607" t="s">
        <v>128</v>
      </c>
      <c r="L1959" s="607" t="s">
        <v>112</v>
      </c>
      <c r="M1959" s="608"/>
      <c r="N1959" s="424"/>
      <c r="P1959" s="414"/>
    </row>
    <row r="1960" spans="1:16" s="425" customFormat="1" ht="14">
      <c r="A1960" s="316" t="s">
        <v>741</v>
      </c>
      <c r="B1960" s="317" t="s">
        <v>717</v>
      </c>
      <c r="C1960" s="318"/>
      <c r="D1960" s="605"/>
      <c r="E1960" s="605"/>
      <c r="F1960" s="606"/>
      <c r="G1960" s="402"/>
      <c r="H1960" s="402"/>
      <c r="I1960" s="428"/>
      <c r="J1960" s="607"/>
      <c r="K1960" s="607"/>
      <c r="L1960" s="607"/>
      <c r="M1960" s="608"/>
      <c r="N1960" s="424"/>
      <c r="P1960" s="414"/>
    </row>
    <row r="1961" spans="1:16" s="425" customFormat="1" ht="14">
      <c r="A1961" s="319" t="s">
        <v>8</v>
      </c>
      <c r="B1961" s="314" t="s">
        <v>718</v>
      </c>
      <c r="C1961" s="320" t="s">
        <v>15</v>
      </c>
      <c r="D1961" s="605"/>
      <c r="E1961" s="605"/>
      <c r="F1961" s="609"/>
      <c r="G1961" s="391">
        <f t="shared" ref="G1961:H1964" si="503">D1961*$F1961</f>
        <v>0</v>
      </c>
      <c r="H1961" s="391">
        <f t="shared" si="503"/>
        <v>0</v>
      </c>
      <c r="I1961" s="428"/>
      <c r="J1961" s="607" t="s">
        <v>6</v>
      </c>
      <c r="K1961" s="607" t="s">
        <v>128</v>
      </c>
      <c r="L1961" s="607" t="s">
        <v>112</v>
      </c>
      <c r="M1961" s="608"/>
      <c r="N1961" s="424"/>
      <c r="P1961" s="414"/>
    </row>
    <row r="1962" spans="1:16" s="425" customFormat="1" ht="14">
      <c r="A1962" s="319" t="s">
        <v>8</v>
      </c>
      <c r="B1962" s="314" t="s">
        <v>719</v>
      </c>
      <c r="C1962" s="320" t="s">
        <v>15</v>
      </c>
      <c r="D1962" s="605"/>
      <c r="E1962" s="605"/>
      <c r="F1962" s="609"/>
      <c r="G1962" s="391">
        <f t="shared" si="503"/>
        <v>0</v>
      </c>
      <c r="H1962" s="391">
        <f t="shared" si="503"/>
        <v>0</v>
      </c>
      <c r="I1962" s="428"/>
      <c r="J1962" s="607" t="s">
        <v>6</v>
      </c>
      <c r="K1962" s="607" t="s">
        <v>128</v>
      </c>
      <c r="L1962" s="607" t="s">
        <v>112</v>
      </c>
      <c r="M1962" s="608"/>
      <c r="N1962" s="424"/>
      <c r="P1962" s="414"/>
    </row>
    <row r="1963" spans="1:16" s="425" customFormat="1" ht="14">
      <c r="A1963" s="302" t="s">
        <v>8</v>
      </c>
      <c r="B1963" s="303" t="s">
        <v>720</v>
      </c>
      <c r="C1963" s="304" t="s">
        <v>15</v>
      </c>
      <c r="D1963" s="605"/>
      <c r="E1963" s="605"/>
      <c r="F1963" s="303"/>
      <c r="G1963" s="391">
        <f t="shared" si="503"/>
        <v>0</v>
      </c>
      <c r="H1963" s="391">
        <f t="shared" si="503"/>
        <v>0</v>
      </c>
      <c r="I1963" s="428"/>
      <c r="J1963" s="607" t="s">
        <v>6</v>
      </c>
      <c r="K1963" s="607" t="s">
        <v>128</v>
      </c>
      <c r="L1963" s="607" t="s">
        <v>112</v>
      </c>
      <c r="M1963" s="608"/>
      <c r="N1963" s="424"/>
      <c r="P1963" s="414"/>
    </row>
    <row r="1964" spans="1:16" s="425" customFormat="1" ht="14">
      <c r="A1964" s="302" t="s">
        <v>8</v>
      </c>
      <c r="B1964" s="303" t="s">
        <v>721</v>
      </c>
      <c r="C1964" s="304" t="s">
        <v>15</v>
      </c>
      <c r="D1964" s="605"/>
      <c r="E1964" s="605"/>
      <c r="F1964" s="303"/>
      <c r="G1964" s="391">
        <f t="shared" si="503"/>
        <v>0</v>
      </c>
      <c r="H1964" s="391">
        <f t="shared" si="503"/>
        <v>0</v>
      </c>
      <c r="I1964" s="428"/>
      <c r="J1964" s="607" t="s">
        <v>6</v>
      </c>
      <c r="K1964" s="607" t="s">
        <v>128</v>
      </c>
      <c r="L1964" s="607" t="s">
        <v>112</v>
      </c>
      <c r="M1964" s="608"/>
      <c r="N1964" s="424"/>
      <c r="P1964" s="414"/>
    </row>
    <row r="1965" spans="1:16" s="604" customFormat="1" ht="14">
      <c r="A1965" s="321" t="s">
        <v>692</v>
      </c>
      <c r="B1965" s="322" t="s">
        <v>742</v>
      </c>
      <c r="C1965" s="324"/>
      <c r="D1965" s="598"/>
      <c r="E1965" s="598"/>
      <c r="F1965" s="599"/>
      <c r="G1965" s="612"/>
      <c r="H1965" s="612"/>
      <c r="I1965" s="600"/>
      <c r="J1965" s="601"/>
      <c r="K1965" s="601"/>
      <c r="L1965" s="601"/>
      <c r="M1965" s="602"/>
      <c r="N1965" s="603"/>
      <c r="P1965" s="414"/>
    </row>
    <row r="1966" spans="1:16" s="425" customFormat="1" ht="14">
      <c r="A1966" s="316" t="s">
        <v>134</v>
      </c>
      <c r="B1966" s="317" t="s">
        <v>743</v>
      </c>
      <c r="C1966" s="318"/>
      <c r="D1966" s="605"/>
      <c r="E1966" s="605"/>
      <c r="F1966" s="606"/>
      <c r="G1966" s="402"/>
      <c r="H1966" s="402"/>
      <c r="I1966" s="428"/>
      <c r="J1966" s="607"/>
      <c r="K1966" s="607"/>
      <c r="L1966" s="607"/>
      <c r="M1966" s="608"/>
      <c r="N1966" s="424"/>
      <c r="P1966" s="414"/>
    </row>
    <row r="1967" spans="1:16" s="425" customFormat="1" ht="14">
      <c r="A1967" s="319" t="s">
        <v>8</v>
      </c>
      <c r="B1967" s="314" t="s">
        <v>744</v>
      </c>
      <c r="C1967" s="320" t="s">
        <v>24</v>
      </c>
      <c r="D1967" s="605"/>
      <c r="E1967" s="605"/>
      <c r="F1967" s="609"/>
      <c r="G1967" s="391">
        <f t="shared" ref="G1967:H1969" si="504">D1967*$F1967</f>
        <v>0</v>
      </c>
      <c r="H1967" s="391">
        <f t="shared" si="504"/>
        <v>0</v>
      </c>
      <c r="I1967" s="428"/>
      <c r="J1967" s="607" t="s">
        <v>6</v>
      </c>
      <c r="K1967" s="607" t="s">
        <v>128</v>
      </c>
      <c r="L1967" s="607" t="s">
        <v>112</v>
      </c>
      <c r="M1967" s="608"/>
      <c r="N1967" s="424"/>
      <c r="P1967" s="414"/>
    </row>
    <row r="1968" spans="1:16" s="425" customFormat="1" ht="14">
      <c r="A1968" s="319" t="s">
        <v>8</v>
      </c>
      <c r="B1968" s="314" t="s">
        <v>710</v>
      </c>
      <c r="C1968" s="320" t="s">
        <v>15</v>
      </c>
      <c r="D1968" s="605"/>
      <c r="E1968" s="605"/>
      <c r="F1968" s="609"/>
      <c r="G1968" s="391">
        <f t="shared" si="504"/>
        <v>0</v>
      </c>
      <c r="H1968" s="391">
        <f t="shared" si="504"/>
        <v>0</v>
      </c>
      <c r="I1968" s="428"/>
      <c r="J1968" s="607" t="s">
        <v>6</v>
      </c>
      <c r="K1968" s="607" t="s">
        <v>128</v>
      </c>
      <c r="L1968" s="607" t="s">
        <v>112</v>
      </c>
      <c r="M1968" s="608"/>
      <c r="N1968" s="424"/>
      <c r="P1968" s="414"/>
    </row>
    <row r="1969" spans="1:16" s="425" customFormat="1" ht="14">
      <c r="A1969" s="319" t="s">
        <v>8</v>
      </c>
      <c r="B1969" s="314" t="s">
        <v>745</v>
      </c>
      <c r="C1969" s="320" t="s">
        <v>15</v>
      </c>
      <c r="D1969" s="605"/>
      <c r="E1969" s="605"/>
      <c r="F1969" s="610"/>
      <c r="G1969" s="391">
        <f t="shared" si="504"/>
        <v>0</v>
      </c>
      <c r="H1969" s="391">
        <f t="shared" si="504"/>
        <v>0</v>
      </c>
      <c r="I1969" s="428"/>
      <c r="J1969" s="607" t="s">
        <v>6</v>
      </c>
      <c r="K1969" s="607" t="s">
        <v>128</v>
      </c>
      <c r="L1969" s="607" t="s">
        <v>112</v>
      </c>
      <c r="M1969" s="608"/>
      <c r="N1969" s="424"/>
      <c r="P1969" s="414"/>
    </row>
    <row r="1970" spans="1:16" s="425" customFormat="1" ht="14">
      <c r="A1970" s="316" t="s">
        <v>135</v>
      </c>
      <c r="B1970" s="317" t="s">
        <v>700</v>
      </c>
      <c r="C1970" s="318"/>
      <c r="D1970" s="605"/>
      <c r="E1970" s="605"/>
      <c r="F1970" s="606"/>
      <c r="G1970" s="402"/>
      <c r="H1970" s="402"/>
      <c r="I1970" s="428"/>
      <c r="J1970" s="607"/>
      <c r="K1970" s="607"/>
      <c r="L1970" s="607"/>
      <c r="M1970" s="608"/>
      <c r="N1970" s="424"/>
      <c r="P1970" s="414"/>
    </row>
    <row r="1971" spans="1:16" s="425" customFormat="1" ht="14">
      <c r="A1971" s="319" t="s">
        <v>8</v>
      </c>
      <c r="B1971" s="314" t="s">
        <v>701</v>
      </c>
      <c r="C1971" s="320" t="s">
        <v>15</v>
      </c>
      <c r="D1971" s="605"/>
      <c r="E1971" s="605"/>
      <c r="F1971" s="609"/>
      <c r="G1971" s="391">
        <f t="shared" ref="G1971:H1972" si="505">D1971*$F1971</f>
        <v>0</v>
      </c>
      <c r="H1971" s="391">
        <f t="shared" si="505"/>
        <v>0</v>
      </c>
      <c r="I1971" s="428"/>
      <c r="J1971" s="607" t="s">
        <v>6</v>
      </c>
      <c r="K1971" s="607" t="s">
        <v>128</v>
      </c>
      <c r="L1971" s="607" t="s">
        <v>112</v>
      </c>
      <c r="M1971" s="608"/>
      <c r="N1971" s="424"/>
      <c r="P1971" s="414"/>
    </row>
    <row r="1972" spans="1:16" s="425" customFormat="1" ht="14">
      <c r="A1972" s="319" t="s">
        <v>8</v>
      </c>
      <c r="B1972" s="314" t="s">
        <v>746</v>
      </c>
      <c r="C1972" s="320" t="s">
        <v>15</v>
      </c>
      <c r="D1972" s="605"/>
      <c r="E1972" s="605"/>
      <c r="F1972" s="609"/>
      <c r="G1972" s="391">
        <f t="shared" si="505"/>
        <v>0</v>
      </c>
      <c r="H1972" s="391">
        <f t="shared" si="505"/>
        <v>0</v>
      </c>
      <c r="I1972" s="428"/>
      <c r="J1972" s="607" t="s">
        <v>6</v>
      </c>
      <c r="K1972" s="607" t="s">
        <v>128</v>
      </c>
      <c r="L1972" s="607" t="s">
        <v>112</v>
      </c>
      <c r="M1972" s="608"/>
      <c r="N1972" s="424"/>
      <c r="P1972" s="414"/>
    </row>
    <row r="1973" spans="1:16" s="425" customFormat="1" ht="14">
      <c r="A1973" s="316" t="s">
        <v>747</v>
      </c>
      <c r="B1973" s="317" t="s">
        <v>696</v>
      </c>
      <c r="C1973" s="318"/>
      <c r="D1973" s="605"/>
      <c r="E1973" s="605"/>
      <c r="F1973" s="606"/>
      <c r="G1973" s="402"/>
      <c r="H1973" s="402"/>
      <c r="I1973" s="428"/>
      <c r="J1973" s="607"/>
      <c r="K1973" s="607"/>
      <c r="L1973" s="607"/>
      <c r="M1973" s="608"/>
      <c r="N1973" s="424"/>
      <c r="P1973" s="414"/>
    </row>
    <row r="1974" spans="1:16" s="425" customFormat="1" ht="14">
      <c r="A1974" s="319" t="s">
        <v>8</v>
      </c>
      <c r="B1974" s="314" t="s">
        <v>697</v>
      </c>
      <c r="C1974" s="320" t="s">
        <v>150</v>
      </c>
      <c r="D1974" s="605"/>
      <c r="E1974" s="605"/>
      <c r="F1974" s="609"/>
      <c r="G1974" s="391">
        <f t="shared" ref="G1974:H1975" si="506">D1974*$F1974</f>
        <v>0</v>
      </c>
      <c r="H1974" s="391">
        <f t="shared" si="506"/>
        <v>0</v>
      </c>
      <c r="I1974" s="428"/>
      <c r="J1974" s="607" t="s">
        <v>6</v>
      </c>
      <c r="K1974" s="607" t="s">
        <v>128</v>
      </c>
      <c r="L1974" s="607" t="s">
        <v>112</v>
      </c>
      <c r="M1974" s="608"/>
      <c r="N1974" s="424"/>
      <c r="P1974" s="414"/>
    </row>
    <row r="1975" spans="1:16" s="425" customFormat="1" ht="14">
      <c r="A1975" s="319" t="s">
        <v>8</v>
      </c>
      <c r="B1975" s="314" t="s">
        <v>748</v>
      </c>
      <c r="C1975" s="320" t="s">
        <v>749</v>
      </c>
      <c r="D1975" s="605"/>
      <c r="E1975" s="605"/>
      <c r="F1975" s="609"/>
      <c r="G1975" s="391">
        <f t="shared" si="506"/>
        <v>0</v>
      </c>
      <c r="H1975" s="391">
        <f t="shared" si="506"/>
        <v>0</v>
      </c>
      <c r="I1975" s="428"/>
      <c r="J1975" s="607" t="s">
        <v>6</v>
      </c>
      <c r="K1975" s="607" t="s">
        <v>128</v>
      </c>
      <c r="L1975" s="607" t="s">
        <v>112</v>
      </c>
      <c r="M1975" s="608"/>
      <c r="N1975" s="424"/>
      <c r="P1975" s="414"/>
    </row>
    <row r="1976" spans="1:16" s="425" customFormat="1" ht="14">
      <c r="A1976" s="316" t="s">
        <v>750</v>
      </c>
      <c r="B1976" s="317" t="s">
        <v>703</v>
      </c>
      <c r="C1976" s="318"/>
      <c r="D1976" s="605"/>
      <c r="E1976" s="605"/>
      <c r="F1976" s="606"/>
      <c r="G1976" s="402"/>
      <c r="H1976" s="402"/>
      <c r="I1976" s="428"/>
      <c r="J1976" s="607"/>
      <c r="K1976" s="607"/>
      <c r="L1976" s="607"/>
      <c r="M1976" s="608"/>
      <c r="N1976" s="424"/>
      <c r="P1976" s="414"/>
    </row>
    <row r="1977" spans="1:16" s="425" customFormat="1" ht="14">
      <c r="A1977" s="319" t="s">
        <v>8</v>
      </c>
      <c r="B1977" s="314" t="s">
        <v>751</v>
      </c>
      <c r="C1977" s="320" t="s">
        <v>24</v>
      </c>
      <c r="D1977" s="605"/>
      <c r="E1977" s="605"/>
      <c r="F1977" s="609"/>
      <c r="G1977" s="391">
        <f t="shared" ref="G1977:H1977" si="507">D1977*$F1977</f>
        <v>0</v>
      </c>
      <c r="H1977" s="391">
        <f t="shared" si="507"/>
        <v>0</v>
      </c>
      <c r="I1977" s="428"/>
      <c r="J1977" s="607" t="s">
        <v>6</v>
      </c>
      <c r="K1977" s="607" t="s">
        <v>128</v>
      </c>
      <c r="L1977" s="607" t="s">
        <v>112</v>
      </c>
      <c r="M1977" s="608"/>
      <c r="N1977" s="424"/>
      <c r="P1977" s="414"/>
    </row>
    <row r="1978" spans="1:16" s="425" customFormat="1" ht="14">
      <c r="A1978" s="316" t="s">
        <v>752</v>
      </c>
      <c r="B1978" s="317" t="s">
        <v>753</v>
      </c>
      <c r="C1978" s="318"/>
      <c r="D1978" s="605"/>
      <c r="E1978" s="605"/>
      <c r="F1978" s="606"/>
      <c r="G1978" s="402"/>
      <c r="H1978" s="402"/>
      <c r="I1978" s="428"/>
      <c r="J1978" s="607"/>
      <c r="K1978" s="607"/>
      <c r="L1978" s="607"/>
      <c r="M1978" s="608"/>
      <c r="N1978" s="424"/>
      <c r="P1978" s="414"/>
    </row>
    <row r="1979" spans="1:16" s="425" customFormat="1" ht="14">
      <c r="A1979" s="319" t="s">
        <v>8</v>
      </c>
      <c r="B1979" s="314" t="s">
        <v>754</v>
      </c>
      <c r="C1979" s="320" t="s">
        <v>31</v>
      </c>
      <c r="D1979" s="605"/>
      <c r="E1979" s="605"/>
      <c r="F1979" s="609"/>
      <c r="G1979" s="391">
        <f t="shared" ref="G1979:H1979" si="508">D1979*$F1979</f>
        <v>0</v>
      </c>
      <c r="H1979" s="391">
        <f t="shared" si="508"/>
        <v>0</v>
      </c>
      <c r="I1979" s="428"/>
      <c r="J1979" s="607" t="s">
        <v>6</v>
      </c>
      <c r="K1979" s="607" t="s">
        <v>128</v>
      </c>
      <c r="L1979" s="607" t="s">
        <v>112</v>
      </c>
      <c r="M1979" s="608"/>
      <c r="N1979" s="424"/>
      <c r="P1979" s="414"/>
    </row>
    <row r="1980" spans="1:16" s="425" customFormat="1" ht="14">
      <c r="A1980" s="316" t="s">
        <v>755</v>
      </c>
      <c r="B1980" s="317" t="s">
        <v>717</v>
      </c>
      <c r="C1980" s="318"/>
      <c r="D1980" s="605"/>
      <c r="E1980" s="605"/>
      <c r="F1980" s="606"/>
      <c r="G1980" s="402"/>
      <c r="H1980" s="402"/>
      <c r="I1980" s="428"/>
      <c r="J1980" s="607"/>
      <c r="K1980" s="607"/>
      <c r="L1980" s="607"/>
      <c r="M1980" s="608"/>
      <c r="N1980" s="424"/>
      <c r="P1980" s="414"/>
    </row>
    <row r="1981" spans="1:16" s="425" customFormat="1" ht="14">
      <c r="A1981" s="319" t="s">
        <v>8</v>
      </c>
      <c r="B1981" s="314" t="s">
        <v>718</v>
      </c>
      <c r="C1981" s="320" t="s">
        <v>15</v>
      </c>
      <c r="D1981" s="605"/>
      <c r="E1981" s="605"/>
      <c r="F1981" s="609"/>
      <c r="G1981" s="391">
        <f t="shared" ref="G1981:H1986" si="509">D1981*$F1981</f>
        <v>0</v>
      </c>
      <c r="H1981" s="391">
        <f t="shared" si="509"/>
        <v>0</v>
      </c>
      <c r="I1981" s="428"/>
      <c r="J1981" s="607" t="s">
        <v>6</v>
      </c>
      <c r="K1981" s="607" t="s">
        <v>128</v>
      </c>
      <c r="L1981" s="607" t="s">
        <v>112</v>
      </c>
      <c r="M1981" s="608"/>
      <c r="N1981" s="424"/>
      <c r="P1981" s="414"/>
    </row>
    <row r="1982" spans="1:16" s="425" customFormat="1" ht="14">
      <c r="A1982" s="319" t="s">
        <v>8</v>
      </c>
      <c r="B1982" s="314" t="s">
        <v>719</v>
      </c>
      <c r="C1982" s="320" t="s">
        <v>15</v>
      </c>
      <c r="D1982" s="605"/>
      <c r="E1982" s="605"/>
      <c r="F1982" s="609"/>
      <c r="G1982" s="391">
        <f t="shared" si="509"/>
        <v>0</v>
      </c>
      <c r="H1982" s="391">
        <f t="shared" si="509"/>
        <v>0</v>
      </c>
      <c r="I1982" s="428"/>
      <c r="J1982" s="607" t="s">
        <v>6</v>
      </c>
      <c r="K1982" s="607" t="s">
        <v>128</v>
      </c>
      <c r="L1982" s="607" t="s">
        <v>112</v>
      </c>
      <c r="M1982" s="608"/>
      <c r="N1982" s="424"/>
      <c r="P1982" s="414"/>
    </row>
    <row r="1983" spans="1:16" s="425" customFormat="1" ht="14">
      <c r="A1983" s="319" t="s">
        <v>8</v>
      </c>
      <c r="B1983" s="314" t="s">
        <v>756</v>
      </c>
      <c r="C1983" s="320" t="s">
        <v>15</v>
      </c>
      <c r="D1983" s="605"/>
      <c r="E1983" s="605"/>
      <c r="F1983" s="609"/>
      <c r="G1983" s="391">
        <f t="shared" si="509"/>
        <v>0</v>
      </c>
      <c r="H1983" s="391">
        <f t="shared" si="509"/>
        <v>0</v>
      </c>
      <c r="I1983" s="428"/>
      <c r="J1983" s="607" t="s">
        <v>6</v>
      </c>
      <c r="K1983" s="607" t="s">
        <v>128</v>
      </c>
      <c r="L1983" s="607" t="s">
        <v>112</v>
      </c>
      <c r="M1983" s="608"/>
      <c r="N1983" s="424"/>
      <c r="P1983" s="414"/>
    </row>
    <row r="1984" spans="1:16" s="425" customFormat="1" ht="14">
      <c r="A1984" s="319" t="s">
        <v>8</v>
      </c>
      <c r="B1984" s="314" t="s">
        <v>757</v>
      </c>
      <c r="C1984" s="320" t="s">
        <v>15</v>
      </c>
      <c r="D1984" s="605"/>
      <c r="E1984" s="605"/>
      <c r="F1984" s="609"/>
      <c r="G1984" s="391">
        <f t="shared" si="509"/>
        <v>0</v>
      </c>
      <c r="H1984" s="391">
        <f t="shared" si="509"/>
        <v>0</v>
      </c>
      <c r="I1984" s="428"/>
      <c r="J1984" s="607" t="s">
        <v>6</v>
      </c>
      <c r="K1984" s="607" t="s">
        <v>128</v>
      </c>
      <c r="L1984" s="607" t="s">
        <v>112</v>
      </c>
      <c r="M1984" s="608"/>
      <c r="N1984" s="424"/>
      <c r="P1984" s="414"/>
    </row>
    <row r="1985" spans="1:16" s="425" customFormat="1" ht="14">
      <c r="A1985" s="302" t="s">
        <v>8</v>
      </c>
      <c r="B1985" s="303" t="s">
        <v>720</v>
      </c>
      <c r="C1985" s="304" t="s">
        <v>15</v>
      </c>
      <c r="D1985" s="605"/>
      <c r="E1985" s="605"/>
      <c r="F1985" s="303"/>
      <c r="G1985" s="391">
        <f t="shared" si="509"/>
        <v>0</v>
      </c>
      <c r="H1985" s="391">
        <f t="shared" si="509"/>
        <v>0</v>
      </c>
      <c r="I1985" s="428"/>
      <c r="J1985" s="607" t="s">
        <v>6</v>
      </c>
      <c r="K1985" s="607" t="s">
        <v>128</v>
      </c>
      <c r="L1985" s="607" t="s">
        <v>112</v>
      </c>
      <c r="M1985" s="608"/>
      <c r="N1985" s="424"/>
      <c r="P1985" s="414"/>
    </row>
    <row r="1986" spans="1:16" s="425" customFormat="1" ht="14">
      <c r="A1986" s="302" t="s">
        <v>8</v>
      </c>
      <c r="B1986" s="303" t="s">
        <v>721</v>
      </c>
      <c r="C1986" s="304" t="s">
        <v>15</v>
      </c>
      <c r="D1986" s="605"/>
      <c r="E1986" s="605"/>
      <c r="F1986" s="303"/>
      <c r="G1986" s="391">
        <f t="shared" si="509"/>
        <v>0</v>
      </c>
      <c r="H1986" s="391">
        <f t="shared" si="509"/>
        <v>0</v>
      </c>
      <c r="I1986" s="428"/>
      <c r="J1986" s="607" t="s">
        <v>6</v>
      </c>
      <c r="K1986" s="607" t="s">
        <v>128</v>
      </c>
      <c r="L1986" s="607" t="s">
        <v>112</v>
      </c>
      <c r="M1986" s="608"/>
      <c r="N1986" s="424"/>
      <c r="P1986" s="414"/>
    </row>
    <row r="1987" spans="1:16" s="425" customFormat="1" ht="14">
      <c r="A1987" s="316" t="s">
        <v>758</v>
      </c>
      <c r="B1987" s="317" t="s">
        <v>759</v>
      </c>
      <c r="C1987" s="318"/>
      <c r="D1987" s="605"/>
      <c r="E1987" s="605"/>
      <c r="F1987" s="606"/>
      <c r="G1987" s="402"/>
      <c r="H1987" s="402"/>
      <c r="I1987" s="428"/>
      <c r="J1987" s="607"/>
      <c r="K1987" s="607"/>
      <c r="L1987" s="607"/>
      <c r="M1987" s="608"/>
      <c r="N1987" s="424"/>
      <c r="P1987" s="414"/>
    </row>
    <row r="1988" spans="1:16" s="425" customFormat="1" ht="14">
      <c r="A1988" s="319" t="s">
        <v>8</v>
      </c>
      <c r="B1988" s="314" t="s">
        <v>760</v>
      </c>
      <c r="C1988" s="320" t="s">
        <v>15</v>
      </c>
      <c r="D1988" s="605"/>
      <c r="E1988" s="605"/>
      <c r="F1988" s="303"/>
      <c r="G1988" s="391">
        <f t="shared" ref="G1988:H1988" si="510">D1988*$F1988</f>
        <v>0</v>
      </c>
      <c r="H1988" s="391">
        <f t="shared" si="510"/>
        <v>0</v>
      </c>
      <c r="I1988" s="428"/>
      <c r="J1988" s="607" t="s">
        <v>6</v>
      </c>
      <c r="K1988" s="607" t="s">
        <v>128</v>
      </c>
      <c r="L1988" s="607" t="s">
        <v>112</v>
      </c>
      <c r="M1988" s="608"/>
      <c r="N1988" s="424"/>
      <c r="P1988" s="414"/>
    </row>
    <row r="1989" spans="1:16" s="425" customFormat="1" ht="14">
      <c r="A1989" s="321" t="s">
        <v>761</v>
      </c>
      <c r="B1989" s="596" t="s">
        <v>762</v>
      </c>
      <c r="C1989" s="324"/>
      <c r="D1989" s="598"/>
      <c r="E1989" s="598"/>
      <c r="F1989" s="599"/>
      <c r="G1989" s="598">
        <f>SUBTOTAL(9,G1990:G2014)</f>
        <v>0</v>
      </c>
      <c r="H1989" s="598">
        <f>SUBTOTAL(9,H1990:H2014)</f>
        <v>0</v>
      </c>
      <c r="I1989" s="600"/>
      <c r="J1989" s="601"/>
      <c r="K1989" s="601"/>
      <c r="L1989" s="601"/>
      <c r="M1989" s="602"/>
      <c r="N1989" s="424"/>
      <c r="P1989" s="414"/>
    </row>
    <row r="1990" spans="1:16" s="425" customFormat="1" ht="14">
      <c r="A1990" s="302" t="s">
        <v>763</v>
      </c>
      <c r="B1990" s="303" t="s">
        <v>697</v>
      </c>
      <c r="C1990" s="304" t="s">
        <v>150</v>
      </c>
      <c r="D1990" s="402"/>
      <c r="E1990" s="402"/>
      <c r="F1990" s="609"/>
      <c r="G1990" s="398">
        <f t="shared" ref="G1990:H1990" si="511">D1990*$F1990</f>
        <v>0</v>
      </c>
      <c r="H1990" s="398">
        <f t="shared" si="511"/>
        <v>0</v>
      </c>
      <c r="I1990" s="428"/>
      <c r="J1990" s="607" t="s">
        <v>6</v>
      </c>
      <c r="K1990" s="607" t="s">
        <v>93</v>
      </c>
      <c r="L1990" s="607" t="s">
        <v>112</v>
      </c>
      <c r="M1990" s="608"/>
      <c r="N1990" s="424"/>
      <c r="P1990" s="414"/>
    </row>
    <row r="1991" spans="1:16" s="425" customFormat="1" ht="14">
      <c r="A1991" s="302" t="s">
        <v>764</v>
      </c>
      <c r="B1991" s="303" t="s">
        <v>765</v>
      </c>
      <c r="C1991" s="301"/>
      <c r="D1991" s="605"/>
      <c r="E1991" s="402"/>
      <c r="F1991" s="606"/>
      <c r="G1991" s="402"/>
      <c r="H1991" s="402"/>
      <c r="I1991" s="428"/>
      <c r="J1991" s="607"/>
      <c r="K1991" s="607"/>
      <c r="L1991" s="607"/>
      <c r="M1991" s="608"/>
      <c r="N1991" s="424"/>
      <c r="P1991" s="414"/>
    </row>
    <row r="1992" spans="1:16" s="425" customFormat="1" ht="14">
      <c r="A1992" s="319" t="s">
        <v>8</v>
      </c>
      <c r="B1992" s="325" t="s">
        <v>766</v>
      </c>
      <c r="C1992" s="320" t="s">
        <v>15</v>
      </c>
      <c r="D1992" s="402"/>
      <c r="E1992" s="402"/>
      <c r="F1992" s="609"/>
      <c r="G1992" s="398">
        <f t="shared" ref="G1992:H1998" si="512">D1992*$F1992</f>
        <v>0</v>
      </c>
      <c r="H1992" s="398">
        <f t="shared" si="512"/>
        <v>0</v>
      </c>
      <c r="I1992" s="428"/>
      <c r="J1992" s="607" t="s">
        <v>6</v>
      </c>
      <c r="K1992" s="607" t="s">
        <v>93</v>
      </c>
      <c r="L1992" s="607" t="s">
        <v>112</v>
      </c>
      <c r="N1992" s="424"/>
      <c r="P1992" s="613"/>
    </row>
    <row r="1993" spans="1:16" s="425" customFormat="1" ht="14">
      <c r="A1993" s="319" t="s">
        <v>8</v>
      </c>
      <c r="B1993" s="303" t="s">
        <v>767</v>
      </c>
      <c r="C1993" s="320" t="s">
        <v>15</v>
      </c>
      <c r="D1993" s="402"/>
      <c r="E1993" s="402"/>
      <c r="F1993" s="609"/>
      <c r="G1993" s="398">
        <f t="shared" si="512"/>
        <v>0</v>
      </c>
      <c r="H1993" s="398">
        <f t="shared" si="512"/>
        <v>0</v>
      </c>
      <c r="I1993" s="428"/>
      <c r="J1993" s="607" t="s">
        <v>6</v>
      </c>
      <c r="K1993" s="607" t="s">
        <v>93</v>
      </c>
      <c r="L1993" s="607" t="s">
        <v>112</v>
      </c>
      <c r="M1993" s="614"/>
      <c r="N1993" s="424"/>
      <c r="P1993" s="414"/>
    </row>
    <row r="1994" spans="1:16" s="425" customFormat="1" ht="14">
      <c r="A1994" s="319" t="s">
        <v>8</v>
      </c>
      <c r="B1994" s="303" t="s">
        <v>768</v>
      </c>
      <c r="C1994" s="320" t="s">
        <v>15</v>
      </c>
      <c r="D1994" s="402"/>
      <c r="E1994" s="402"/>
      <c r="F1994" s="609"/>
      <c r="G1994" s="398">
        <f t="shared" si="512"/>
        <v>0</v>
      </c>
      <c r="H1994" s="398">
        <f t="shared" si="512"/>
        <v>0</v>
      </c>
      <c r="I1994" s="428"/>
      <c r="J1994" s="607" t="s">
        <v>6</v>
      </c>
      <c r="K1994" s="607" t="s">
        <v>93</v>
      </c>
      <c r="L1994" s="607" t="s">
        <v>112</v>
      </c>
      <c r="M1994" s="614"/>
      <c r="N1994" s="424"/>
      <c r="P1994" s="414"/>
    </row>
    <row r="1995" spans="1:16" s="425" customFormat="1" ht="14">
      <c r="A1995" s="319" t="s">
        <v>8</v>
      </c>
      <c r="B1995" s="303" t="s">
        <v>769</v>
      </c>
      <c r="C1995" s="320" t="s">
        <v>15</v>
      </c>
      <c r="D1995" s="402"/>
      <c r="E1995" s="402"/>
      <c r="F1995" s="609"/>
      <c r="G1995" s="398">
        <f t="shared" si="512"/>
        <v>0</v>
      </c>
      <c r="H1995" s="398">
        <f t="shared" si="512"/>
        <v>0</v>
      </c>
      <c r="I1995" s="428"/>
      <c r="J1995" s="607" t="s">
        <v>6</v>
      </c>
      <c r="K1995" s="607" t="s">
        <v>93</v>
      </c>
      <c r="L1995" s="607" t="s">
        <v>112</v>
      </c>
      <c r="M1995" s="614"/>
      <c r="N1995" s="424"/>
      <c r="P1995" s="414"/>
    </row>
    <row r="1996" spans="1:16" s="425" customFormat="1" ht="14">
      <c r="A1996" s="319" t="s">
        <v>8</v>
      </c>
      <c r="B1996" s="325" t="s">
        <v>770</v>
      </c>
      <c r="C1996" s="320" t="s">
        <v>15</v>
      </c>
      <c r="D1996" s="402"/>
      <c r="E1996" s="402"/>
      <c r="F1996" s="609"/>
      <c r="G1996" s="398">
        <f t="shared" si="512"/>
        <v>0</v>
      </c>
      <c r="H1996" s="398">
        <f t="shared" si="512"/>
        <v>0</v>
      </c>
      <c r="I1996" s="428"/>
      <c r="J1996" s="607" t="s">
        <v>6</v>
      </c>
      <c r="K1996" s="607" t="s">
        <v>93</v>
      </c>
      <c r="L1996" s="607" t="s">
        <v>112</v>
      </c>
      <c r="M1996" s="614"/>
      <c r="N1996" s="424"/>
      <c r="P1996" s="414"/>
    </row>
    <row r="1997" spans="1:16" s="425" customFormat="1" ht="14">
      <c r="A1997" s="319" t="s">
        <v>8</v>
      </c>
      <c r="B1997" s="325" t="s">
        <v>771</v>
      </c>
      <c r="C1997" s="320" t="s">
        <v>15</v>
      </c>
      <c r="D1997" s="402"/>
      <c r="E1997" s="402"/>
      <c r="F1997" s="609"/>
      <c r="G1997" s="398">
        <f t="shared" si="512"/>
        <v>0</v>
      </c>
      <c r="H1997" s="398">
        <f t="shared" si="512"/>
        <v>0</v>
      </c>
      <c r="I1997" s="428"/>
      <c r="J1997" s="607" t="s">
        <v>6</v>
      </c>
      <c r="K1997" s="607" t="s">
        <v>93</v>
      </c>
      <c r="L1997" s="607" t="s">
        <v>112</v>
      </c>
      <c r="M1997" s="614"/>
      <c r="N1997" s="424"/>
      <c r="P1997" s="414"/>
    </row>
    <row r="1998" spans="1:16" s="425" customFormat="1" ht="14">
      <c r="A1998" s="319" t="s">
        <v>8</v>
      </c>
      <c r="B1998" s="314" t="s">
        <v>772</v>
      </c>
      <c r="C1998" s="320" t="s">
        <v>15</v>
      </c>
      <c r="D1998" s="402"/>
      <c r="E1998" s="605"/>
      <c r="F1998" s="610"/>
      <c r="G1998" s="398">
        <f t="shared" si="512"/>
        <v>0</v>
      </c>
      <c r="H1998" s="398">
        <f t="shared" si="512"/>
        <v>0</v>
      </c>
      <c r="I1998" s="428"/>
      <c r="J1998" s="607" t="s">
        <v>6</v>
      </c>
      <c r="K1998" s="607" t="s">
        <v>93</v>
      </c>
      <c r="L1998" s="607" t="s">
        <v>112</v>
      </c>
      <c r="M1998" s="614"/>
      <c r="N1998" s="424"/>
      <c r="P1998" s="414"/>
    </row>
    <row r="1999" spans="1:16" s="425" customFormat="1" ht="14">
      <c r="A1999" s="319" t="s">
        <v>773</v>
      </c>
      <c r="B1999" s="317" t="s">
        <v>743</v>
      </c>
      <c r="C1999" s="318"/>
      <c r="D1999" s="402"/>
      <c r="E1999" s="605"/>
      <c r="F1999" s="610"/>
      <c r="G1999" s="398"/>
      <c r="H1999" s="398"/>
      <c r="I1999" s="428"/>
      <c r="J1999" s="607"/>
      <c r="K1999" s="607"/>
      <c r="L1999" s="607"/>
      <c r="M1999" s="614"/>
      <c r="N1999" s="424"/>
      <c r="P1999" s="414"/>
    </row>
    <row r="2000" spans="1:16" s="425" customFormat="1" ht="14">
      <c r="A2000" s="319" t="s">
        <v>8</v>
      </c>
      <c r="B2000" s="314" t="s">
        <v>744</v>
      </c>
      <c r="C2000" s="320" t="s">
        <v>24</v>
      </c>
      <c r="D2000" s="402"/>
      <c r="E2000" s="605"/>
      <c r="F2000" s="609"/>
      <c r="G2000" s="398">
        <f t="shared" ref="G2000:H2002" si="513">D2000*$F2000</f>
        <v>0</v>
      </c>
      <c r="H2000" s="398">
        <f t="shared" si="513"/>
        <v>0</v>
      </c>
      <c r="I2000" s="428"/>
      <c r="J2000" s="607" t="s">
        <v>6</v>
      </c>
      <c r="K2000" s="607" t="s">
        <v>93</v>
      </c>
      <c r="L2000" s="607" t="s">
        <v>112</v>
      </c>
      <c r="N2000" s="424"/>
      <c r="P2000" s="613"/>
    </row>
    <row r="2001" spans="1:16" s="425" customFormat="1" ht="14">
      <c r="A2001" s="319" t="s">
        <v>8</v>
      </c>
      <c r="B2001" s="314" t="s">
        <v>710</v>
      </c>
      <c r="C2001" s="320" t="s">
        <v>15</v>
      </c>
      <c r="D2001" s="402"/>
      <c r="E2001" s="605"/>
      <c r="F2001" s="609"/>
      <c r="G2001" s="398">
        <f t="shared" si="513"/>
        <v>0</v>
      </c>
      <c r="H2001" s="398">
        <f t="shared" si="513"/>
        <v>0</v>
      </c>
      <c r="I2001" s="428"/>
      <c r="J2001" s="607" t="s">
        <v>6</v>
      </c>
      <c r="K2001" s="607" t="s">
        <v>93</v>
      </c>
      <c r="L2001" s="607" t="s">
        <v>112</v>
      </c>
      <c r="N2001" s="424"/>
      <c r="P2001" s="613"/>
    </row>
    <row r="2002" spans="1:16" s="425" customFormat="1" ht="14">
      <c r="A2002" s="319" t="s">
        <v>8</v>
      </c>
      <c r="B2002" s="314" t="s">
        <v>745</v>
      </c>
      <c r="C2002" s="320" t="s">
        <v>15</v>
      </c>
      <c r="D2002" s="402"/>
      <c r="E2002" s="605"/>
      <c r="F2002" s="610"/>
      <c r="G2002" s="398">
        <f t="shared" si="513"/>
        <v>0</v>
      </c>
      <c r="H2002" s="398">
        <f t="shared" si="513"/>
        <v>0</v>
      </c>
      <c r="I2002" s="428"/>
      <c r="J2002" s="607" t="s">
        <v>6</v>
      </c>
      <c r="K2002" s="607" t="s">
        <v>93</v>
      </c>
      <c r="L2002" s="607" t="s">
        <v>112</v>
      </c>
      <c r="N2002" s="424"/>
      <c r="P2002" s="613"/>
    </row>
    <row r="2003" spans="1:16" s="425" customFormat="1" ht="14">
      <c r="A2003" s="302" t="s">
        <v>774</v>
      </c>
      <c r="B2003" s="303" t="s">
        <v>713</v>
      </c>
      <c r="C2003" s="301"/>
      <c r="D2003" s="605"/>
      <c r="E2003" s="605"/>
      <c r="F2003" s="606"/>
      <c r="G2003" s="402"/>
      <c r="H2003" s="402"/>
      <c r="I2003" s="428"/>
      <c r="J2003" s="607"/>
      <c r="K2003" s="607"/>
      <c r="L2003" s="607"/>
      <c r="M2003" s="608"/>
      <c r="N2003" s="424"/>
      <c r="P2003" s="414"/>
    </row>
    <row r="2004" spans="1:16" s="425" customFormat="1" ht="14">
      <c r="A2004" s="319" t="s">
        <v>8</v>
      </c>
      <c r="B2004" s="314" t="s">
        <v>714</v>
      </c>
      <c r="C2004" s="320" t="s">
        <v>10</v>
      </c>
      <c r="D2004" s="605"/>
      <c r="E2004" s="605"/>
      <c r="F2004" s="611"/>
      <c r="G2004" s="398">
        <f t="shared" ref="G2004:H2005" si="514">D2004*$F2004</f>
        <v>0</v>
      </c>
      <c r="H2004" s="398">
        <f t="shared" si="514"/>
        <v>0</v>
      </c>
      <c r="I2004" s="428"/>
      <c r="J2004" s="607" t="s">
        <v>6</v>
      </c>
      <c r="K2004" s="607" t="s">
        <v>93</v>
      </c>
      <c r="L2004" s="607" t="s">
        <v>112</v>
      </c>
      <c r="M2004" s="608"/>
      <c r="N2004" s="424"/>
      <c r="P2004" s="414"/>
    </row>
    <row r="2005" spans="1:16" s="425" customFormat="1" ht="14">
      <c r="A2005" s="319" t="s">
        <v>8</v>
      </c>
      <c r="B2005" s="314" t="s">
        <v>715</v>
      </c>
      <c r="C2005" s="320" t="s">
        <v>10</v>
      </c>
      <c r="D2005" s="605"/>
      <c r="E2005" s="605"/>
      <c r="F2005" s="611"/>
      <c r="G2005" s="398">
        <f t="shared" si="514"/>
        <v>0</v>
      </c>
      <c r="H2005" s="398">
        <f t="shared" si="514"/>
        <v>0</v>
      </c>
      <c r="I2005" s="428"/>
      <c r="J2005" s="607" t="s">
        <v>6</v>
      </c>
      <c r="K2005" s="607" t="s">
        <v>93</v>
      </c>
      <c r="L2005" s="607" t="s">
        <v>112</v>
      </c>
      <c r="M2005" s="608"/>
      <c r="N2005" s="424"/>
      <c r="P2005" s="414"/>
    </row>
    <row r="2006" spans="1:16" s="425" customFormat="1" ht="14">
      <c r="A2006" s="319" t="s">
        <v>775</v>
      </c>
      <c r="B2006" s="314" t="s">
        <v>753</v>
      </c>
      <c r="C2006" s="318"/>
      <c r="D2006" s="605"/>
      <c r="E2006" s="605"/>
      <c r="F2006" s="606"/>
      <c r="G2006" s="402"/>
      <c r="H2006" s="402"/>
      <c r="I2006" s="428"/>
      <c r="J2006" s="607"/>
      <c r="K2006" s="607"/>
      <c r="L2006" s="607"/>
      <c r="M2006" s="608"/>
      <c r="N2006" s="424"/>
      <c r="P2006" s="414"/>
    </row>
    <row r="2007" spans="1:16" s="425" customFormat="1" ht="14">
      <c r="A2007" s="319" t="s">
        <v>8</v>
      </c>
      <c r="B2007" s="314" t="s">
        <v>754</v>
      </c>
      <c r="C2007" s="320" t="s">
        <v>31</v>
      </c>
      <c r="D2007" s="402"/>
      <c r="E2007" s="402"/>
      <c r="F2007" s="609"/>
      <c r="G2007" s="398">
        <f t="shared" ref="G2007:H2007" si="515">D2007*$F2007</f>
        <v>0</v>
      </c>
      <c r="H2007" s="398">
        <f t="shared" si="515"/>
        <v>0</v>
      </c>
      <c r="I2007" s="428"/>
      <c r="J2007" s="607" t="s">
        <v>6</v>
      </c>
      <c r="K2007" s="607" t="s">
        <v>93</v>
      </c>
      <c r="L2007" s="607" t="s">
        <v>112</v>
      </c>
      <c r="N2007" s="424"/>
      <c r="P2007" s="344"/>
    </row>
    <row r="2008" spans="1:16" s="425" customFormat="1" ht="14">
      <c r="A2008" s="319" t="s">
        <v>776</v>
      </c>
      <c r="B2008" s="314" t="s">
        <v>703</v>
      </c>
      <c r="C2008" s="318"/>
      <c r="D2008" s="605"/>
      <c r="E2008" s="605"/>
      <c r="F2008" s="606"/>
      <c r="G2008" s="402"/>
      <c r="H2008" s="402"/>
      <c r="I2008" s="428"/>
      <c r="J2008" s="607"/>
      <c r="K2008" s="607"/>
      <c r="L2008" s="607"/>
      <c r="N2008" s="424"/>
      <c r="P2008" s="615"/>
    </row>
    <row r="2009" spans="1:16" s="425" customFormat="1" ht="14">
      <c r="A2009" s="302" t="s">
        <v>8</v>
      </c>
      <c r="B2009" s="303" t="s">
        <v>777</v>
      </c>
      <c r="C2009" s="304" t="s">
        <v>24</v>
      </c>
      <c r="D2009" s="402"/>
      <c r="E2009" s="402"/>
      <c r="F2009" s="609"/>
      <c r="G2009" s="398">
        <f t="shared" ref="G2009:H2009" si="516">D2009*$F2009</f>
        <v>0</v>
      </c>
      <c r="H2009" s="398">
        <f t="shared" si="516"/>
        <v>0</v>
      </c>
      <c r="I2009" s="428"/>
      <c r="J2009" s="607" t="s">
        <v>6</v>
      </c>
      <c r="K2009" s="607" t="s">
        <v>93</v>
      </c>
      <c r="L2009" s="607" t="s">
        <v>112</v>
      </c>
      <c r="N2009" s="424"/>
      <c r="P2009" s="344"/>
    </row>
    <row r="2010" spans="1:16" s="425" customFormat="1" ht="14">
      <c r="A2010" s="319" t="s">
        <v>778</v>
      </c>
      <c r="B2010" s="314" t="s">
        <v>700</v>
      </c>
      <c r="C2010" s="304"/>
      <c r="D2010" s="605"/>
      <c r="E2010" s="605"/>
      <c r="F2010" s="606"/>
      <c r="G2010" s="402"/>
      <c r="H2010" s="402"/>
      <c r="I2010" s="428"/>
      <c r="J2010" s="607"/>
      <c r="K2010" s="607"/>
      <c r="L2010" s="607"/>
      <c r="M2010" s="608"/>
      <c r="N2010" s="424"/>
      <c r="P2010" s="414"/>
    </row>
    <row r="2011" spans="1:16" s="425" customFormat="1" ht="14">
      <c r="A2011" s="319" t="s">
        <v>8</v>
      </c>
      <c r="B2011" s="314" t="s">
        <v>701</v>
      </c>
      <c r="C2011" s="320" t="s">
        <v>15</v>
      </c>
      <c r="D2011" s="605"/>
      <c r="E2011" s="605"/>
      <c r="F2011" s="609"/>
      <c r="G2011" s="398">
        <f t="shared" ref="G2011:H2014" si="517">D2011*$F2011</f>
        <v>0</v>
      </c>
      <c r="H2011" s="398">
        <f t="shared" si="517"/>
        <v>0</v>
      </c>
      <c r="I2011" s="428"/>
      <c r="J2011" s="607" t="s">
        <v>6</v>
      </c>
      <c r="K2011" s="607" t="s">
        <v>93</v>
      </c>
      <c r="L2011" s="607" t="s">
        <v>112</v>
      </c>
      <c r="M2011" s="608"/>
      <c r="N2011" s="424"/>
      <c r="P2011" s="414"/>
    </row>
    <row r="2012" spans="1:16" s="425" customFormat="1" ht="14">
      <c r="A2012" s="302" t="s">
        <v>8</v>
      </c>
      <c r="B2012" s="303" t="s">
        <v>746</v>
      </c>
      <c r="C2012" s="304" t="s">
        <v>15</v>
      </c>
      <c r="D2012" s="605"/>
      <c r="E2012" s="605"/>
      <c r="F2012" s="609"/>
      <c r="G2012" s="398">
        <f t="shared" si="517"/>
        <v>0</v>
      </c>
      <c r="H2012" s="398">
        <f t="shared" si="517"/>
        <v>0</v>
      </c>
      <c r="I2012" s="428"/>
      <c r="J2012" s="607" t="s">
        <v>6</v>
      </c>
      <c r="K2012" s="607" t="s">
        <v>93</v>
      </c>
      <c r="L2012" s="607" t="s">
        <v>112</v>
      </c>
      <c r="M2012" s="608"/>
      <c r="N2012" s="424"/>
      <c r="P2012" s="414"/>
    </row>
    <row r="2013" spans="1:16" s="425" customFormat="1" ht="14">
      <c r="A2013" s="302" t="s">
        <v>8</v>
      </c>
      <c r="B2013" s="303" t="s">
        <v>779</v>
      </c>
      <c r="C2013" s="304" t="s">
        <v>15</v>
      </c>
      <c r="D2013" s="605"/>
      <c r="E2013" s="605"/>
      <c r="F2013" s="609"/>
      <c r="G2013" s="398">
        <f t="shared" si="517"/>
        <v>0</v>
      </c>
      <c r="H2013" s="398">
        <f t="shared" si="517"/>
        <v>0</v>
      </c>
      <c r="I2013" s="428"/>
      <c r="J2013" s="607" t="s">
        <v>6</v>
      </c>
      <c r="K2013" s="607" t="s">
        <v>93</v>
      </c>
      <c r="L2013" s="607" t="s">
        <v>112</v>
      </c>
      <c r="M2013" s="608"/>
      <c r="N2013" s="424"/>
      <c r="P2013" s="414"/>
    </row>
    <row r="2014" spans="1:16" s="425" customFormat="1" ht="14">
      <c r="A2014" s="319" t="s">
        <v>780</v>
      </c>
      <c r="B2014" s="314" t="s">
        <v>781</v>
      </c>
      <c r="C2014" s="320" t="s">
        <v>15</v>
      </c>
      <c r="D2014" s="402"/>
      <c r="E2014" s="402"/>
      <c r="F2014" s="609"/>
      <c r="G2014" s="398">
        <f t="shared" si="517"/>
        <v>0</v>
      </c>
      <c r="H2014" s="398">
        <f t="shared" si="517"/>
        <v>0</v>
      </c>
      <c r="I2014" s="428"/>
      <c r="J2014" s="607" t="s">
        <v>6</v>
      </c>
      <c r="K2014" s="607" t="s">
        <v>93</v>
      </c>
      <c r="L2014" s="607" t="s">
        <v>112</v>
      </c>
      <c r="M2014" s="608"/>
      <c r="N2014" s="424"/>
      <c r="P2014" s="414"/>
    </row>
    <row r="2015" spans="1:16" s="425" customFormat="1" ht="14">
      <c r="A2015" s="321" t="s">
        <v>782</v>
      </c>
      <c r="B2015" s="596" t="s">
        <v>783</v>
      </c>
      <c r="C2015" s="324"/>
      <c r="D2015" s="598"/>
      <c r="E2015" s="598"/>
      <c r="F2015" s="599"/>
      <c r="G2015" s="598">
        <f>SUBTOTAL(9,G2016:G2036)</f>
        <v>338332.07</v>
      </c>
      <c r="H2015" s="598">
        <f>SUBTOTAL(9,H2016:H2036)</f>
        <v>170262.84</v>
      </c>
      <c r="I2015" s="600"/>
      <c r="J2015" s="601"/>
      <c r="K2015" s="601"/>
      <c r="L2015" s="601"/>
      <c r="M2015" s="602"/>
      <c r="N2015" s="424"/>
      <c r="P2015" s="414"/>
    </row>
    <row r="2016" spans="1:16" s="425" customFormat="1" ht="14">
      <c r="A2016" s="302" t="s">
        <v>784</v>
      </c>
      <c r="B2016" s="303" t="s">
        <v>697</v>
      </c>
      <c r="C2016" s="304" t="s">
        <v>150</v>
      </c>
      <c r="D2016" s="402">
        <v>488</v>
      </c>
      <c r="E2016" s="402">
        <v>309</v>
      </c>
      <c r="F2016" s="609">
        <v>495.5</v>
      </c>
      <c r="G2016" s="398">
        <f>D2016*$F2016</f>
        <v>241804</v>
      </c>
      <c r="H2016" s="398">
        <f>E2016*$F2016</f>
        <v>153109.5</v>
      </c>
      <c r="I2016" s="428"/>
      <c r="J2016" s="607" t="s">
        <v>6</v>
      </c>
      <c r="K2016" s="607" t="s">
        <v>128</v>
      </c>
      <c r="L2016" s="607" t="s">
        <v>112</v>
      </c>
      <c r="M2016" s="608"/>
      <c r="N2016" s="424"/>
      <c r="P2016" s="414" t="s">
        <v>1357</v>
      </c>
    </row>
    <row r="2017" spans="1:16" s="425" customFormat="1" ht="14">
      <c r="A2017" s="302" t="s">
        <v>785</v>
      </c>
      <c r="B2017" s="303" t="s">
        <v>765</v>
      </c>
      <c r="C2017" s="301"/>
      <c r="D2017" s="605"/>
      <c r="E2017" s="605"/>
      <c r="F2017" s="606"/>
      <c r="G2017" s="402"/>
      <c r="H2017" s="402"/>
      <c r="I2017" s="428"/>
      <c r="J2017" s="607"/>
      <c r="K2017" s="607"/>
      <c r="L2017" s="607"/>
      <c r="M2017" s="608"/>
      <c r="N2017" s="424"/>
      <c r="P2017" s="414"/>
    </row>
    <row r="2018" spans="1:16" s="425" customFormat="1" ht="14">
      <c r="A2018" s="319" t="s">
        <v>8</v>
      </c>
      <c r="B2018" s="325" t="s">
        <v>766</v>
      </c>
      <c r="C2018" s="320" t="s">
        <v>15</v>
      </c>
      <c r="D2018" s="402">
        <v>100</v>
      </c>
      <c r="E2018" s="402">
        <v>12</v>
      </c>
      <c r="F2018" s="609">
        <v>231</v>
      </c>
      <c r="G2018" s="398">
        <f t="shared" ref="G2018:H2024" si="518">D2018*$F2018</f>
        <v>23100</v>
      </c>
      <c r="H2018" s="398">
        <f t="shared" si="518"/>
        <v>2772</v>
      </c>
      <c r="I2018" s="428"/>
      <c r="J2018" s="607" t="s">
        <v>6</v>
      </c>
      <c r="K2018" s="607" t="s">
        <v>128</v>
      </c>
      <c r="L2018" s="607" t="s">
        <v>112</v>
      </c>
      <c r="M2018" s="608"/>
      <c r="N2018" s="424"/>
      <c r="P2018" s="414"/>
    </row>
    <row r="2019" spans="1:16" s="425" customFormat="1" ht="14">
      <c r="A2019" s="319" t="s">
        <v>8</v>
      </c>
      <c r="B2019" s="303" t="s">
        <v>767</v>
      </c>
      <c r="C2019" s="320" t="s">
        <v>15</v>
      </c>
      <c r="D2019" s="402">
        <v>21</v>
      </c>
      <c r="E2019" s="402">
        <v>3</v>
      </c>
      <c r="F2019" s="609">
        <v>116.78</v>
      </c>
      <c r="G2019" s="398">
        <f t="shared" si="518"/>
        <v>2452.38</v>
      </c>
      <c r="H2019" s="398">
        <f t="shared" si="518"/>
        <v>350.34000000000003</v>
      </c>
      <c r="I2019" s="428"/>
      <c r="J2019" s="607" t="s">
        <v>6</v>
      </c>
      <c r="K2019" s="607" t="s">
        <v>128</v>
      </c>
      <c r="L2019" s="607" t="s">
        <v>112</v>
      </c>
      <c r="M2019" s="608"/>
      <c r="N2019" s="424"/>
      <c r="P2019" s="414"/>
    </row>
    <row r="2020" spans="1:16" s="425" customFormat="1" ht="14">
      <c r="A2020" s="319" t="s">
        <v>8</v>
      </c>
      <c r="B2020" s="303" t="s">
        <v>768</v>
      </c>
      <c r="C2020" s="320" t="s">
        <v>15</v>
      </c>
      <c r="D2020" s="402">
        <v>69</v>
      </c>
      <c r="E2020" s="605">
        <v>0</v>
      </c>
      <c r="F2020" s="609">
        <v>288.01</v>
      </c>
      <c r="G2020" s="398">
        <f t="shared" si="518"/>
        <v>19872.689999999999</v>
      </c>
      <c r="H2020" s="398">
        <f t="shared" si="518"/>
        <v>0</v>
      </c>
      <c r="I2020" s="428"/>
      <c r="J2020" s="607" t="s">
        <v>6</v>
      </c>
      <c r="K2020" s="607" t="s">
        <v>128</v>
      </c>
      <c r="L2020" s="607" t="s">
        <v>112</v>
      </c>
      <c r="M2020" s="608"/>
      <c r="N2020" s="424"/>
      <c r="P2020" s="414"/>
    </row>
    <row r="2021" spans="1:16" s="425" customFormat="1" ht="14">
      <c r="A2021" s="319" t="s">
        <v>8</v>
      </c>
      <c r="B2021" s="303" t="s">
        <v>769</v>
      </c>
      <c r="C2021" s="320" t="s">
        <v>15</v>
      </c>
      <c r="D2021" s="402"/>
      <c r="E2021" s="402"/>
      <c r="F2021" s="609"/>
      <c r="G2021" s="398">
        <f t="shared" si="518"/>
        <v>0</v>
      </c>
      <c r="H2021" s="398">
        <f t="shared" si="518"/>
        <v>0</v>
      </c>
      <c r="I2021" s="428"/>
      <c r="J2021" s="607" t="s">
        <v>6</v>
      </c>
      <c r="K2021" s="607" t="s">
        <v>128</v>
      </c>
      <c r="L2021" s="607" t="s">
        <v>112</v>
      </c>
      <c r="M2021" s="608"/>
      <c r="N2021" s="424"/>
      <c r="P2021" s="414"/>
    </row>
    <row r="2022" spans="1:16" s="425" customFormat="1" ht="14">
      <c r="A2022" s="319" t="s">
        <v>8</v>
      </c>
      <c r="B2022" s="325" t="s">
        <v>770</v>
      </c>
      <c r="C2022" s="320" t="s">
        <v>15</v>
      </c>
      <c r="D2022" s="605"/>
      <c r="E2022" s="402"/>
      <c r="F2022" s="609"/>
      <c r="G2022" s="391">
        <f t="shared" si="518"/>
        <v>0</v>
      </c>
      <c r="H2022" s="391">
        <f t="shared" si="518"/>
        <v>0</v>
      </c>
      <c r="I2022" s="428"/>
      <c r="J2022" s="607" t="s">
        <v>6</v>
      </c>
      <c r="K2022" s="607" t="s">
        <v>128</v>
      </c>
      <c r="L2022" s="607" t="s">
        <v>112</v>
      </c>
      <c r="M2022" s="608"/>
      <c r="N2022" s="424"/>
      <c r="P2022" s="414"/>
    </row>
    <row r="2023" spans="1:16" s="425" customFormat="1" ht="14">
      <c r="A2023" s="319" t="s">
        <v>8</v>
      </c>
      <c r="B2023" s="325" t="s">
        <v>771</v>
      </c>
      <c r="C2023" s="320" t="s">
        <v>15</v>
      </c>
      <c r="D2023" s="402"/>
      <c r="E2023" s="605"/>
      <c r="F2023" s="609"/>
      <c r="G2023" s="391">
        <f t="shared" si="518"/>
        <v>0</v>
      </c>
      <c r="H2023" s="391">
        <f t="shared" si="518"/>
        <v>0</v>
      </c>
      <c r="I2023" s="428"/>
      <c r="J2023" s="607" t="s">
        <v>6</v>
      </c>
      <c r="K2023" s="607" t="s">
        <v>128</v>
      </c>
      <c r="L2023" s="607" t="s">
        <v>112</v>
      </c>
      <c r="M2023" s="608"/>
      <c r="N2023" s="424"/>
      <c r="P2023" s="414"/>
    </row>
    <row r="2024" spans="1:16" s="425" customFormat="1" ht="14">
      <c r="A2024" s="319" t="s">
        <v>8</v>
      </c>
      <c r="B2024" s="314" t="s">
        <v>772</v>
      </c>
      <c r="C2024" s="320" t="s">
        <v>15</v>
      </c>
      <c r="D2024" s="605"/>
      <c r="E2024" s="605"/>
      <c r="F2024" s="610"/>
      <c r="G2024" s="391">
        <f t="shared" si="518"/>
        <v>0</v>
      </c>
      <c r="H2024" s="391">
        <f t="shared" si="518"/>
        <v>0</v>
      </c>
      <c r="I2024" s="428"/>
      <c r="J2024" s="607" t="s">
        <v>6</v>
      </c>
      <c r="K2024" s="607" t="s">
        <v>128</v>
      </c>
      <c r="L2024" s="607" t="s">
        <v>112</v>
      </c>
      <c r="M2024" s="608"/>
      <c r="N2024" s="424"/>
      <c r="P2024" s="414"/>
    </row>
    <row r="2025" spans="1:16" s="425" customFormat="1" ht="14">
      <c r="A2025" s="302" t="s">
        <v>786</v>
      </c>
      <c r="B2025" s="303" t="s">
        <v>713</v>
      </c>
      <c r="C2025" s="301"/>
      <c r="D2025" s="605"/>
      <c r="E2025" s="605"/>
      <c r="F2025" s="606"/>
      <c r="G2025" s="402"/>
      <c r="H2025" s="402"/>
      <c r="I2025" s="428"/>
      <c r="J2025" s="607"/>
      <c r="K2025" s="607"/>
      <c r="L2025" s="607"/>
      <c r="M2025" s="608"/>
      <c r="N2025" s="424"/>
      <c r="P2025" s="414"/>
    </row>
    <row r="2026" spans="1:16" s="413" customFormat="1" ht="14">
      <c r="A2026" s="319" t="s">
        <v>8</v>
      </c>
      <c r="B2026" s="314" t="s">
        <v>714</v>
      </c>
      <c r="C2026" s="320" t="s">
        <v>10</v>
      </c>
      <c r="D2026" s="398"/>
      <c r="E2026" s="398"/>
      <c r="F2026" s="611"/>
      <c r="G2026" s="391">
        <f t="shared" ref="G2026:H2027" si="519">D2026*$F2026</f>
        <v>0</v>
      </c>
      <c r="H2026" s="391">
        <f t="shared" si="519"/>
        <v>0</v>
      </c>
      <c r="I2026" s="392"/>
      <c r="J2026" s="607" t="s">
        <v>6</v>
      </c>
      <c r="K2026" s="607" t="s">
        <v>128</v>
      </c>
      <c r="L2026" s="607" t="s">
        <v>112</v>
      </c>
      <c r="M2026" s="592"/>
      <c r="N2026" s="412"/>
      <c r="P2026" s="414"/>
    </row>
    <row r="2027" spans="1:16" s="413" customFormat="1" ht="14">
      <c r="A2027" s="319" t="s">
        <v>8</v>
      </c>
      <c r="B2027" s="314" t="s">
        <v>715</v>
      </c>
      <c r="C2027" s="320" t="s">
        <v>10</v>
      </c>
      <c r="D2027" s="391"/>
      <c r="E2027" s="391"/>
      <c r="F2027" s="611"/>
      <c r="G2027" s="391">
        <f t="shared" si="519"/>
        <v>0</v>
      </c>
      <c r="H2027" s="391">
        <f t="shared" si="519"/>
        <v>0</v>
      </c>
      <c r="I2027" s="392"/>
      <c r="J2027" s="607" t="s">
        <v>6</v>
      </c>
      <c r="K2027" s="607" t="s">
        <v>128</v>
      </c>
      <c r="L2027" s="607" t="s">
        <v>112</v>
      </c>
      <c r="M2027" s="592"/>
      <c r="N2027" s="412"/>
      <c r="P2027" s="414"/>
    </row>
    <row r="2028" spans="1:16" s="413" customFormat="1" ht="14">
      <c r="A2028" s="319" t="s">
        <v>787</v>
      </c>
      <c r="B2028" s="314" t="s">
        <v>753</v>
      </c>
      <c r="C2028" s="318"/>
      <c r="D2028" s="391"/>
      <c r="E2028" s="391"/>
      <c r="F2028" s="409"/>
      <c r="G2028" s="398"/>
      <c r="H2028" s="398"/>
      <c r="I2028" s="392"/>
      <c r="J2028" s="607"/>
      <c r="K2028" s="591"/>
      <c r="L2028" s="591"/>
      <c r="M2028" s="592"/>
      <c r="N2028" s="412"/>
      <c r="P2028" s="414"/>
    </row>
    <row r="2029" spans="1:16" s="413" customFormat="1" ht="14">
      <c r="A2029" s="319" t="s">
        <v>8</v>
      </c>
      <c r="B2029" s="314" t="s">
        <v>754</v>
      </c>
      <c r="C2029" s="320" t="s">
        <v>31</v>
      </c>
      <c r="D2029" s="398">
        <v>43</v>
      </c>
      <c r="E2029" s="398">
        <v>11</v>
      </c>
      <c r="F2029" s="609">
        <v>380</v>
      </c>
      <c r="G2029" s="398">
        <f t="shared" ref="G2029:H2029" si="520">D2029*$F2029</f>
        <v>16340</v>
      </c>
      <c r="H2029" s="398">
        <f t="shared" si="520"/>
        <v>4180</v>
      </c>
      <c r="I2029" s="399"/>
      <c r="J2029" s="607" t="s">
        <v>6</v>
      </c>
      <c r="K2029" s="607" t="s">
        <v>128</v>
      </c>
      <c r="L2029" s="607" t="s">
        <v>112</v>
      </c>
      <c r="M2029" s="592"/>
      <c r="N2029" s="412"/>
      <c r="P2029" s="414" t="s">
        <v>1358</v>
      </c>
    </row>
    <row r="2030" spans="1:16" s="413" customFormat="1" ht="14">
      <c r="A2030" s="319" t="s">
        <v>788</v>
      </c>
      <c r="B2030" s="314" t="s">
        <v>703</v>
      </c>
      <c r="C2030" s="318"/>
      <c r="D2030" s="398"/>
      <c r="E2030" s="398"/>
      <c r="F2030" s="593"/>
      <c r="G2030" s="398"/>
      <c r="H2030" s="398"/>
      <c r="I2030" s="399"/>
      <c r="J2030" s="607"/>
      <c r="K2030" s="591"/>
      <c r="L2030" s="591"/>
      <c r="M2030" s="592"/>
      <c r="N2030" s="412"/>
      <c r="P2030" s="414"/>
    </row>
    <row r="2031" spans="1:16" s="413" customFormat="1" ht="14">
      <c r="A2031" s="302" t="s">
        <v>8</v>
      </c>
      <c r="B2031" s="303" t="s">
        <v>777</v>
      </c>
      <c r="C2031" s="304" t="s">
        <v>24</v>
      </c>
      <c r="D2031" s="398">
        <v>43</v>
      </c>
      <c r="E2031" s="398">
        <v>11</v>
      </c>
      <c r="F2031" s="609">
        <v>781</v>
      </c>
      <c r="G2031" s="398">
        <f t="shared" ref="G2031:H2031" si="521">D2031*$F2031</f>
        <v>33583</v>
      </c>
      <c r="H2031" s="398">
        <f t="shared" si="521"/>
        <v>8591</v>
      </c>
      <c r="I2031" s="399"/>
      <c r="J2031" s="607" t="s">
        <v>6</v>
      </c>
      <c r="K2031" s="607" t="s">
        <v>128</v>
      </c>
      <c r="L2031" s="607" t="s">
        <v>112</v>
      </c>
      <c r="M2031" s="592"/>
      <c r="N2031" s="412"/>
      <c r="P2031" s="414" t="s">
        <v>1358</v>
      </c>
    </row>
    <row r="2032" spans="1:16" s="413" customFormat="1" ht="14">
      <c r="A2032" s="319" t="s">
        <v>789</v>
      </c>
      <c r="B2032" s="314" t="s">
        <v>700</v>
      </c>
      <c r="C2032" s="304"/>
      <c r="D2032" s="391"/>
      <c r="E2032" s="391"/>
      <c r="F2032" s="409"/>
      <c r="G2032" s="398"/>
      <c r="H2032" s="398"/>
      <c r="I2032" s="392"/>
      <c r="J2032" s="607"/>
      <c r="K2032" s="591"/>
      <c r="L2032" s="591"/>
      <c r="M2032" s="592"/>
      <c r="N2032" s="412"/>
      <c r="P2032" s="414"/>
    </row>
    <row r="2033" spans="1:16" s="413" customFormat="1" ht="14">
      <c r="A2033" s="319" t="s">
        <v>8</v>
      </c>
      <c r="B2033" s="314" t="s">
        <v>701</v>
      </c>
      <c r="C2033" s="320" t="s">
        <v>15</v>
      </c>
      <c r="D2033" s="391"/>
      <c r="E2033" s="391"/>
      <c r="F2033" s="609"/>
      <c r="G2033" s="391">
        <f t="shared" ref="G2033:H2036" si="522">D2033*$F2033</f>
        <v>0</v>
      </c>
      <c r="H2033" s="391">
        <f t="shared" si="522"/>
        <v>0</v>
      </c>
      <c r="I2033" s="392"/>
      <c r="J2033" s="607" t="s">
        <v>6</v>
      </c>
      <c r="K2033" s="607" t="s">
        <v>128</v>
      </c>
      <c r="L2033" s="607" t="s">
        <v>112</v>
      </c>
      <c r="M2033" s="592"/>
      <c r="N2033" s="412"/>
      <c r="P2033" s="414"/>
    </row>
    <row r="2034" spans="1:16" s="413" customFormat="1" ht="14">
      <c r="A2034" s="302" t="s">
        <v>8</v>
      </c>
      <c r="B2034" s="303" t="s">
        <v>746</v>
      </c>
      <c r="C2034" s="304" t="s">
        <v>15</v>
      </c>
      <c r="D2034" s="391"/>
      <c r="E2034" s="391"/>
      <c r="F2034" s="609"/>
      <c r="G2034" s="391">
        <f t="shared" si="522"/>
        <v>0</v>
      </c>
      <c r="H2034" s="391">
        <f t="shared" si="522"/>
        <v>0</v>
      </c>
      <c r="I2034" s="392"/>
      <c r="J2034" s="607" t="s">
        <v>6</v>
      </c>
      <c r="K2034" s="607" t="s">
        <v>128</v>
      </c>
      <c r="L2034" s="607" t="s">
        <v>112</v>
      </c>
      <c r="M2034" s="592"/>
      <c r="N2034" s="412"/>
      <c r="P2034" s="414"/>
    </row>
    <row r="2035" spans="1:16" s="413" customFormat="1" ht="14">
      <c r="A2035" s="302" t="s">
        <v>8</v>
      </c>
      <c r="B2035" s="303" t="s">
        <v>779</v>
      </c>
      <c r="C2035" s="304" t="s">
        <v>15</v>
      </c>
      <c r="D2035" s="391"/>
      <c r="E2035" s="391"/>
      <c r="F2035" s="609"/>
      <c r="G2035" s="391">
        <f t="shared" si="522"/>
        <v>0</v>
      </c>
      <c r="H2035" s="391">
        <f t="shared" si="522"/>
        <v>0</v>
      </c>
      <c r="I2035" s="392"/>
      <c r="J2035" s="607" t="s">
        <v>6</v>
      </c>
      <c r="K2035" s="607" t="s">
        <v>128</v>
      </c>
      <c r="L2035" s="607" t="s">
        <v>112</v>
      </c>
      <c r="M2035" s="592"/>
      <c r="N2035" s="412"/>
      <c r="P2035" s="414"/>
    </row>
    <row r="2036" spans="1:16" s="413" customFormat="1" ht="14">
      <c r="A2036" s="319" t="s">
        <v>790</v>
      </c>
      <c r="B2036" s="314" t="s">
        <v>781</v>
      </c>
      <c r="C2036" s="320" t="s">
        <v>15</v>
      </c>
      <c r="D2036" s="398">
        <v>59</v>
      </c>
      <c r="E2036" s="398">
        <v>63</v>
      </c>
      <c r="F2036" s="609">
        <v>20</v>
      </c>
      <c r="G2036" s="398">
        <f t="shared" si="522"/>
        <v>1180</v>
      </c>
      <c r="H2036" s="398">
        <f t="shared" si="522"/>
        <v>1260</v>
      </c>
      <c r="I2036" s="392"/>
      <c r="J2036" s="607" t="s">
        <v>6</v>
      </c>
      <c r="K2036" s="607" t="s">
        <v>128</v>
      </c>
      <c r="L2036" s="607" t="s">
        <v>112</v>
      </c>
      <c r="M2036" s="592"/>
      <c r="N2036" s="412"/>
      <c r="P2036" s="414" t="s">
        <v>1359</v>
      </c>
    </row>
    <row r="2037" spans="1:16" s="413" customFormat="1" ht="14">
      <c r="A2037" s="321" t="s">
        <v>791</v>
      </c>
      <c r="B2037" s="322" t="s">
        <v>109</v>
      </c>
      <c r="C2037" s="324"/>
      <c r="D2037" s="598"/>
      <c r="E2037" s="598"/>
      <c r="F2037" s="599"/>
      <c r="G2037" s="598">
        <f>SUBTOTAL(9,G2038:G2114)</f>
        <v>910764</v>
      </c>
      <c r="H2037" s="598">
        <f>SUBTOTAL(9,H2038:H2114)</f>
        <v>1534520.01</v>
      </c>
      <c r="I2037" s="600"/>
      <c r="J2037" s="601"/>
      <c r="K2037" s="601"/>
      <c r="L2037" s="601"/>
      <c r="M2037" s="602"/>
      <c r="N2037" s="412"/>
      <c r="P2037" s="414"/>
    </row>
    <row r="2038" spans="1:16" s="425" customFormat="1" ht="14">
      <c r="A2038" s="316" t="s">
        <v>792</v>
      </c>
      <c r="B2038" s="317" t="s">
        <v>696</v>
      </c>
      <c r="C2038" s="318"/>
      <c r="D2038" s="605"/>
      <c r="E2038" s="605"/>
      <c r="F2038" s="606"/>
      <c r="G2038" s="402"/>
      <c r="H2038" s="402"/>
      <c r="I2038" s="428"/>
      <c r="J2038" s="607"/>
      <c r="K2038" s="591"/>
      <c r="L2038" s="591"/>
      <c r="M2038" s="608"/>
      <c r="N2038" s="424"/>
      <c r="P2038" s="414"/>
    </row>
    <row r="2039" spans="1:16" s="425" customFormat="1" ht="14">
      <c r="A2039" s="319" t="s">
        <v>8</v>
      </c>
      <c r="B2039" s="314" t="s">
        <v>697</v>
      </c>
      <c r="C2039" s="320" t="s">
        <v>150</v>
      </c>
      <c r="D2039" s="402">
        <v>578</v>
      </c>
      <c r="E2039" s="402">
        <v>578</v>
      </c>
      <c r="F2039" s="609">
        <v>495.5</v>
      </c>
      <c r="G2039" s="398">
        <f t="shared" ref="G2039:H2040" si="523">D2039*$F2039</f>
        <v>286399</v>
      </c>
      <c r="H2039" s="398">
        <f t="shared" si="523"/>
        <v>286399</v>
      </c>
      <c r="I2039" s="428"/>
      <c r="J2039" s="607" t="s">
        <v>6</v>
      </c>
      <c r="K2039" s="591" t="s">
        <v>259</v>
      </c>
      <c r="L2039" s="591" t="s">
        <v>112</v>
      </c>
      <c r="N2039" s="424"/>
      <c r="P2039" s="613"/>
    </row>
    <row r="2040" spans="1:16" s="425" customFormat="1" ht="14">
      <c r="A2040" s="319" t="s">
        <v>8</v>
      </c>
      <c r="B2040" s="314" t="s">
        <v>798</v>
      </c>
      <c r="C2040" s="320" t="s">
        <v>24</v>
      </c>
      <c r="D2040" s="402"/>
      <c r="E2040" s="605"/>
      <c r="F2040" s="609"/>
      <c r="G2040" s="398">
        <f t="shared" si="523"/>
        <v>0</v>
      </c>
      <c r="H2040" s="398">
        <f t="shared" si="523"/>
        <v>0</v>
      </c>
      <c r="I2040" s="428"/>
      <c r="J2040" s="607" t="s">
        <v>6</v>
      </c>
      <c r="K2040" s="591" t="s">
        <v>259</v>
      </c>
      <c r="L2040" s="591" t="s">
        <v>112</v>
      </c>
      <c r="N2040" s="424">
        <f>11*10*4+2*20*4</f>
        <v>600</v>
      </c>
      <c r="P2040" s="344"/>
    </row>
    <row r="2041" spans="1:16" s="425" customFormat="1" ht="14">
      <c r="A2041" s="316" t="s">
        <v>797</v>
      </c>
      <c r="B2041" s="317" t="s">
        <v>700</v>
      </c>
      <c r="C2041" s="318"/>
      <c r="D2041" s="605"/>
      <c r="E2041" s="605"/>
      <c r="F2041" s="606"/>
      <c r="G2041" s="402"/>
      <c r="H2041" s="402"/>
      <c r="I2041" s="428"/>
      <c r="J2041" s="607"/>
      <c r="K2041" s="607"/>
      <c r="L2041" s="607"/>
      <c r="N2041" s="424"/>
      <c r="P2041" s="615"/>
    </row>
    <row r="2042" spans="1:16" s="425" customFormat="1" ht="14">
      <c r="A2042" s="319" t="s">
        <v>8</v>
      </c>
      <c r="B2042" s="314" t="s">
        <v>799</v>
      </c>
      <c r="C2042" s="320" t="s">
        <v>15</v>
      </c>
      <c r="D2042" s="605"/>
      <c r="E2042" s="605"/>
      <c r="F2042" s="326"/>
      <c r="G2042" s="391">
        <f t="shared" ref="G2042:H2042" si="524">D2042*$F2042</f>
        <v>0</v>
      </c>
      <c r="H2042" s="391">
        <f t="shared" si="524"/>
        <v>0</v>
      </c>
      <c r="I2042" s="428"/>
      <c r="J2042" s="607" t="s">
        <v>6</v>
      </c>
      <c r="K2042" s="591" t="s">
        <v>259</v>
      </c>
      <c r="L2042" s="591" t="s">
        <v>112</v>
      </c>
      <c r="N2042" s="424"/>
      <c r="P2042" s="615"/>
    </row>
    <row r="2043" spans="1:16" s="425" customFormat="1" ht="14">
      <c r="A2043" s="319" t="s">
        <v>800</v>
      </c>
      <c r="B2043" s="314" t="s">
        <v>801</v>
      </c>
      <c r="C2043" s="320"/>
      <c r="D2043" s="605"/>
      <c r="E2043" s="605"/>
      <c r="F2043" s="606"/>
      <c r="G2043" s="402"/>
      <c r="H2043" s="402"/>
      <c r="I2043" s="428"/>
      <c r="J2043" s="607"/>
      <c r="K2043" s="607"/>
      <c r="L2043" s="607"/>
      <c r="N2043" s="424"/>
      <c r="P2043" s="615"/>
    </row>
    <row r="2044" spans="1:16" s="425" customFormat="1" ht="14">
      <c r="A2044" s="319" t="s">
        <v>8</v>
      </c>
      <c r="B2044" s="314" t="s">
        <v>701</v>
      </c>
      <c r="C2044" s="320" t="s">
        <v>15</v>
      </c>
      <c r="D2044" s="402">
        <v>70</v>
      </c>
      <c r="E2044" s="402">
        <v>50</v>
      </c>
      <c r="F2044" s="609">
        <v>5420</v>
      </c>
      <c r="G2044" s="398">
        <f t="shared" ref="G2044:H2044" si="525">D2044*$F2044</f>
        <v>379400</v>
      </c>
      <c r="H2044" s="398">
        <f t="shared" si="525"/>
        <v>271000</v>
      </c>
      <c r="I2044" s="428"/>
      <c r="J2044" s="607" t="s">
        <v>6</v>
      </c>
      <c r="K2044" s="591" t="s">
        <v>259</v>
      </c>
      <c r="L2044" s="591" t="s">
        <v>112</v>
      </c>
      <c r="N2044" s="424"/>
      <c r="P2044" s="344" t="s">
        <v>1360</v>
      </c>
    </row>
    <row r="2045" spans="1:16" s="425" customFormat="1" ht="14">
      <c r="A2045" s="319" t="s">
        <v>802</v>
      </c>
      <c r="B2045" s="314" t="s">
        <v>803</v>
      </c>
      <c r="C2045" s="320"/>
      <c r="D2045" s="402"/>
      <c r="E2045" s="402"/>
      <c r="F2045" s="606"/>
      <c r="G2045" s="402"/>
      <c r="H2045" s="402"/>
      <c r="I2045" s="428"/>
      <c r="J2045" s="607"/>
      <c r="K2045" s="607"/>
      <c r="L2045" s="607"/>
      <c r="N2045" s="424"/>
      <c r="P2045" s="344"/>
    </row>
    <row r="2046" spans="1:16" s="425" customFormat="1" ht="14">
      <c r="A2046" s="319" t="s">
        <v>8</v>
      </c>
      <c r="B2046" s="314" t="s">
        <v>701</v>
      </c>
      <c r="C2046" s="320" t="s">
        <v>15</v>
      </c>
      <c r="D2046" s="402"/>
      <c r="E2046" s="402"/>
      <c r="F2046" s="609"/>
      <c r="G2046" s="398">
        <f t="shared" ref="G2046:H2047" si="526">D2046*$F2046</f>
        <v>0</v>
      </c>
      <c r="H2046" s="398">
        <f t="shared" si="526"/>
        <v>0</v>
      </c>
      <c r="I2046" s="428"/>
      <c r="J2046" s="607" t="s">
        <v>6</v>
      </c>
      <c r="K2046" s="591" t="s">
        <v>259</v>
      </c>
      <c r="L2046" s="591" t="s">
        <v>112</v>
      </c>
      <c r="N2046" s="424"/>
      <c r="P2046" s="344"/>
    </row>
    <row r="2047" spans="1:16" s="425" customFormat="1" ht="14">
      <c r="A2047" s="319" t="s">
        <v>8</v>
      </c>
      <c r="B2047" s="314" t="s">
        <v>746</v>
      </c>
      <c r="C2047" s="320" t="s">
        <v>15</v>
      </c>
      <c r="D2047" s="605"/>
      <c r="E2047" s="605"/>
      <c r="F2047" s="609"/>
      <c r="G2047" s="391">
        <f t="shared" si="526"/>
        <v>0</v>
      </c>
      <c r="H2047" s="391">
        <f t="shared" si="526"/>
        <v>0</v>
      </c>
      <c r="I2047" s="428"/>
      <c r="J2047" s="607" t="s">
        <v>6</v>
      </c>
      <c r="K2047" s="591" t="s">
        <v>259</v>
      </c>
      <c r="L2047" s="591" t="s">
        <v>112</v>
      </c>
      <c r="M2047" s="608"/>
      <c r="N2047" s="424"/>
      <c r="P2047" s="414"/>
    </row>
    <row r="2048" spans="1:16" s="425" customFormat="1" ht="14">
      <c r="A2048" s="316" t="s">
        <v>804</v>
      </c>
      <c r="B2048" s="317" t="s">
        <v>703</v>
      </c>
      <c r="C2048" s="318"/>
      <c r="D2048" s="605"/>
      <c r="E2048" s="605"/>
      <c r="F2048" s="606"/>
      <c r="G2048" s="402"/>
      <c r="H2048" s="402"/>
      <c r="I2048" s="428"/>
      <c r="J2048" s="607"/>
      <c r="K2048" s="607"/>
      <c r="L2048" s="607"/>
      <c r="M2048" s="608"/>
      <c r="N2048" s="424"/>
      <c r="P2048" s="414"/>
    </row>
    <row r="2049" spans="1:16" s="425" customFormat="1" ht="14">
      <c r="A2049" s="319" t="s">
        <v>8</v>
      </c>
      <c r="B2049" s="314" t="s">
        <v>805</v>
      </c>
      <c r="C2049" s="320" t="s">
        <v>24</v>
      </c>
      <c r="D2049" s="605"/>
      <c r="E2049" s="605"/>
      <c r="F2049" s="606"/>
      <c r="G2049" s="391">
        <f t="shared" ref="G2049:H2051" si="527">D2049*$F2049</f>
        <v>0</v>
      </c>
      <c r="H2049" s="391">
        <f t="shared" si="527"/>
        <v>0</v>
      </c>
      <c r="I2049" s="428"/>
      <c r="J2049" s="607" t="s">
        <v>6</v>
      </c>
      <c r="K2049" s="591" t="s">
        <v>259</v>
      </c>
      <c r="L2049" s="591" t="s">
        <v>112</v>
      </c>
      <c r="M2049" s="608"/>
      <c r="N2049" s="424"/>
      <c r="P2049" s="414"/>
    </row>
    <row r="2050" spans="1:16" s="425" customFormat="1" ht="14">
      <c r="A2050" s="319" t="s">
        <v>8</v>
      </c>
      <c r="B2050" s="314" t="s">
        <v>806</v>
      </c>
      <c r="C2050" s="320" t="s">
        <v>24</v>
      </c>
      <c r="D2050" s="402">
        <v>15</v>
      </c>
      <c r="E2050" s="402"/>
      <c r="F2050" s="609">
        <v>781</v>
      </c>
      <c r="G2050" s="398">
        <f t="shared" si="527"/>
        <v>11715</v>
      </c>
      <c r="H2050" s="398">
        <f t="shared" si="527"/>
        <v>0</v>
      </c>
      <c r="I2050" s="428"/>
      <c r="J2050" s="607" t="s">
        <v>6</v>
      </c>
      <c r="K2050" s="591" t="s">
        <v>259</v>
      </c>
      <c r="L2050" s="591" t="s">
        <v>112</v>
      </c>
      <c r="N2050" s="424"/>
      <c r="P2050" s="613" t="s">
        <v>1361</v>
      </c>
    </row>
    <row r="2051" spans="1:16" s="425" customFormat="1" ht="14">
      <c r="A2051" s="319" t="s">
        <v>8</v>
      </c>
      <c r="B2051" s="314" t="s">
        <v>807</v>
      </c>
      <c r="C2051" s="320" t="s">
        <v>24</v>
      </c>
      <c r="D2051" s="402"/>
      <c r="E2051" s="402"/>
      <c r="F2051" s="609"/>
      <c r="G2051" s="398">
        <f t="shared" si="527"/>
        <v>0</v>
      </c>
      <c r="H2051" s="398">
        <f t="shared" si="527"/>
        <v>0</v>
      </c>
      <c r="I2051" s="428"/>
      <c r="J2051" s="607" t="s">
        <v>6</v>
      </c>
      <c r="K2051" s="591" t="s">
        <v>259</v>
      </c>
      <c r="L2051" s="591" t="s">
        <v>112</v>
      </c>
      <c r="N2051" s="424"/>
      <c r="P2051" s="613"/>
    </row>
    <row r="2052" spans="1:16" s="425" customFormat="1" ht="14">
      <c r="A2052" s="316" t="s">
        <v>808</v>
      </c>
      <c r="B2052" s="317" t="s">
        <v>706</v>
      </c>
      <c r="C2052" s="318"/>
      <c r="D2052" s="605"/>
      <c r="E2052" s="605"/>
      <c r="F2052" s="606"/>
      <c r="G2052" s="402"/>
      <c r="H2052" s="402"/>
      <c r="I2052" s="428"/>
      <c r="J2052" s="607"/>
      <c r="K2052" s="607"/>
      <c r="L2052" s="607"/>
      <c r="N2052" s="424"/>
      <c r="P2052" s="615"/>
    </row>
    <row r="2053" spans="1:16" s="425" customFormat="1" ht="14">
      <c r="A2053" s="316" t="s">
        <v>809</v>
      </c>
      <c r="B2053" s="317" t="s">
        <v>793</v>
      </c>
      <c r="C2053" s="318"/>
      <c r="D2053" s="605"/>
      <c r="E2053" s="605"/>
      <c r="F2053" s="606"/>
      <c r="G2053" s="402"/>
      <c r="H2053" s="402"/>
      <c r="I2053" s="428"/>
      <c r="J2053" s="607"/>
      <c r="K2053" s="607"/>
      <c r="L2053" s="607"/>
      <c r="N2053" s="424"/>
      <c r="P2053" s="615"/>
    </row>
    <row r="2054" spans="1:16" s="425" customFormat="1" ht="14">
      <c r="A2054" s="319" t="s">
        <v>8</v>
      </c>
      <c r="B2054" s="314" t="s">
        <v>794</v>
      </c>
      <c r="C2054" s="320" t="s">
        <v>24</v>
      </c>
      <c r="D2054" s="605"/>
      <c r="E2054" s="605"/>
      <c r="F2054" s="609"/>
      <c r="G2054" s="391">
        <f t="shared" ref="G2054:H2055" si="528">D2054*$F2054</f>
        <v>0</v>
      </c>
      <c r="H2054" s="391">
        <f t="shared" si="528"/>
        <v>0</v>
      </c>
      <c r="I2054" s="428"/>
      <c r="J2054" s="607" t="s">
        <v>6</v>
      </c>
      <c r="K2054" s="591" t="s">
        <v>259</v>
      </c>
      <c r="L2054" s="591" t="s">
        <v>112</v>
      </c>
      <c r="N2054" s="424"/>
      <c r="P2054" s="344"/>
    </row>
    <row r="2055" spans="1:16" s="425" customFormat="1" ht="14">
      <c r="A2055" s="319" t="s">
        <v>8</v>
      </c>
      <c r="B2055" s="314" t="s">
        <v>710</v>
      </c>
      <c r="C2055" s="320" t="s">
        <v>15</v>
      </c>
      <c r="D2055" s="605"/>
      <c r="E2055" s="605"/>
      <c r="F2055" s="609"/>
      <c r="G2055" s="391">
        <f t="shared" si="528"/>
        <v>0</v>
      </c>
      <c r="H2055" s="391">
        <f t="shared" si="528"/>
        <v>0</v>
      </c>
      <c r="I2055" s="428"/>
      <c r="J2055" s="607" t="s">
        <v>6</v>
      </c>
      <c r="K2055" s="591" t="s">
        <v>259</v>
      </c>
      <c r="L2055" s="591" t="s">
        <v>112</v>
      </c>
      <c r="N2055" s="424"/>
      <c r="P2055" s="615"/>
    </row>
    <row r="2056" spans="1:16" s="425" customFormat="1" ht="14">
      <c r="A2056" s="316" t="s">
        <v>810</v>
      </c>
      <c r="B2056" s="317" t="s">
        <v>743</v>
      </c>
      <c r="C2056" s="318"/>
      <c r="D2056" s="605"/>
      <c r="E2056" s="605"/>
      <c r="F2056" s="606"/>
      <c r="G2056" s="402"/>
      <c r="H2056" s="402"/>
      <c r="I2056" s="428"/>
      <c r="J2056" s="607"/>
      <c r="K2056" s="607"/>
      <c r="L2056" s="607"/>
      <c r="N2056" s="424"/>
      <c r="P2056" s="615"/>
    </row>
    <row r="2057" spans="1:16" s="425" customFormat="1" ht="14">
      <c r="A2057" s="319" t="s">
        <v>8</v>
      </c>
      <c r="B2057" s="314" t="s">
        <v>744</v>
      </c>
      <c r="C2057" s="320" t="s">
        <v>24</v>
      </c>
      <c r="D2057" s="402"/>
      <c r="E2057" s="402"/>
      <c r="F2057" s="609"/>
      <c r="G2057" s="398">
        <f t="shared" ref="G2057:H2059" si="529">D2057*$F2057</f>
        <v>0</v>
      </c>
      <c r="H2057" s="398">
        <f t="shared" si="529"/>
        <v>0</v>
      </c>
      <c r="I2057" s="428"/>
      <c r="J2057" s="607" t="s">
        <v>6</v>
      </c>
      <c r="K2057" s="591" t="s">
        <v>259</v>
      </c>
      <c r="L2057" s="591" t="s">
        <v>112</v>
      </c>
      <c r="N2057" s="424"/>
      <c r="P2057" s="344"/>
    </row>
    <row r="2058" spans="1:16" s="425" customFormat="1" ht="14">
      <c r="A2058" s="319" t="s">
        <v>8</v>
      </c>
      <c r="B2058" s="314" t="s">
        <v>710</v>
      </c>
      <c r="C2058" s="320" t="s">
        <v>15</v>
      </c>
      <c r="D2058" s="402"/>
      <c r="E2058" s="402"/>
      <c r="F2058" s="609"/>
      <c r="G2058" s="398">
        <f t="shared" si="529"/>
        <v>0</v>
      </c>
      <c r="H2058" s="398">
        <f t="shared" si="529"/>
        <v>0</v>
      </c>
      <c r="I2058" s="428"/>
      <c r="J2058" s="607" t="s">
        <v>6</v>
      </c>
      <c r="K2058" s="591" t="s">
        <v>259</v>
      </c>
      <c r="L2058" s="591" t="s">
        <v>112</v>
      </c>
      <c r="N2058" s="424"/>
      <c r="P2058" s="344"/>
    </row>
    <row r="2059" spans="1:16" s="425" customFormat="1" ht="14">
      <c r="A2059" s="319" t="s">
        <v>8</v>
      </c>
      <c r="B2059" s="314" t="s">
        <v>745</v>
      </c>
      <c r="C2059" s="320" t="s">
        <v>15</v>
      </c>
      <c r="D2059" s="605"/>
      <c r="E2059" s="605"/>
      <c r="F2059" s="610"/>
      <c r="G2059" s="391">
        <f t="shared" si="529"/>
        <v>0</v>
      </c>
      <c r="H2059" s="391">
        <f t="shared" si="529"/>
        <v>0</v>
      </c>
      <c r="I2059" s="428"/>
      <c r="J2059" s="607" t="s">
        <v>6</v>
      </c>
      <c r="K2059" s="591" t="s">
        <v>259</v>
      </c>
      <c r="L2059" s="591" t="s">
        <v>112</v>
      </c>
      <c r="N2059" s="424"/>
      <c r="P2059" s="344"/>
    </row>
    <row r="2060" spans="1:16" s="425" customFormat="1" ht="14">
      <c r="A2060" s="316" t="s">
        <v>811</v>
      </c>
      <c r="B2060" s="317" t="s">
        <v>753</v>
      </c>
      <c r="C2060" s="318"/>
      <c r="D2060" s="605"/>
      <c r="E2060" s="605"/>
      <c r="F2060" s="606"/>
      <c r="G2060" s="402"/>
      <c r="H2060" s="402"/>
      <c r="I2060" s="428"/>
      <c r="J2060" s="607"/>
      <c r="K2060" s="607"/>
      <c r="L2060" s="607"/>
      <c r="M2060" s="608"/>
      <c r="N2060" s="424"/>
      <c r="P2060" s="414"/>
    </row>
    <row r="2061" spans="1:16" s="425" customFormat="1" ht="14">
      <c r="A2061" s="319" t="s">
        <v>8</v>
      </c>
      <c r="B2061" s="314" t="s">
        <v>812</v>
      </c>
      <c r="C2061" s="320" t="s">
        <v>31</v>
      </c>
      <c r="D2061" s="605"/>
      <c r="E2061" s="605"/>
      <c r="F2061" s="609"/>
      <c r="G2061" s="391">
        <f t="shared" ref="G2061:H2062" si="530">D2061*$F2061</f>
        <v>0</v>
      </c>
      <c r="H2061" s="391">
        <f t="shared" si="530"/>
        <v>0</v>
      </c>
      <c r="I2061" s="428"/>
      <c r="J2061" s="607" t="s">
        <v>6</v>
      </c>
      <c r="K2061" s="591" t="s">
        <v>259</v>
      </c>
      <c r="L2061" s="591" t="s">
        <v>112</v>
      </c>
      <c r="M2061" s="608"/>
      <c r="N2061" s="424"/>
      <c r="P2061" s="414"/>
    </row>
    <row r="2062" spans="1:16" s="425" customFormat="1" ht="14">
      <c r="A2062" s="319" t="s">
        <v>8</v>
      </c>
      <c r="B2062" s="314" t="s">
        <v>754</v>
      </c>
      <c r="C2062" s="320" t="s">
        <v>31</v>
      </c>
      <c r="D2062" s="402"/>
      <c r="E2062" s="402"/>
      <c r="F2062" s="609"/>
      <c r="G2062" s="398">
        <f t="shared" si="530"/>
        <v>0</v>
      </c>
      <c r="H2062" s="398">
        <f t="shared" si="530"/>
        <v>0</v>
      </c>
      <c r="I2062" s="428"/>
      <c r="J2062" s="607" t="s">
        <v>6</v>
      </c>
      <c r="K2062" s="591" t="s">
        <v>259</v>
      </c>
      <c r="L2062" s="591" t="s">
        <v>112</v>
      </c>
      <c r="M2062" s="328"/>
      <c r="N2062" s="424"/>
      <c r="P2062" s="414"/>
    </row>
    <row r="2063" spans="1:16" s="425" customFormat="1" ht="14">
      <c r="A2063" s="316" t="s">
        <v>813</v>
      </c>
      <c r="B2063" s="317" t="s">
        <v>814</v>
      </c>
      <c r="C2063" s="318"/>
      <c r="D2063" s="605"/>
      <c r="E2063" s="605"/>
      <c r="F2063" s="606"/>
      <c r="G2063" s="402"/>
      <c r="H2063" s="402"/>
      <c r="I2063" s="428"/>
      <c r="J2063" s="607"/>
      <c r="K2063" s="607"/>
      <c r="L2063" s="607"/>
      <c r="M2063" s="608"/>
      <c r="N2063" s="424"/>
      <c r="P2063" s="414"/>
    </row>
    <row r="2064" spans="1:16" s="425" customFormat="1" ht="14">
      <c r="A2064" s="316" t="s">
        <v>815</v>
      </c>
      <c r="B2064" s="317" t="s">
        <v>743</v>
      </c>
      <c r="C2064" s="318"/>
      <c r="D2064" s="605"/>
      <c r="E2064" s="605"/>
      <c r="F2064" s="606"/>
      <c r="G2064" s="402"/>
      <c r="H2064" s="402"/>
      <c r="I2064" s="428"/>
      <c r="J2064" s="607"/>
      <c r="K2064" s="607"/>
      <c r="L2064" s="607"/>
      <c r="M2064" s="608"/>
      <c r="N2064" s="424"/>
      <c r="P2064" s="414"/>
    </row>
    <row r="2065" spans="1:16" s="425" customFormat="1" ht="14">
      <c r="A2065" s="319" t="s">
        <v>8</v>
      </c>
      <c r="B2065" s="314" t="s">
        <v>744</v>
      </c>
      <c r="C2065" s="320" t="s">
        <v>24</v>
      </c>
      <c r="D2065" s="605"/>
      <c r="E2065" s="605"/>
      <c r="F2065" s="609"/>
      <c r="G2065" s="391">
        <f t="shared" ref="G2065:H2067" si="531">D2065*$F2065</f>
        <v>0</v>
      </c>
      <c r="H2065" s="391">
        <f t="shared" si="531"/>
        <v>0</v>
      </c>
      <c r="I2065" s="428"/>
      <c r="J2065" s="607" t="s">
        <v>6</v>
      </c>
      <c r="K2065" s="591" t="s">
        <v>259</v>
      </c>
      <c r="L2065" s="591" t="s">
        <v>112</v>
      </c>
      <c r="M2065" s="608"/>
      <c r="N2065" s="424"/>
      <c r="P2065" s="414"/>
    </row>
    <row r="2066" spans="1:16" s="425" customFormat="1" ht="14">
      <c r="A2066" s="319" t="s">
        <v>8</v>
      </c>
      <c r="B2066" s="314" t="s">
        <v>710</v>
      </c>
      <c r="C2066" s="320" t="s">
        <v>15</v>
      </c>
      <c r="D2066" s="605"/>
      <c r="E2066" s="605"/>
      <c r="F2066" s="609"/>
      <c r="G2066" s="391">
        <f t="shared" si="531"/>
        <v>0</v>
      </c>
      <c r="H2066" s="391">
        <f t="shared" si="531"/>
        <v>0</v>
      </c>
      <c r="I2066" s="428"/>
      <c r="J2066" s="607" t="s">
        <v>6</v>
      </c>
      <c r="K2066" s="591" t="s">
        <v>259</v>
      </c>
      <c r="L2066" s="591" t="s">
        <v>112</v>
      </c>
      <c r="M2066" s="608"/>
      <c r="N2066" s="424"/>
      <c r="P2066" s="414"/>
    </row>
    <row r="2067" spans="1:16" s="425" customFormat="1" ht="14">
      <c r="A2067" s="319" t="s">
        <v>8</v>
      </c>
      <c r="B2067" s="314" t="s">
        <v>745</v>
      </c>
      <c r="C2067" s="320" t="s">
        <v>15</v>
      </c>
      <c r="D2067" s="605"/>
      <c r="E2067" s="605"/>
      <c r="F2067" s="610"/>
      <c r="G2067" s="391">
        <f t="shared" si="531"/>
        <v>0</v>
      </c>
      <c r="H2067" s="391">
        <f t="shared" si="531"/>
        <v>0</v>
      </c>
      <c r="I2067" s="428"/>
      <c r="J2067" s="607" t="s">
        <v>6</v>
      </c>
      <c r="K2067" s="591" t="s">
        <v>259</v>
      </c>
      <c r="L2067" s="591" t="s">
        <v>112</v>
      </c>
      <c r="M2067" s="608"/>
      <c r="N2067" s="424"/>
      <c r="P2067" s="414"/>
    </row>
    <row r="2068" spans="1:16" s="425" customFormat="1" ht="14">
      <c r="A2068" s="316" t="s">
        <v>816</v>
      </c>
      <c r="B2068" s="317" t="s">
        <v>817</v>
      </c>
      <c r="C2068" s="318"/>
      <c r="D2068" s="605"/>
      <c r="E2068" s="605"/>
      <c r="F2068" s="606"/>
      <c r="G2068" s="402"/>
      <c r="H2068" s="402"/>
      <c r="I2068" s="428"/>
      <c r="J2068" s="607"/>
      <c r="K2068" s="607"/>
      <c r="L2068" s="607"/>
      <c r="M2068" s="608"/>
      <c r="N2068" s="424"/>
      <c r="P2068" s="414"/>
    </row>
    <row r="2069" spans="1:16" s="425" customFormat="1" ht="14">
      <c r="A2069" s="319" t="s">
        <v>8</v>
      </c>
      <c r="B2069" s="314" t="s">
        <v>714</v>
      </c>
      <c r="C2069" s="320" t="s">
        <v>10</v>
      </c>
      <c r="D2069" s="605"/>
      <c r="E2069" s="605"/>
      <c r="F2069" s="611"/>
      <c r="G2069" s="391">
        <f t="shared" ref="G2069:H2070" si="532">D2069*$F2069</f>
        <v>0</v>
      </c>
      <c r="H2069" s="391">
        <f t="shared" si="532"/>
        <v>0</v>
      </c>
      <c r="I2069" s="428"/>
      <c r="J2069" s="607" t="s">
        <v>6</v>
      </c>
      <c r="K2069" s="591" t="s">
        <v>259</v>
      </c>
      <c r="L2069" s="591" t="s">
        <v>112</v>
      </c>
      <c r="M2069" s="608"/>
      <c r="N2069" s="424"/>
      <c r="P2069" s="414"/>
    </row>
    <row r="2070" spans="1:16" s="425" customFormat="1" ht="14">
      <c r="A2070" s="319" t="s">
        <v>8</v>
      </c>
      <c r="B2070" s="314" t="s">
        <v>715</v>
      </c>
      <c r="C2070" s="320" t="s">
        <v>10</v>
      </c>
      <c r="D2070" s="605"/>
      <c r="E2070" s="605"/>
      <c r="F2070" s="611">
        <v>4854.03</v>
      </c>
      <c r="G2070" s="391">
        <f t="shared" si="532"/>
        <v>0</v>
      </c>
      <c r="H2070" s="391">
        <f t="shared" si="532"/>
        <v>0</v>
      </c>
      <c r="I2070" s="428"/>
      <c r="J2070" s="607" t="s">
        <v>6</v>
      </c>
      <c r="K2070" s="591" t="s">
        <v>259</v>
      </c>
      <c r="L2070" s="591" t="s">
        <v>112</v>
      </c>
      <c r="M2070" s="608"/>
      <c r="N2070" s="424"/>
      <c r="P2070" s="414" t="s">
        <v>1363</v>
      </c>
    </row>
    <row r="2071" spans="1:16" s="425" customFormat="1" ht="14">
      <c r="A2071" s="316" t="s">
        <v>818</v>
      </c>
      <c r="B2071" s="317" t="s">
        <v>819</v>
      </c>
      <c r="C2071" s="318"/>
      <c r="D2071" s="605"/>
      <c r="E2071" s="605"/>
      <c r="F2071" s="606"/>
      <c r="G2071" s="402"/>
      <c r="H2071" s="402"/>
      <c r="I2071" s="428"/>
      <c r="J2071" s="607"/>
      <c r="K2071" s="607"/>
      <c r="L2071" s="607"/>
      <c r="M2071" s="608"/>
      <c r="N2071" s="424"/>
      <c r="P2071" s="414"/>
    </row>
    <row r="2072" spans="1:16" s="425" customFormat="1" ht="14">
      <c r="A2072" s="316" t="s">
        <v>820</v>
      </c>
      <c r="B2072" s="317" t="s">
        <v>743</v>
      </c>
      <c r="C2072" s="318"/>
      <c r="D2072" s="605"/>
      <c r="E2072" s="605"/>
      <c r="F2072" s="606"/>
      <c r="G2072" s="402"/>
      <c r="H2072" s="402"/>
      <c r="I2072" s="428"/>
      <c r="J2072" s="607"/>
      <c r="K2072" s="607"/>
      <c r="L2072" s="607"/>
      <c r="M2072" s="608"/>
      <c r="N2072" s="424"/>
      <c r="P2072" s="414"/>
    </row>
    <row r="2073" spans="1:16" s="425" customFormat="1" ht="14">
      <c r="A2073" s="319" t="s">
        <v>8</v>
      </c>
      <c r="B2073" s="314" t="s">
        <v>744</v>
      </c>
      <c r="C2073" s="320" t="s">
        <v>24</v>
      </c>
      <c r="D2073" s="402"/>
      <c r="E2073" s="402">
        <v>67</v>
      </c>
      <c r="F2073" s="609">
        <v>738</v>
      </c>
      <c r="G2073" s="398">
        <f t="shared" ref="G2073:H2075" si="533">D2073*$F2073</f>
        <v>0</v>
      </c>
      <c r="H2073" s="398">
        <f t="shared" si="533"/>
        <v>49446</v>
      </c>
      <c r="I2073" s="428"/>
      <c r="J2073" s="607" t="s">
        <v>6</v>
      </c>
      <c r="K2073" s="591" t="s">
        <v>259</v>
      </c>
      <c r="L2073" s="591" t="s">
        <v>112</v>
      </c>
      <c r="N2073" s="424"/>
      <c r="P2073" s="344" t="s">
        <v>1362</v>
      </c>
    </row>
    <row r="2074" spans="1:16" s="425" customFormat="1" ht="14">
      <c r="A2074" s="319" t="s">
        <v>8</v>
      </c>
      <c r="B2074" s="314" t="s">
        <v>710</v>
      </c>
      <c r="C2074" s="320" t="s">
        <v>15</v>
      </c>
      <c r="D2074" s="402"/>
      <c r="E2074" s="402">
        <v>201</v>
      </c>
      <c r="F2074" s="609">
        <v>180</v>
      </c>
      <c r="G2074" s="398">
        <f t="shared" si="533"/>
        <v>0</v>
      </c>
      <c r="H2074" s="398">
        <f t="shared" si="533"/>
        <v>36180</v>
      </c>
      <c r="I2074" s="428"/>
      <c r="J2074" s="607" t="s">
        <v>6</v>
      </c>
      <c r="K2074" s="591" t="s">
        <v>259</v>
      </c>
      <c r="L2074" s="591" t="s">
        <v>112</v>
      </c>
      <c r="N2074" s="424"/>
      <c r="P2074" s="344" t="s">
        <v>1362</v>
      </c>
    </row>
    <row r="2075" spans="1:16" s="425" customFormat="1" ht="14">
      <c r="A2075" s="319" t="s">
        <v>8</v>
      </c>
      <c r="B2075" s="314" t="s">
        <v>745</v>
      </c>
      <c r="C2075" s="320" t="s">
        <v>15</v>
      </c>
      <c r="D2075" s="402"/>
      <c r="E2075" s="402">
        <v>402</v>
      </c>
      <c r="F2075" s="610">
        <v>314</v>
      </c>
      <c r="G2075" s="398">
        <f t="shared" si="533"/>
        <v>0</v>
      </c>
      <c r="H2075" s="398">
        <f t="shared" si="533"/>
        <v>126228</v>
      </c>
      <c r="I2075" s="428"/>
      <c r="J2075" s="607" t="s">
        <v>6</v>
      </c>
      <c r="K2075" s="591" t="s">
        <v>259</v>
      </c>
      <c r="L2075" s="591" t="s">
        <v>112</v>
      </c>
      <c r="N2075" s="424"/>
      <c r="P2075" s="344" t="s">
        <v>1362</v>
      </c>
    </row>
    <row r="2076" spans="1:16" s="425" customFormat="1" ht="14">
      <c r="A2076" s="316" t="s">
        <v>821</v>
      </c>
      <c r="B2076" s="317" t="s">
        <v>817</v>
      </c>
      <c r="C2076" s="318"/>
      <c r="D2076" s="605"/>
      <c r="E2076" s="605"/>
      <c r="F2076" s="606"/>
      <c r="G2076" s="402"/>
      <c r="H2076" s="402"/>
      <c r="I2076" s="428"/>
      <c r="J2076" s="607"/>
      <c r="K2076" s="607"/>
      <c r="L2076" s="607"/>
      <c r="N2076" s="424"/>
      <c r="P2076" s="615"/>
    </row>
    <row r="2077" spans="1:16" s="425" customFormat="1" ht="14">
      <c r="A2077" s="319" t="s">
        <v>8</v>
      </c>
      <c r="B2077" s="314" t="s">
        <v>714</v>
      </c>
      <c r="C2077" s="320" t="s">
        <v>10</v>
      </c>
      <c r="D2077" s="402"/>
      <c r="E2077" s="402"/>
      <c r="F2077" s="611"/>
      <c r="G2077" s="398">
        <f t="shared" ref="G2077:H2078" si="534">D2077*$F2077</f>
        <v>0</v>
      </c>
      <c r="H2077" s="398">
        <f t="shared" si="534"/>
        <v>0</v>
      </c>
      <c r="I2077" s="428"/>
      <c r="J2077" s="607" t="s">
        <v>6</v>
      </c>
      <c r="K2077" s="591" t="s">
        <v>259</v>
      </c>
      <c r="L2077" s="591" t="s">
        <v>112</v>
      </c>
      <c r="N2077" s="424"/>
      <c r="P2077" s="344"/>
    </row>
    <row r="2078" spans="1:16" s="425" customFormat="1" ht="14">
      <c r="A2078" s="319" t="s">
        <v>8</v>
      </c>
      <c r="B2078" s="314" t="s">
        <v>715</v>
      </c>
      <c r="C2078" s="320" t="s">
        <v>10</v>
      </c>
      <c r="D2078" s="402"/>
      <c r="E2078" s="402">
        <v>67</v>
      </c>
      <c r="F2078" s="611">
        <v>4854.03</v>
      </c>
      <c r="G2078" s="398">
        <f t="shared" si="534"/>
        <v>0</v>
      </c>
      <c r="H2078" s="398">
        <f t="shared" si="534"/>
        <v>325220.01</v>
      </c>
      <c r="I2078" s="428"/>
      <c r="J2078" s="607" t="s">
        <v>6</v>
      </c>
      <c r="K2078" s="591" t="s">
        <v>259</v>
      </c>
      <c r="L2078" s="591" t="s">
        <v>112</v>
      </c>
      <c r="M2078" s="608"/>
      <c r="N2078" s="424"/>
      <c r="P2078" s="414" t="s">
        <v>1363</v>
      </c>
    </row>
    <row r="2079" spans="1:16" s="425" customFormat="1" ht="14">
      <c r="A2079" s="316" t="s">
        <v>1421</v>
      </c>
      <c r="B2079" s="317" t="s">
        <v>696</v>
      </c>
      <c r="C2079" s="318"/>
      <c r="D2079" s="605"/>
      <c r="E2079" s="605"/>
      <c r="F2079" s="606"/>
      <c r="G2079" s="402"/>
      <c r="H2079" s="402"/>
      <c r="I2079" s="428"/>
      <c r="J2079" s="607"/>
      <c r="K2079" s="591"/>
      <c r="L2079" s="591"/>
      <c r="M2079" s="608"/>
      <c r="N2079" s="424"/>
      <c r="P2079" s="414"/>
    </row>
    <row r="2080" spans="1:16" s="425" customFormat="1" ht="14">
      <c r="A2080" s="319" t="s">
        <v>8</v>
      </c>
      <c r="B2080" s="314" t="s">
        <v>697</v>
      </c>
      <c r="C2080" s="320" t="s">
        <v>150</v>
      </c>
      <c r="D2080" s="402"/>
      <c r="E2080" s="402">
        <v>434</v>
      </c>
      <c r="F2080" s="609">
        <v>495.5</v>
      </c>
      <c r="G2080" s="398">
        <f t="shared" ref="G2080" si="535">D2080*$F2080</f>
        <v>0</v>
      </c>
      <c r="H2080" s="398">
        <f t="shared" ref="H2080" si="536">E2080*$F2080</f>
        <v>215047</v>
      </c>
      <c r="I2080" s="428"/>
      <c r="J2080" s="607" t="s">
        <v>6</v>
      </c>
      <c r="K2080" s="591" t="s">
        <v>259</v>
      </c>
      <c r="L2080" s="591" t="s">
        <v>112</v>
      </c>
      <c r="N2080" s="424"/>
      <c r="P2080" s="613"/>
    </row>
    <row r="2081" spans="1:16" s="425" customFormat="1" ht="14">
      <c r="A2081" s="316" t="s">
        <v>822</v>
      </c>
      <c r="B2081" s="317" t="s">
        <v>823</v>
      </c>
      <c r="C2081" s="318"/>
      <c r="D2081" s="605"/>
      <c r="E2081" s="605"/>
      <c r="F2081" s="606"/>
      <c r="G2081" s="402"/>
      <c r="H2081" s="402"/>
      <c r="I2081" s="428"/>
      <c r="J2081" s="607"/>
      <c r="K2081" s="607"/>
      <c r="L2081" s="607"/>
      <c r="M2081" s="608"/>
      <c r="N2081" s="424"/>
      <c r="P2081" s="414"/>
    </row>
    <row r="2082" spans="1:16" s="425" customFormat="1" ht="14">
      <c r="A2082" s="319" t="s">
        <v>8</v>
      </c>
      <c r="B2082" s="314" t="s">
        <v>796</v>
      </c>
      <c r="C2082" s="320" t="s">
        <v>24</v>
      </c>
      <c r="D2082" s="402">
        <v>311</v>
      </c>
      <c r="E2082" s="402">
        <v>300</v>
      </c>
      <c r="F2082" s="609">
        <v>750</v>
      </c>
      <c r="G2082" s="398">
        <f t="shared" ref="G2082:H2096" si="537">D2082*$F2082</f>
        <v>233250</v>
      </c>
      <c r="H2082" s="398">
        <f t="shared" si="537"/>
        <v>225000</v>
      </c>
      <c r="I2082" s="428"/>
      <c r="J2082" s="607" t="s">
        <v>6</v>
      </c>
      <c r="K2082" s="591" t="s">
        <v>259</v>
      </c>
      <c r="L2082" s="591" t="s">
        <v>112</v>
      </c>
      <c r="N2082" s="424"/>
      <c r="P2082" s="345" t="s">
        <v>1364</v>
      </c>
    </row>
    <row r="2083" spans="1:16" s="425" customFormat="1" ht="14">
      <c r="A2083" s="319" t="s">
        <v>8</v>
      </c>
      <c r="B2083" s="314" t="s">
        <v>824</v>
      </c>
      <c r="C2083" s="320" t="s">
        <v>15</v>
      </c>
      <c r="D2083" s="605"/>
      <c r="E2083" s="605"/>
      <c r="F2083" s="609"/>
      <c r="G2083" s="391">
        <f t="shared" si="537"/>
        <v>0</v>
      </c>
      <c r="H2083" s="391">
        <f t="shared" si="537"/>
        <v>0</v>
      </c>
      <c r="I2083" s="428"/>
      <c r="J2083" s="607" t="s">
        <v>6</v>
      </c>
      <c r="K2083" s="591" t="s">
        <v>259</v>
      </c>
      <c r="L2083" s="591" t="s">
        <v>112</v>
      </c>
      <c r="M2083" s="608"/>
      <c r="N2083" s="424"/>
      <c r="P2083" s="414"/>
    </row>
    <row r="2084" spans="1:16" s="425" customFormat="1" ht="14">
      <c r="A2084" s="319" t="s">
        <v>8</v>
      </c>
      <c r="B2084" s="314" t="s">
        <v>825</v>
      </c>
      <c r="C2084" s="320" t="s">
        <v>150</v>
      </c>
      <c r="D2084" s="605"/>
      <c r="E2084" s="605"/>
      <c r="F2084" s="609"/>
      <c r="G2084" s="391">
        <f t="shared" si="537"/>
        <v>0</v>
      </c>
      <c r="H2084" s="391">
        <f t="shared" si="537"/>
        <v>0</v>
      </c>
      <c r="I2084" s="428"/>
      <c r="J2084" s="607" t="s">
        <v>6</v>
      </c>
      <c r="K2084" s="591" t="s">
        <v>259</v>
      </c>
      <c r="L2084" s="591" t="s">
        <v>112</v>
      </c>
      <c r="M2084" s="608"/>
      <c r="N2084" s="424"/>
      <c r="P2084" s="414"/>
    </row>
    <row r="2085" spans="1:16" s="425" customFormat="1" ht="14">
      <c r="A2085" s="319" t="s">
        <v>8</v>
      </c>
      <c r="B2085" s="314" t="s">
        <v>826</v>
      </c>
      <c r="C2085" s="320" t="s">
        <v>15</v>
      </c>
      <c r="D2085" s="605"/>
      <c r="E2085" s="605"/>
      <c r="F2085" s="609"/>
      <c r="G2085" s="391">
        <f t="shared" si="537"/>
        <v>0</v>
      </c>
      <c r="H2085" s="391">
        <f t="shared" si="537"/>
        <v>0</v>
      </c>
      <c r="I2085" s="428"/>
      <c r="J2085" s="607" t="s">
        <v>6</v>
      </c>
      <c r="K2085" s="591" t="s">
        <v>259</v>
      </c>
      <c r="L2085" s="591" t="s">
        <v>112</v>
      </c>
      <c r="M2085" s="608"/>
      <c r="N2085" s="424"/>
      <c r="P2085" s="414"/>
    </row>
    <row r="2086" spans="1:16" s="425" customFormat="1" ht="14">
      <c r="A2086" s="319" t="s">
        <v>8</v>
      </c>
      <c r="B2086" s="314" t="s">
        <v>827</v>
      </c>
      <c r="C2086" s="320" t="s">
        <v>15</v>
      </c>
      <c r="D2086" s="605"/>
      <c r="E2086" s="605"/>
      <c r="F2086" s="609"/>
      <c r="G2086" s="391">
        <f t="shared" si="537"/>
        <v>0</v>
      </c>
      <c r="H2086" s="391">
        <f t="shared" si="537"/>
        <v>0</v>
      </c>
      <c r="I2086" s="428"/>
      <c r="J2086" s="607" t="s">
        <v>6</v>
      </c>
      <c r="K2086" s="591" t="s">
        <v>259</v>
      </c>
      <c r="L2086" s="591" t="s">
        <v>112</v>
      </c>
      <c r="M2086" s="608"/>
      <c r="N2086" s="424"/>
      <c r="P2086" s="414"/>
    </row>
    <row r="2087" spans="1:16" s="425" customFormat="1" ht="14">
      <c r="A2087" s="319" t="s">
        <v>8</v>
      </c>
      <c r="B2087" s="314" t="s">
        <v>828</v>
      </c>
      <c r="C2087" s="320" t="s">
        <v>15</v>
      </c>
      <c r="D2087" s="605"/>
      <c r="E2087" s="605"/>
      <c r="F2087" s="609"/>
      <c r="G2087" s="391">
        <f t="shared" si="537"/>
        <v>0</v>
      </c>
      <c r="H2087" s="391">
        <f t="shared" si="537"/>
        <v>0</v>
      </c>
      <c r="I2087" s="428"/>
      <c r="J2087" s="607" t="s">
        <v>6</v>
      </c>
      <c r="K2087" s="591" t="s">
        <v>259</v>
      </c>
      <c r="L2087" s="591" t="s">
        <v>112</v>
      </c>
      <c r="M2087" s="608"/>
      <c r="N2087" s="424"/>
      <c r="P2087" s="414"/>
    </row>
    <row r="2088" spans="1:16" s="425" customFormat="1" ht="14">
      <c r="A2088" s="319" t="s">
        <v>8</v>
      </c>
      <c r="B2088" s="314" t="s">
        <v>829</v>
      </c>
      <c r="C2088" s="320" t="s">
        <v>24</v>
      </c>
      <c r="D2088" s="605"/>
      <c r="E2088" s="605"/>
      <c r="F2088" s="609"/>
      <c r="G2088" s="391">
        <f t="shared" si="537"/>
        <v>0</v>
      </c>
      <c r="H2088" s="391">
        <f t="shared" si="537"/>
        <v>0</v>
      </c>
      <c r="I2088" s="428"/>
      <c r="J2088" s="607" t="s">
        <v>6</v>
      </c>
      <c r="K2088" s="591" t="s">
        <v>259</v>
      </c>
      <c r="L2088" s="591" t="s">
        <v>112</v>
      </c>
      <c r="M2088" s="608"/>
      <c r="N2088" s="424"/>
      <c r="P2088" s="414"/>
    </row>
    <row r="2089" spans="1:16" s="425" customFormat="1" ht="14">
      <c r="A2089" s="319" t="s">
        <v>8</v>
      </c>
      <c r="B2089" s="314" t="s">
        <v>830</v>
      </c>
      <c r="C2089" s="320" t="s">
        <v>15</v>
      </c>
      <c r="D2089" s="605"/>
      <c r="E2089" s="605"/>
      <c r="F2089" s="609"/>
      <c r="G2089" s="391">
        <f t="shared" si="537"/>
        <v>0</v>
      </c>
      <c r="H2089" s="391">
        <f t="shared" si="537"/>
        <v>0</v>
      </c>
      <c r="I2089" s="428"/>
      <c r="J2089" s="607" t="s">
        <v>6</v>
      </c>
      <c r="K2089" s="591" t="s">
        <v>259</v>
      </c>
      <c r="L2089" s="591" t="s">
        <v>112</v>
      </c>
      <c r="M2089" s="608"/>
      <c r="N2089" s="424"/>
      <c r="P2089" s="414"/>
    </row>
    <row r="2090" spans="1:16" s="425" customFormat="1" ht="14">
      <c r="A2090" s="319" t="s">
        <v>8</v>
      </c>
      <c r="B2090" s="314" t="s">
        <v>172</v>
      </c>
      <c r="C2090" s="320" t="s">
        <v>15</v>
      </c>
      <c r="D2090" s="605"/>
      <c r="E2090" s="605"/>
      <c r="F2090" s="609"/>
      <c r="G2090" s="391">
        <f t="shared" si="537"/>
        <v>0</v>
      </c>
      <c r="H2090" s="391">
        <f t="shared" si="537"/>
        <v>0</v>
      </c>
      <c r="I2090" s="428"/>
      <c r="J2090" s="607" t="s">
        <v>6</v>
      </c>
      <c r="K2090" s="591" t="s">
        <v>259</v>
      </c>
      <c r="L2090" s="591" t="s">
        <v>112</v>
      </c>
      <c r="M2090" s="608"/>
      <c r="N2090" s="424"/>
      <c r="P2090" s="414"/>
    </row>
    <row r="2091" spans="1:16" s="425" customFormat="1" ht="14">
      <c r="A2091" s="319" t="s">
        <v>8</v>
      </c>
      <c r="B2091" s="314" t="s">
        <v>171</v>
      </c>
      <c r="C2091" s="320" t="s">
        <v>15</v>
      </c>
      <c r="D2091" s="605"/>
      <c r="E2091" s="605"/>
      <c r="F2091" s="609"/>
      <c r="G2091" s="391">
        <f t="shared" si="537"/>
        <v>0</v>
      </c>
      <c r="H2091" s="391">
        <f t="shared" si="537"/>
        <v>0</v>
      </c>
      <c r="I2091" s="428"/>
      <c r="J2091" s="607" t="s">
        <v>6</v>
      </c>
      <c r="K2091" s="591" t="s">
        <v>259</v>
      </c>
      <c r="L2091" s="591" t="s">
        <v>112</v>
      </c>
      <c r="M2091" s="608"/>
      <c r="N2091" s="424"/>
      <c r="P2091" s="414"/>
    </row>
    <row r="2092" spans="1:16" s="425" customFormat="1" ht="14">
      <c r="A2092" s="319" t="s">
        <v>8</v>
      </c>
      <c r="B2092" s="314" t="s">
        <v>831</v>
      </c>
      <c r="C2092" s="320" t="s">
        <v>9</v>
      </c>
      <c r="D2092" s="402"/>
      <c r="E2092" s="402"/>
      <c r="F2092" s="609"/>
      <c r="G2092" s="398">
        <f t="shared" si="537"/>
        <v>0</v>
      </c>
      <c r="H2092" s="398">
        <f t="shared" si="537"/>
        <v>0</v>
      </c>
      <c r="I2092" s="428"/>
      <c r="J2092" s="607" t="s">
        <v>6</v>
      </c>
      <c r="K2092" s="591" t="s">
        <v>259</v>
      </c>
      <c r="L2092" s="591" t="s">
        <v>112</v>
      </c>
      <c r="N2092" s="424"/>
      <c r="P2092" s="613"/>
    </row>
    <row r="2093" spans="1:16" s="425" customFormat="1" ht="14">
      <c r="A2093" s="319" t="s">
        <v>8</v>
      </c>
      <c r="B2093" s="314" t="s">
        <v>691</v>
      </c>
      <c r="C2093" s="320" t="s">
        <v>832</v>
      </c>
      <c r="D2093" s="402"/>
      <c r="E2093" s="402"/>
      <c r="F2093" s="609"/>
      <c r="G2093" s="398">
        <f t="shared" si="537"/>
        <v>0</v>
      </c>
      <c r="H2093" s="398">
        <f t="shared" si="537"/>
        <v>0</v>
      </c>
      <c r="I2093" s="428"/>
      <c r="J2093" s="607" t="s">
        <v>6</v>
      </c>
      <c r="K2093" s="591" t="s">
        <v>259</v>
      </c>
      <c r="L2093" s="591" t="s">
        <v>112</v>
      </c>
      <c r="N2093" s="424"/>
      <c r="P2093" s="613"/>
    </row>
    <row r="2094" spans="1:16" s="425" customFormat="1" ht="14">
      <c r="A2094" s="319" t="s">
        <v>8</v>
      </c>
      <c r="B2094" s="314" t="s">
        <v>833</v>
      </c>
      <c r="C2094" s="320" t="s">
        <v>24</v>
      </c>
      <c r="D2094" s="605"/>
      <c r="E2094" s="605"/>
      <c r="F2094" s="609"/>
      <c r="G2094" s="391">
        <f t="shared" si="537"/>
        <v>0</v>
      </c>
      <c r="H2094" s="391">
        <f t="shared" si="537"/>
        <v>0</v>
      </c>
      <c r="I2094" s="428"/>
      <c r="J2094" s="607" t="s">
        <v>6</v>
      </c>
      <c r="K2094" s="591" t="s">
        <v>259</v>
      </c>
      <c r="L2094" s="591" t="s">
        <v>112</v>
      </c>
      <c r="N2094" s="424"/>
      <c r="P2094" s="615"/>
    </row>
    <row r="2095" spans="1:16" s="425" customFormat="1" ht="14">
      <c r="A2095" s="319" t="s">
        <v>8</v>
      </c>
      <c r="B2095" s="314" t="s">
        <v>834</v>
      </c>
      <c r="C2095" s="320" t="s">
        <v>24</v>
      </c>
      <c r="D2095" s="402"/>
      <c r="E2095" s="605"/>
      <c r="F2095" s="609"/>
      <c r="G2095" s="398">
        <f t="shared" si="537"/>
        <v>0</v>
      </c>
      <c r="H2095" s="391">
        <f t="shared" si="537"/>
        <v>0</v>
      </c>
      <c r="I2095" s="428"/>
      <c r="J2095" s="607" t="s">
        <v>6</v>
      </c>
      <c r="K2095" s="591" t="s">
        <v>259</v>
      </c>
      <c r="L2095" s="591" t="s">
        <v>112</v>
      </c>
      <c r="N2095" s="424"/>
      <c r="P2095" s="613"/>
    </row>
    <row r="2096" spans="1:16" s="425" customFormat="1" ht="14">
      <c r="A2096" s="319" t="s">
        <v>8</v>
      </c>
      <c r="B2096" s="314" t="s">
        <v>835</v>
      </c>
      <c r="C2096" s="320" t="s">
        <v>24</v>
      </c>
      <c r="D2096" s="402"/>
      <c r="E2096" s="605"/>
      <c r="F2096" s="609"/>
      <c r="G2096" s="398">
        <f t="shared" si="537"/>
        <v>0</v>
      </c>
      <c r="H2096" s="391">
        <f t="shared" si="537"/>
        <v>0</v>
      </c>
      <c r="I2096" s="428"/>
      <c r="J2096" s="607" t="s">
        <v>6</v>
      </c>
      <c r="K2096" s="591" t="s">
        <v>259</v>
      </c>
      <c r="L2096" s="591" t="s">
        <v>112</v>
      </c>
      <c r="N2096" s="424"/>
      <c r="P2096" s="613"/>
    </row>
    <row r="2097" spans="1:16" s="425" customFormat="1" ht="14">
      <c r="A2097" s="316" t="s">
        <v>836</v>
      </c>
      <c r="B2097" s="317" t="s">
        <v>837</v>
      </c>
      <c r="C2097" s="320"/>
      <c r="D2097" s="605"/>
      <c r="E2097" s="605"/>
      <c r="F2097" s="606"/>
      <c r="G2097" s="402"/>
      <c r="H2097" s="402"/>
      <c r="I2097" s="428"/>
      <c r="J2097" s="607" t="s">
        <v>6</v>
      </c>
      <c r="K2097" s="591" t="s">
        <v>259</v>
      </c>
      <c r="L2097" s="591" t="s">
        <v>112</v>
      </c>
      <c r="N2097" s="424"/>
      <c r="P2097" s="615"/>
    </row>
    <row r="2098" spans="1:16" s="425" customFormat="1" ht="14">
      <c r="A2098" s="319" t="s">
        <v>8</v>
      </c>
      <c r="B2098" s="314" t="s">
        <v>838</v>
      </c>
      <c r="C2098" s="320" t="s">
        <v>9</v>
      </c>
      <c r="D2098" s="402"/>
      <c r="E2098" s="402"/>
      <c r="F2098" s="609"/>
      <c r="G2098" s="398">
        <f t="shared" ref="G2098:H2114" si="538">D2098*$F2098</f>
        <v>0</v>
      </c>
      <c r="H2098" s="398">
        <f t="shared" si="538"/>
        <v>0</v>
      </c>
      <c r="I2098" s="428"/>
      <c r="J2098" s="607" t="s">
        <v>6</v>
      </c>
      <c r="K2098" s="591" t="s">
        <v>259</v>
      </c>
      <c r="L2098" s="591" t="s">
        <v>112</v>
      </c>
      <c r="N2098" s="424"/>
      <c r="P2098" s="613"/>
    </row>
    <row r="2099" spans="1:16" s="616" customFormat="1" ht="14">
      <c r="A2099" s="319" t="s">
        <v>8</v>
      </c>
      <c r="B2099" s="314" t="s">
        <v>839</v>
      </c>
      <c r="C2099" s="320" t="s">
        <v>9</v>
      </c>
      <c r="D2099" s="402"/>
      <c r="E2099" s="402"/>
      <c r="F2099" s="609"/>
      <c r="G2099" s="398">
        <f t="shared" si="538"/>
        <v>0</v>
      </c>
      <c r="H2099" s="398">
        <f t="shared" si="538"/>
        <v>0</v>
      </c>
      <c r="I2099" s="502"/>
      <c r="J2099" s="607" t="s">
        <v>6</v>
      </c>
      <c r="K2099" s="591" t="s">
        <v>259</v>
      </c>
      <c r="L2099" s="591" t="s">
        <v>112</v>
      </c>
      <c r="N2099" s="410"/>
      <c r="P2099" s="613"/>
    </row>
    <row r="2100" spans="1:16" s="616" customFormat="1" ht="14">
      <c r="A2100" s="319" t="s">
        <v>8</v>
      </c>
      <c r="B2100" s="314" t="s">
        <v>840</v>
      </c>
      <c r="C2100" s="320" t="s">
        <v>15</v>
      </c>
      <c r="D2100" s="402"/>
      <c r="E2100" s="402"/>
      <c r="F2100" s="609"/>
      <c r="G2100" s="398">
        <f t="shared" si="538"/>
        <v>0</v>
      </c>
      <c r="H2100" s="398">
        <f t="shared" si="538"/>
        <v>0</v>
      </c>
      <c r="I2100" s="502"/>
      <c r="J2100" s="607" t="s">
        <v>6</v>
      </c>
      <c r="K2100" s="591" t="s">
        <v>259</v>
      </c>
      <c r="L2100" s="591" t="s">
        <v>112</v>
      </c>
      <c r="N2100" s="410"/>
      <c r="P2100" s="613"/>
    </row>
    <row r="2101" spans="1:16" s="616" customFormat="1" ht="14">
      <c r="A2101" s="319" t="s">
        <v>8</v>
      </c>
      <c r="B2101" s="314" t="s">
        <v>841</v>
      </c>
      <c r="C2101" s="320" t="s">
        <v>15</v>
      </c>
      <c r="D2101" s="402"/>
      <c r="E2101" s="402"/>
      <c r="F2101" s="609"/>
      <c r="G2101" s="398">
        <f t="shared" si="538"/>
        <v>0</v>
      </c>
      <c r="H2101" s="398">
        <f t="shared" si="538"/>
        <v>0</v>
      </c>
      <c r="I2101" s="502"/>
      <c r="J2101" s="607" t="s">
        <v>6</v>
      </c>
      <c r="K2101" s="591" t="s">
        <v>259</v>
      </c>
      <c r="L2101" s="591" t="s">
        <v>112</v>
      </c>
      <c r="N2101" s="410"/>
      <c r="P2101" s="613"/>
    </row>
    <row r="2102" spans="1:16" s="616" customFormat="1" ht="14">
      <c r="A2102" s="319" t="s">
        <v>8</v>
      </c>
      <c r="B2102" s="314" t="s">
        <v>842</v>
      </c>
      <c r="C2102" s="320" t="s">
        <v>843</v>
      </c>
      <c r="D2102" s="402"/>
      <c r="E2102" s="402"/>
      <c r="F2102" s="609"/>
      <c r="G2102" s="398">
        <f t="shared" si="538"/>
        <v>0</v>
      </c>
      <c r="H2102" s="398">
        <f t="shared" si="538"/>
        <v>0</v>
      </c>
      <c r="I2102" s="502"/>
      <c r="J2102" s="607" t="s">
        <v>6</v>
      </c>
      <c r="K2102" s="591" t="s">
        <v>259</v>
      </c>
      <c r="L2102" s="591" t="s">
        <v>112</v>
      </c>
      <c r="N2102" s="410"/>
      <c r="P2102" s="613"/>
    </row>
    <row r="2103" spans="1:16" s="616" customFormat="1" ht="14">
      <c r="A2103" s="319" t="s">
        <v>8</v>
      </c>
      <c r="B2103" s="314" t="s">
        <v>844</v>
      </c>
      <c r="C2103" s="320" t="s">
        <v>470</v>
      </c>
      <c r="D2103" s="402"/>
      <c r="E2103" s="402"/>
      <c r="F2103" s="609"/>
      <c r="G2103" s="398">
        <f t="shared" si="538"/>
        <v>0</v>
      </c>
      <c r="H2103" s="398">
        <f t="shared" si="538"/>
        <v>0</v>
      </c>
      <c r="I2103" s="502"/>
      <c r="J2103" s="607" t="s">
        <v>6</v>
      </c>
      <c r="K2103" s="591" t="s">
        <v>259</v>
      </c>
      <c r="L2103" s="591" t="s">
        <v>112</v>
      </c>
      <c r="N2103" s="410"/>
      <c r="P2103" s="613"/>
    </row>
    <row r="2104" spans="1:16" s="616" customFormat="1" ht="14">
      <c r="A2104" s="319" t="s">
        <v>8</v>
      </c>
      <c r="B2104" s="314" t="s">
        <v>845</v>
      </c>
      <c r="C2104" s="320" t="s">
        <v>470</v>
      </c>
      <c r="D2104" s="402"/>
      <c r="E2104" s="402"/>
      <c r="F2104" s="609"/>
      <c r="G2104" s="398">
        <f t="shared" si="538"/>
        <v>0</v>
      </c>
      <c r="H2104" s="398">
        <f t="shared" si="538"/>
        <v>0</v>
      </c>
      <c r="I2104" s="502"/>
      <c r="J2104" s="607" t="s">
        <v>6</v>
      </c>
      <c r="K2104" s="591" t="s">
        <v>259</v>
      </c>
      <c r="L2104" s="591" t="s">
        <v>112</v>
      </c>
      <c r="N2104" s="410"/>
      <c r="P2104" s="613"/>
    </row>
    <row r="2105" spans="1:16" s="616" customFormat="1" ht="14">
      <c r="A2105" s="319" t="s">
        <v>8</v>
      </c>
      <c r="B2105" s="314" t="s">
        <v>846</v>
      </c>
      <c r="C2105" s="320" t="s">
        <v>470</v>
      </c>
      <c r="D2105" s="402"/>
      <c r="E2105" s="402"/>
      <c r="F2105" s="609"/>
      <c r="G2105" s="398">
        <f t="shared" si="538"/>
        <v>0</v>
      </c>
      <c r="H2105" s="398">
        <f t="shared" si="538"/>
        <v>0</v>
      </c>
      <c r="I2105" s="502"/>
      <c r="J2105" s="607" t="s">
        <v>6</v>
      </c>
      <c r="K2105" s="591" t="s">
        <v>259</v>
      </c>
      <c r="L2105" s="591" t="s">
        <v>112</v>
      </c>
      <c r="N2105" s="410"/>
      <c r="P2105" s="613"/>
    </row>
    <row r="2106" spans="1:16" s="616" customFormat="1" ht="14">
      <c r="A2106" s="319" t="s">
        <v>8</v>
      </c>
      <c r="B2106" s="314" t="s">
        <v>847</v>
      </c>
      <c r="C2106" s="320" t="s">
        <v>470</v>
      </c>
      <c r="D2106" s="402"/>
      <c r="E2106" s="402"/>
      <c r="F2106" s="609"/>
      <c r="G2106" s="398">
        <f t="shared" si="538"/>
        <v>0</v>
      </c>
      <c r="H2106" s="398">
        <f t="shared" si="538"/>
        <v>0</v>
      </c>
      <c r="I2106" s="502"/>
      <c r="J2106" s="607" t="s">
        <v>6</v>
      </c>
      <c r="K2106" s="591" t="s">
        <v>259</v>
      </c>
      <c r="L2106" s="591" t="s">
        <v>112</v>
      </c>
      <c r="N2106" s="410"/>
      <c r="P2106" s="613"/>
    </row>
    <row r="2107" spans="1:16" s="616" customFormat="1" ht="14">
      <c r="A2107" s="319" t="s">
        <v>8</v>
      </c>
      <c r="B2107" s="314" t="s">
        <v>848</v>
      </c>
      <c r="C2107" s="320" t="s">
        <v>470</v>
      </c>
      <c r="D2107" s="402"/>
      <c r="E2107" s="402"/>
      <c r="F2107" s="609"/>
      <c r="G2107" s="398">
        <f t="shared" si="538"/>
        <v>0</v>
      </c>
      <c r="H2107" s="398">
        <f t="shared" si="538"/>
        <v>0</v>
      </c>
      <c r="I2107" s="502"/>
      <c r="J2107" s="607" t="s">
        <v>6</v>
      </c>
      <c r="K2107" s="591" t="s">
        <v>259</v>
      </c>
      <c r="L2107" s="591" t="s">
        <v>112</v>
      </c>
      <c r="N2107" s="410"/>
      <c r="P2107" s="613"/>
    </row>
    <row r="2108" spans="1:16" s="621" customFormat="1" ht="14">
      <c r="A2108" s="319" t="s">
        <v>8</v>
      </c>
      <c r="B2108" s="617" t="s">
        <v>849</v>
      </c>
      <c r="C2108" s="327" t="s">
        <v>470</v>
      </c>
      <c r="D2108" s="617"/>
      <c r="E2108" s="617"/>
      <c r="F2108" s="618"/>
      <c r="G2108" s="619">
        <f t="shared" si="538"/>
        <v>0</v>
      </c>
      <c r="H2108" s="619">
        <f t="shared" si="538"/>
        <v>0</v>
      </c>
      <c r="I2108" s="620"/>
      <c r="J2108" s="620" t="s">
        <v>6</v>
      </c>
      <c r="K2108" s="473" t="s">
        <v>259</v>
      </c>
      <c r="L2108" s="473" t="s">
        <v>112</v>
      </c>
      <c r="N2108" s="622"/>
      <c r="P2108" s="623"/>
    </row>
    <row r="2109" spans="1:16" s="621" customFormat="1" ht="14">
      <c r="A2109" s="319" t="s">
        <v>8</v>
      </c>
      <c r="B2109" s="617" t="s">
        <v>850</v>
      </c>
      <c r="C2109" s="327" t="s">
        <v>470</v>
      </c>
      <c r="D2109" s="617"/>
      <c r="E2109" s="617"/>
      <c r="F2109" s="618"/>
      <c r="G2109" s="619">
        <f t="shared" si="538"/>
        <v>0</v>
      </c>
      <c r="H2109" s="619">
        <f t="shared" si="538"/>
        <v>0</v>
      </c>
      <c r="I2109" s="620"/>
      <c r="J2109" s="620" t="s">
        <v>6</v>
      </c>
      <c r="K2109" s="473" t="s">
        <v>259</v>
      </c>
      <c r="L2109" s="473" t="s">
        <v>112</v>
      </c>
      <c r="N2109" s="622"/>
      <c r="P2109" s="623"/>
    </row>
    <row r="2110" spans="1:16" s="616" customFormat="1" ht="14">
      <c r="A2110" s="319" t="s">
        <v>8</v>
      </c>
      <c r="B2110" s="314" t="s">
        <v>851</v>
      </c>
      <c r="C2110" s="320" t="s">
        <v>470</v>
      </c>
      <c r="D2110" s="402"/>
      <c r="E2110" s="402"/>
      <c r="F2110" s="609"/>
      <c r="G2110" s="398">
        <f t="shared" si="538"/>
        <v>0</v>
      </c>
      <c r="H2110" s="398">
        <f t="shared" si="538"/>
        <v>0</v>
      </c>
      <c r="I2110" s="502"/>
      <c r="J2110" s="607" t="s">
        <v>6</v>
      </c>
      <c r="K2110" s="591" t="s">
        <v>259</v>
      </c>
      <c r="L2110" s="591" t="s">
        <v>112</v>
      </c>
      <c r="N2110" s="410"/>
      <c r="P2110" s="613"/>
    </row>
    <row r="2111" spans="1:16" s="616" customFormat="1" ht="14">
      <c r="A2111" s="319" t="s">
        <v>8</v>
      </c>
      <c r="B2111" s="314" t="s">
        <v>852</v>
      </c>
      <c r="C2111" s="320" t="s">
        <v>470</v>
      </c>
      <c r="D2111" s="402"/>
      <c r="E2111" s="402"/>
      <c r="F2111" s="609"/>
      <c r="G2111" s="398">
        <f t="shared" si="538"/>
        <v>0</v>
      </c>
      <c r="H2111" s="398">
        <f t="shared" si="538"/>
        <v>0</v>
      </c>
      <c r="I2111" s="502"/>
      <c r="J2111" s="607" t="s">
        <v>6</v>
      </c>
      <c r="K2111" s="591" t="s">
        <v>259</v>
      </c>
      <c r="L2111" s="591" t="s">
        <v>112</v>
      </c>
      <c r="N2111" s="410"/>
      <c r="P2111" s="613"/>
    </row>
    <row r="2112" spans="1:16" s="616" customFormat="1" ht="14">
      <c r="A2112" s="319" t="s">
        <v>8</v>
      </c>
      <c r="B2112" s="314" t="s">
        <v>853</v>
      </c>
      <c r="C2112" s="320" t="s">
        <v>470</v>
      </c>
      <c r="D2112" s="402"/>
      <c r="E2112" s="402"/>
      <c r="F2112" s="609"/>
      <c r="G2112" s="398">
        <f t="shared" si="538"/>
        <v>0</v>
      </c>
      <c r="H2112" s="398">
        <f t="shared" si="538"/>
        <v>0</v>
      </c>
      <c r="I2112" s="502"/>
      <c r="J2112" s="607" t="s">
        <v>6</v>
      </c>
      <c r="K2112" s="591" t="s">
        <v>259</v>
      </c>
      <c r="L2112" s="591" t="s">
        <v>112</v>
      </c>
      <c r="N2112" s="410"/>
      <c r="P2112" s="613"/>
    </row>
    <row r="2113" spans="1:16" s="616" customFormat="1" ht="14">
      <c r="A2113" s="319" t="s">
        <v>8</v>
      </c>
      <c r="B2113" s="314" t="s">
        <v>854</v>
      </c>
      <c r="C2113" s="320" t="s">
        <v>470</v>
      </c>
      <c r="D2113" s="402"/>
      <c r="E2113" s="402"/>
      <c r="F2113" s="609"/>
      <c r="G2113" s="398">
        <f t="shared" si="538"/>
        <v>0</v>
      </c>
      <c r="H2113" s="398">
        <f t="shared" si="538"/>
        <v>0</v>
      </c>
      <c r="I2113" s="502"/>
      <c r="J2113" s="607" t="s">
        <v>6</v>
      </c>
      <c r="K2113" s="591" t="s">
        <v>259</v>
      </c>
      <c r="L2113" s="591" t="s">
        <v>112</v>
      </c>
      <c r="N2113" s="410"/>
      <c r="P2113" s="613"/>
    </row>
    <row r="2114" spans="1:16" s="616" customFormat="1" ht="14">
      <c r="A2114" s="319" t="s">
        <v>8</v>
      </c>
      <c r="B2114" s="314" t="s">
        <v>855</v>
      </c>
      <c r="C2114" s="320" t="s">
        <v>15</v>
      </c>
      <c r="D2114" s="402"/>
      <c r="E2114" s="402"/>
      <c r="F2114" s="609"/>
      <c r="G2114" s="398">
        <f t="shared" si="538"/>
        <v>0</v>
      </c>
      <c r="H2114" s="398">
        <f t="shared" si="538"/>
        <v>0</v>
      </c>
      <c r="I2114" s="502"/>
      <c r="J2114" s="607" t="s">
        <v>6</v>
      </c>
      <c r="K2114" s="591" t="s">
        <v>259</v>
      </c>
      <c r="L2114" s="591" t="s">
        <v>112</v>
      </c>
      <c r="N2114" s="410"/>
      <c r="P2114" s="613"/>
    </row>
    <row r="2115" spans="1:16" s="626" customFormat="1" ht="16" customHeight="1">
      <c r="A2115" s="321" t="s">
        <v>856</v>
      </c>
      <c r="B2115" s="322" t="s">
        <v>857</v>
      </c>
      <c r="C2115" s="324"/>
      <c r="D2115" s="612"/>
      <c r="E2115" s="612"/>
      <c r="F2115" s="612"/>
      <c r="G2115" s="598">
        <f>SUBTOTAL(9,G2117:G2153)</f>
        <v>189542.1</v>
      </c>
      <c r="H2115" s="598">
        <f>SUBTOTAL(9,H2117:H2153)</f>
        <v>223142.1</v>
      </c>
      <c r="I2115" s="624"/>
      <c r="J2115" s="601"/>
      <c r="K2115" s="601"/>
      <c r="L2115" s="601"/>
      <c r="M2115" s="601"/>
      <c r="N2115" s="625"/>
      <c r="P2115" s="417"/>
    </row>
    <row r="2116" spans="1:16" s="616" customFormat="1" ht="14">
      <c r="A2116" s="316" t="s">
        <v>858</v>
      </c>
      <c r="B2116" s="317" t="s">
        <v>703</v>
      </c>
      <c r="C2116" s="320"/>
      <c r="D2116" s="402"/>
      <c r="E2116" s="402"/>
      <c r="F2116" s="402"/>
      <c r="G2116" s="402"/>
      <c r="H2116" s="402"/>
      <c r="I2116" s="502"/>
      <c r="J2116" s="607"/>
      <c r="K2116" s="607"/>
      <c r="L2116" s="607"/>
      <c r="M2116" s="607"/>
      <c r="N2116" s="410"/>
      <c r="P2116" s="417"/>
    </row>
    <row r="2117" spans="1:16" s="616" customFormat="1" ht="14">
      <c r="A2117" s="319" t="s">
        <v>8</v>
      </c>
      <c r="B2117" s="314" t="s">
        <v>805</v>
      </c>
      <c r="C2117" s="320" t="s">
        <v>24</v>
      </c>
      <c r="D2117" s="402">
        <v>42</v>
      </c>
      <c r="E2117" s="402">
        <v>42</v>
      </c>
      <c r="F2117" s="609">
        <v>781</v>
      </c>
      <c r="G2117" s="391">
        <f t="shared" ref="G2117:H2119" si="539">D2117*$F2117</f>
        <v>32802</v>
      </c>
      <c r="H2117" s="391">
        <f t="shared" si="539"/>
        <v>32802</v>
      </c>
      <c r="I2117" s="502"/>
      <c r="J2117" s="502" t="s">
        <v>6</v>
      </c>
      <c r="K2117" s="591" t="s">
        <v>402</v>
      </c>
      <c r="L2117" s="591" t="s">
        <v>112</v>
      </c>
      <c r="M2117" s="607"/>
      <c r="N2117" s="410"/>
      <c r="P2117" s="417" t="s">
        <v>1365</v>
      </c>
    </row>
    <row r="2118" spans="1:16" s="616" customFormat="1" ht="14">
      <c r="A2118" s="319" t="s">
        <v>8</v>
      </c>
      <c r="B2118" s="314" t="s">
        <v>806</v>
      </c>
      <c r="C2118" s="320" t="s">
        <v>24</v>
      </c>
      <c r="D2118" s="402">
        <v>52</v>
      </c>
      <c r="E2118" s="402">
        <v>52</v>
      </c>
      <c r="F2118" s="609">
        <v>781</v>
      </c>
      <c r="G2118" s="398">
        <f t="shared" si="539"/>
        <v>40612</v>
      </c>
      <c r="H2118" s="398">
        <f t="shared" si="539"/>
        <v>40612</v>
      </c>
      <c r="I2118" s="502"/>
      <c r="J2118" s="502" t="s">
        <v>6</v>
      </c>
      <c r="K2118" s="591" t="s">
        <v>402</v>
      </c>
      <c r="L2118" s="591" t="s">
        <v>112</v>
      </c>
      <c r="N2118" s="410"/>
      <c r="P2118" s="613" t="s">
        <v>1366</v>
      </c>
    </row>
    <row r="2119" spans="1:16" s="616" customFormat="1" ht="14">
      <c r="A2119" s="319" t="s">
        <v>8</v>
      </c>
      <c r="B2119" s="314" t="s">
        <v>807</v>
      </c>
      <c r="C2119" s="320" t="s">
        <v>24</v>
      </c>
      <c r="D2119" s="402">
        <v>8</v>
      </c>
      <c r="E2119" s="402">
        <v>8</v>
      </c>
      <c r="F2119" s="609">
        <v>781</v>
      </c>
      <c r="G2119" s="398">
        <f t="shared" si="539"/>
        <v>6248</v>
      </c>
      <c r="H2119" s="398">
        <f t="shared" si="539"/>
        <v>6248</v>
      </c>
      <c r="I2119" s="502"/>
      <c r="J2119" s="502" t="s">
        <v>6</v>
      </c>
      <c r="K2119" s="591" t="s">
        <v>402</v>
      </c>
      <c r="L2119" s="591" t="s">
        <v>112</v>
      </c>
      <c r="N2119" s="410"/>
      <c r="P2119" s="627" t="s">
        <v>1367</v>
      </c>
    </row>
    <row r="2120" spans="1:16" s="616" customFormat="1" ht="14">
      <c r="A2120" s="316" t="s">
        <v>859</v>
      </c>
      <c r="B2120" s="317" t="s">
        <v>860</v>
      </c>
      <c r="C2120" s="318"/>
      <c r="D2120" s="402"/>
      <c r="E2120" s="402"/>
      <c r="F2120" s="402"/>
      <c r="G2120" s="402"/>
      <c r="H2120" s="402"/>
      <c r="I2120" s="502"/>
      <c r="J2120" s="607"/>
      <c r="K2120" s="607"/>
      <c r="L2120" s="607"/>
      <c r="N2120" s="410"/>
      <c r="P2120" s="627"/>
    </row>
    <row r="2121" spans="1:16" s="616" customFormat="1" ht="14">
      <c r="A2121" s="319" t="s">
        <v>8</v>
      </c>
      <c r="B2121" s="314" t="s">
        <v>861</v>
      </c>
      <c r="C2121" s="320" t="s">
        <v>15</v>
      </c>
      <c r="D2121" s="402"/>
      <c r="E2121" s="402"/>
      <c r="F2121" s="609"/>
      <c r="G2121" s="398">
        <f t="shared" ref="G2121:H2127" si="540">D2121*$F2121</f>
        <v>0</v>
      </c>
      <c r="H2121" s="398">
        <f t="shared" si="540"/>
        <v>0</v>
      </c>
      <c r="I2121" s="502"/>
      <c r="J2121" s="502" t="s">
        <v>6</v>
      </c>
      <c r="K2121" s="591" t="s">
        <v>402</v>
      </c>
      <c r="L2121" s="591" t="s">
        <v>112</v>
      </c>
      <c r="N2121" s="410"/>
      <c r="P2121" s="613"/>
    </row>
    <row r="2122" spans="1:16" s="616" customFormat="1" ht="14">
      <c r="A2122" s="319" t="s">
        <v>8</v>
      </c>
      <c r="B2122" s="314" t="s">
        <v>862</v>
      </c>
      <c r="C2122" s="320" t="s">
        <v>15</v>
      </c>
      <c r="D2122" s="402">
        <v>0</v>
      </c>
      <c r="E2122" s="402">
        <v>0</v>
      </c>
      <c r="F2122" s="609">
        <v>231</v>
      </c>
      <c r="G2122" s="398">
        <f t="shared" si="540"/>
        <v>0</v>
      </c>
      <c r="H2122" s="398">
        <f t="shared" si="540"/>
        <v>0</v>
      </c>
      <c r="I2122" s="502"/>
      <c r="J2122" s="502" t="s">
        <v>6</v>
      </c>
      <c r="K2122" s="591" t="s">
        <v>402</v>
      </c>
      <c r="L2122" s="591" t="s">
        <v>112</v>
      </c>
      <c r="N2122" s="410"/>
      <c r="P2122" s="613"/>
    </row>
    <row r="2123" spans="1:16" s="616" customFormat="1" ht="14">
      <c r="A2123" s="319" t="s">
        <v>8</v>
      </c>
      <c r="B2123" s="314" t="s">
        <v>863</v>
      </c>
      <c r="C2123" s="320" t="s">
        <v>15</v>
      </c>
      <c r="D2123" s="402"/>
      <c r="E2123" s="402"/>
      <c r="F2123" s="609"/>
      <c r="G2123" s="398">
        <f t="shared" si="540"/>
        <v>0</v>
      </c>
      <c r="H2123" s="398">
        <f t="shared" si="540"/>
        <v>0</v>
      </c>
      <c r="I2123" s="502"/>
      <c r="J2123" s="502" t="s">
        <v>6</v>
      </c>
      <c r="K2123" s="591" t="s">
        <v>402</v>
      </c>
      <c r="L2123" s="591" t="s">
        <v>112</v>
      </c>
      <c r="N2123" s="410"/>
      <c r="P2123" s="613"/>
    </row>
    <row r="2124" spans="1:16" s="616" customFormat="1" ht="14">
      <c r="A2124" s="319" t="s">
        <v>8</v>
      </c>
      <c r="B2124" s="314" t="s">
        <v>1369</v>
      </c>
      <c r="C2124" s="320" t="s">
        <v>15</v>
      </c>
      <c r="D2124" s="402">
        <v>10</v>
      </c>
      <c r="E2124" s="402">
        <v>10</v>
      </c>
      <c r="F2124" s="609">
        <v>288.01</v>
      </c>
      <c r="G2124" s="398">
        <f t="shared" si="540"/>
        <v>2880.1</v>
      </c>
      <c r="H2124" s="398">
        <f t="shared" si="540"/>
        <v>2880.1</v>
      </c>
      <c r="I2124" s="502"/>
      <c r="J2124" s="502" t="s">
        <v>6</v>
      </c>
      <c r="K2124" s="591" t="s">
        <v>402</v>
      </c>
      <c r="L2124" s="591" t="s">
        <v>112</v>
      </c>
      <c r="N2124" s="410"/>
      <c r="P2124" s="613" t="s">
        <v>1368</v>
      </c>
    </row>
    <row r="2125" spans="1:16" s="616" customFormat="1" ht="14">
      <c r="A2125" s="319" t="s">
        <v>8</v>
      </c>
      <c r="B2125" s="314" t="s">
        <v>864</v>
      </c>
      <c r="C2125" s="320" t="s">
        <v>15</v>
      </c>
      <c r="D2125" s="402"/>
      <c r="E2125" s="402"/>
      <c r="F2125" s="609"/>
      <c r="G2125" s="398">
        <f t="shared" si="540"/>
        <v>0</v>
      </c>
      <c r="H2125" s="398">
        <f t="shared" si="540"/>
        <v>0</v>
      </c>
      <c r="I2125" s="502"/>
      <c r="J2125" s="502" t="s">
        <v>6</v>
      </c>
      <c r="K2125" s="591" t="s">
        <v>402</v>
      </c>
      <c r="L2125" s="591" t="s">
        <v>112</v>
      </c>
      <c r="N2125" s="410"/>
      <c r="P2125" s="613"/>
    </row>
    <row r="2126" spans="1:16" s="616" customFormat="1" ht="14">
      <c r="A2126" s="319" t="s">
        <v>8</v>
      </c>
      <c r="B2126" s="314" t="s">
        <v>865</v>
      </c>
      <c r="C2126" s="320" t="s">
        <v>15</v>
      </c>
      <c r="D2126" s="402"/>
      <c r="E2126" s="402"/>
      <c r="F2126" s="609"/>
      <c r="G2126" s="398">
        <f t="shared" si="540"/>
        <v>0</v>
      </c>
      <c r="H2126" s="398">
        <f t="shared" si="540"/>
        <v>0</v>
      </c>
      <c r="I2126" s="502"/>
      <c r="J2126" s="502" t="s">
        <v>6</v>
      </c>
      <c r="K2126" s="591" t="s">
        <v>402</v>
      </c>
      <c r="L2126" s="591" t="s">
        <v>112</v>
      </c>
      <c r="N2126" s="410"/>
      <c r="P2126" s="613"/>
    </row>
    <row r="2127" spans="1:16" s="616" customFormat="1" ht="14">
      <c r="A2127" s="319" t="s">
        <v>8</v>
      </c>
      <c r="B2127" s="314" t="s">
        <v>866</v>
      </c>
      <c r="C2127" s="320" t="s">
        <v>15</v>
      </c>
      <c r="D2127" s="402"/>
      <c r="E2127" s="402"/>
      <c r="F2127" s="609"/>
      <c r="G2127" s="398">
        <f t="shared" si="540"/>
        <v>0</v>
      </c>
      <c r="H2127" s="398">
        <f t="shared" si="540"/>
        <v>0</v>
      </c>
      <c r="I2127" s="502"/>
      <c r="J2127" s="502" t="s">
        <v>6</v>
      </c>
      <c r="K2127" s="591" t="s">
        <v>402</v>
      </c>
      <c r="L2127" s="591" t="s">
        <v>112</v>
      </c>
      <c r="N2127" s="410"/>
      <c r="P2127" s="613"/>
    </row>
    <row r="2128" spans="1:16" s="616" customFormat="1" ht="14">
      <c r="A2128" s="316" t="s">
        <v>867</v>
      </c>
      <c r="B2128" s="317" t="s">
        <v>868</v>
      </c>
      <c r="C2128" s="318"/>
      <c r="D2128" s="402"/>
      <c r="E2128" s="402"/>
      <c r="F2128" s="402"/>
      <c r="G2128" s="402"/>
      <c r="H2128" s="402"/>
      <c r="I2128" s="502"/>
      <c r="J2128" s="607"/>
      <c r="K2128" s="607"/>
      <c r="L2128" s="607"/>
      <c r="N2128" s="410"/>
      <c r="P2128" s="627"/>
    </row>
    <row r="2129" spans="1:16" s="616" customFormat="1" ht="14">
      <c r="A2129" s="319" t="s">
        <v>8</v>
      </c>
      <c r="B2129" s="314" t="s">
        <v>869</v>
      </c>
      <c r="C2129" s="320" t="s">
        <v>15</v>
      </c>
      <c r="D2129" s="402"/>
      <c r="E2129" s="402"/>
      <c r="F2129" s="609"/>
      <c r="G2129" s="398">
        <f t="shared" ref="G2129:H2132" si="541">D2129*$F2129</f>
        <v>0</v>
      </c>
      <c r="H2129" s="398">
        <f t="shared" si="541"/>
        <v>0</v>
      </c>
      <c r="I2129" s="502"/>
      <c r="J2129" s="502" t="s">
        <v>6</v>
      </c>
      <c r="K2129" s="591" t="s">
        <v>402</v>
      </c>
      <c r="L2129" s="591" t="s">
        <v>112</v>
      </c>
      <c r="N2129" s="410"/>
      <c r="P2129" s="613"/>
    </row>
    <row r="2130" spans="1:16" s="616" customFormat="1" ht="14">
      <c r="A2130" s="319" t="s">
        <v>8</v>
      </c>
      <c r="B2130" s="314" t="s">
        <v>870</v>
      </c>
      <c r="C2130" s="320" t="s">
        <v>15</v>
      </c>
      <c r="D2130" s="402"/>
      <c r="E2130" s="402"/>
      <c r="F2130" s="609"/>
      <c r="G2130" s="398">
        <f t="shared" si="541"/>
        <v>0</v>
      </c>
      <c r="H2130" s="398">
        <f t="shared" si="541"/>
        <v>0</v>
      </c>
      <c r="I2130" s="502"/>
      <c r="J2130" s="502" t="s">
        <v>6</v>
      </c>
      <c r="K2130" s="591" t="s">
        <v>402</v>
      </c>
      <c r="L2130" s="591" t="s">
        <v>112</v>
      </c>
      <c r="N2130" s="410"/>
      <c r="P2130" s="613"/>
    </row>
    <row r="2131" spans="1:16" s="616" customFormat="1" ht="14">
      <c r="A2131" s="319" t="s">
        <v>8</v>
      </c>
      <c r="B2131" s="314" t="s">
        <v>871</v>
      </c>
      <c r="C2131" s="320" t="s">
        <v>15</v>
      </c>
      <c r="D2131" s="402"/>
      <c r="E2131" s="402"/>
      <c r="F2131" s="609"/>
      <c r="G2131" s="398">
        <f t="shared" si="541"/>
        <v>0</v>
      </c>
      <c r="H2131" s="398">
        <f t="shared" si="541"/>
        <v>0</v>
      </c>
      <c r="I2131" s="502"/>
      <c r="J2131" s="502" t="s">
        <v>6</v>
      </c>
      <c r="K2131" s="591" t="s">
        <v>402</v>
      </c>
      <c r="L2131" s="591" t="s">
        <v>112</v>
      </c>
      <c r="N2131" s="410"/>
      <c r="P2131" s="613"/>
    </row>
    <row r="2132" spans="1:16" s="616" customFormat="1" ht="14">
      <c r="A2132" s="319" t="s">
        <v>8</v>
      </c>
      <c r="B2132" s="314" t="s">
        <v>872</v>
      </c>
      <c r="C2132" s="320" t="s">
        <v>15</v>
      </c>
      <c r="D2132" s="402"/>
      <c r="E2132" s="402"/>
      <c r="F2132" s="609"/>
      <c r="G2132" s="398">
        <f t="shared" si="541"/>
        <v>0</v>
      </c>
      <c r="H2132" s="398">
        <f t="shared" si="541"/>
        <v>0</v>
      </c>
      <c r="I2132" s="502"/>
      <c r="J2132" s="502" t="s">
        <v>6</v>
      </c>
      <c r="K2132" s="591" t="s">
        <v>402</v>
      </c>
      <c r="L2132" s="591" t="s">
        <v>112</v>
      </c>
      <c r="N2132" s="410"/>
      <c r="P2132" s="613"/>
    </row>
    <row r="2133" spans="1:16" s="616" customFormat="1" ht="14">
      <c r="A2133" s="316" t="s">
        <v>873</v>
      </c>
      <c r="B2133" s="317" t="s">
        <v>874</v>
      </c>
      <c r="C2133" s="318"/>
      <c r="D2133" s="402"/>
      <c r="E2133" s="402"/>
      <c r="F2133" s="402"/>
      <c r="G2133" s="402"/>
      <c r="H2133" s="402"/>
      <c r="I2133" s="502"/>
      <c r="J2133" s="607"/>
      <c r="K2133" s="607"/>
      <c r="L2133" s="607"/>
      <c r="N2133" s="410"/>
      <c r="P2133" s="627"/>
    </row>
    <row r="2134" spans="1:16" s="616" customFormat="1" ht="14">
      <c r="A2134" s="319" t="s">
        <v>8</v>
      </c>
      <c r="B2134" s="314" t="s">
        <v>875</v>
      </c>
      <c r="C2134" s="320" t="s">
        <v>15</v>
      </c>
      <c r="D2134" s="402"/>
      <c r="E2134" s="402"/>
      <c r="F2134" s="609"/>
      <c r="G2134" s="398">
        <f t="shared" ref="G2134:H2137" si="542">D2134*$F2134</f>
        <v>0</v>
      </c>
      <c r="H2134" s="398">
        <f t="shared" si="542"/>
        <v>0</v>
      </c>
      <c r="I2134" s="502"/>
      <c r="J2134" s="502" t="s">
        <v>6</v>
      </c>
      <c r="K2134" s="591" t="s">
        <v>402</v>
      </c>
      <c r="L2134" s="591" t="s">
        <v>112</v>
      </c>
      <c r="N2134" s="410"/>
      <c r="P2134" s="613"/>
    </row>
    <row r="2135" spans="1:16" s="616" customFormat="1" ht="14">
      <c r="A2135" s="319" t="s">
        <v>8</v>
      </c>
      <c r="B2135" s="314" t="s">
        <v>876</v>
      </c>
      <c r="C2135" s="320" t="s">
        <v>15</v>
      </c>
      <c r="D2135" s="402"/>
      <c r="E2135" s="402"/>
      <c r="F2135" s="609"/>
      <c r="G2135" s="398"/>
      <c r="H2135" s="398">
        <f t="shared" si="542"/>
        <v>0</v>
      </c>
      <c r="I2135" s="502"/>
      <c r="J2135" s="502" t="s">
        <v>6</v>
      </c>
      <c r="K2135" s="591" t="s">
        <v>402</v>
      </c>
      <c r="L2135" s="591" t="s">
        <v>112</v>
      </c>
      <c r="N2135" s="410"/>
      <c r="P2135" s="613"/>
    </row>
    <row r="2136" spans="1:16" s="616" customFormat="1" ht="14">
      <c r="A2136" s="319" t="s">
        <v>8</v>
      </c>
      <c r="B2136" s="314" t="s">
        <v>1370</v>
      </c>
      <c r="C2136" s="320" t="s">
        <v>15</v>
      </c>
      <c r="D2136" s="402">
        <v>20</v>
      </c>
      <c r="E2136" s="402">
        <v>0</v>
      </c>
      <c r="F2136" s="609">
        <v>300</v>
      </c>
      <c r="G2136" s="398">
        <f t="shared" si="542"/>
        <v>6000</v>
      </c>
      <c r="H2136" s="398">
        <f t="shared" si="542"/>
        <v>0</v>
      </c>
      <c r="I2136" s="502"/>
      <c r="J2136" s="502" t="s">
        <v>6</v>
      </c>
      <c r="K2136" s="591" t="s">
        <v>402</v>
      </c>
      <c r="L2136" s="591" t="s">
        <v>112</v>
      </c>
      <c r="N2136" s="410"/>
      <c r="P2136" s="613" t="s">
        <v>1371</v>
      </c>
    </row>
    <row r="2137" spans="1:16" s="616" customFormat="1" ht="14">
      <c r="A2137" s="319" t="s">
        <v>8</v>
      </c>
      <c r="B2137" s="314" t="s">
        <v>877</v>
      </c>
      <c r="C2137" s="320" t="s">
        <v>15</v>
      </c>
      <c r="D2137" s="402"/>
      <c r="E2137" s="402"/>
      <c r="F2137" s="609"/>
      <c r="G2137" s="398">
        <f t="shared" si="542"/>
        <v>0</v>
      </c>
      <c r="H2137" s="398">
        <f t="shared" si="542"/>
        <v>0</v>
      </c>
      <c r="I2137" s="502"/>
      <c r="J2137" s="502" t="s">
        <v>6</v>
      </c>
      <c r="K2137" s="591" t="s">
        <v>402</v>
      </c>
      <c r="L2137" s="591" t="s">
        <v>112</v>
      </c>
      <c r="N2137" s="410"/>
      <c r="P2137" s="613"/>
    </row>
    <row r="2138" spans="1:16" s="616" customFormat="1" ht="14">
      <c r="A2138" s="316" t="s">
        <v>878</v>
      </c>
      <c r="B2138" s="317" t="s">
        <v>753</v>
      </c>
      <c r="C2138" s="318"/>
      <c r="D2138" s="402"/>
      <c r="E2138" s="402"/>
      <c r="F2138" s="402"/>
      <c r="G2138" s="402"/>
      <c r="H2138" s="402"/>
      <c r="I2138" s="502"/>
      <c r="J2138" s="607"/>
      <c r="K2138" s="607"/>
      <c r="L2138" s="607"/>
      <c r="N2138" s="410"/>
      <c r="P2138" s="627"/>
    </row>
    <row r="2139" spans="1:16" s="616" customFormat="1" ht="14">
      <c r="A2139" s="319" t="s">
        <v>8</v>
      </c>
      <c r="B2139" s="314" t="s">
        <v>812</v>
      </c>
      <c r="C2139" s="320" t="s">
        <v>31</v>
      </c>
      <c r="D2139" s="402"/>
      <c r="E2139" s="402"/>
      <c r="F2139" s="402"/>
      <c r="G2139" s="398">
        <f t="shared" ref="G2139:H2140" si="543">D2139*$F2139</f>
        <v>0</v>
      </c>
      <c r="H2139" s="398">
        <f t="shared" si="543"/>
        <v>0</v>
      </c>
      <c r="I2139" s="502"/>
      <c r="J2139" s="502" t="s">
        <v>6</v>
      </c>
      <c r="K2139" s="591" t="s">
        <v>402</v>
      </c>
      <c r="L2139" s="591" t="s">
        <v>112</v>
      </c>
      <c r="N2139" s="410"/>
      <c r="P2139" s="613"/>
    </row>
    <row r="2140" spans="1:16" s="616" customFormat="1" ht="14">
      <c r="A2140" s="319" t="s">
        <v>8</v>
      </c>
      <c r="B2140" s="314" t="s">
        <v>754</v>
      </c>
      <c r="C2140" s="320" t="s">
        <v>31</v>
      </c>
      <c r="D2140" s="402"/>
      <c r="E2140" s="402"/>
      <c r="F2140" s="609"/>
      <c r="G2140" s="398">
        <f t="shared" si="543"/>
        <v>0</v>
      </c>
      <c r="H2140" s="398">
        <f t="shared" si="543"/>
        <v>0</v>
      </c>
      <c r="I2140" s="502"/>
      <c r="J2140" s="502" t="s">
        <v>6</v>
      </c>
      <c r="K2140" s="591" t="s">
        <v>402</v>
      </c>
      <c r="L2140" s="591" t="s">
        <v>112</v>
      </c>
      <c r="N2140" s="410"/>
      <c r="P2140" s="613"/>
    </row>
    <row r="2141" spans="1:16" s="616" customFormat="1" ht="14">
      <c r="A2141" s="316" t="s">
        <v>879</v>
      </c>
      <c r="B2141" s="317" t="s">
        <v>795</v>
      </c>
      <c r="C2141" s="320"/>
      <c r="D2141" s="402"/>
      <c r="E2141" s="402"/>
      <c r="F2141" s="402"/>
      <c r="G2141" s="402"/>
      <c r="H2141" s="402"/>
      <c r="I2141" s="502"/>
      <c r="J2141" s="607"/>
      <c r="K2141" s="607"/>
      <c r="L2141" s="607"/>
      <c r="N2141" s="410"/>
      <c r="P2141" s="627"/>
    </row>
    <row r="2142" spans="1:16" s="616" customFormat="1" ht="14">
      <c r="A2142" s="319" t="s">
        <v>8</v>
      </c>
      <c r="B2142" s="314" t="s">
        <v>1422</v>
      </c>
      <c r="C2142" s="320" t="s">
        <v>24</v>
      </c>
      <c r="D2142" s="402">
        <v>0</v>
      </c>
      <c r="E2142" s="402">
        <v>0</v>
      </c>
      <c r="F2142" s="609">
        <v>750</v>
      </c>
      <c r="G2142" s="398">
        <f t="shared" ref="G2142:H2153" si="544">D2142*$F2142</f>
        <v>0</v>
      </c>
      <c r="H2142" s="398">
        <f t="shared" si="544"/>
        <v>0</v>
      </c>
      <c r="I2142" s="502"/>
      <c r="J2142" s="502" t="s">
        <v>6</v>
      </c>
      <c r="K2142" s="591" t="s">
        <v>402</v>
      </c>
      <c r="L2142" s="591" t="s">
        <v>112</v>
      </c>
      <c r="N2142" s="410"/>
      <c r="P2142" s="613"/>
    </row>
    <row r="2143" spans="1:16" s="616" customFormat="1" ht="14">
      <c r="A2143" s="319" t="s">
        <v>8</v>
      </c>
      <c r="B2143" s="314" t="s">
        <v>1372</v>
      </c>
      <c r="C2143" s="320" t="s">
        <v>15</v>
      </c>
      <c r="D2143" s="402">
        <v>0</v>
      </c>
      <c r="E2143" s="402">
        <v>100</v>
      </c>
      <c r="F2143" s="609">
        <v>406</v>
      </c>
      <c r="G2143" s="398">
        <f t="shared" si="544"/>
        <v>0</v>
      </c>
      <c r="H2143" s="398">
        <f t="shared" si="544"/>
        <v>40600</v>
      </c>
      <c r="I2143" s="502"/>
      <c r="J2143" s="502" t="s">
        <v>6</v>
      </c>
      <c r="K2143" s="591" t="s">
        <v>402</v>
      </c>
      <c r="L2143" s="591" t="s">
        <v>112</v>
      </c>
      <c r="N2143" s="410"/>
      <c r="P2143" s="613" t="s">
        <v>1373</v>
      </c>
    </row>
    <row r="2144" spans="1:16" s="616" customFormat="1" ht="14">
      <c r="A2144" s="319" t="s">
        <v>8</v>
      </c>
      <c r="B2144" s="314" t="s">
        <v>828</v>
      </c>
      <c r="C2144" s="320" t="s">
        <v>15</v>
      </c>
      <c r="D2144" s="402"/>
      <c r="E2144" s="402"/>
      <c r="F2144" s="609">
        <v>30</v>
      </c>
      <c r="G2144" s="398">
        <f t="shared" si="544"/>
        <v>0</v>
      </c>
      <c r="H2144" s="398">
        <f t="shared" si="544"/>
        <v>0</v>
      </c>
      <c r="I2144" s="502"/>
      <c r="J2144" s="502" t="s">
        <v>6</v>
      </c>
      <c r="K2144" s="591" t="s">
        <v>402</v>
      </c>
      <c r="L2144" s="591" t="s">
        <v>112</v>
      </c>
      <c r="N2144" s="410"/>
      <c r="P2144" s="613"/>
    </row>
    <row r="2145" spans="1:17" s="616" customFormat="1" ht="14">
      <c r="A2145" s="319" t="s">
        <v>8</v>
      </c>
      <c r="B2145" s="314" t="s">
        <v>829</v>
      </c>
      <c r="C2145" s="320" t="s">
        <v>24</v>
      </c>
      <c r="D2145" s="617"/>
      <c r="E2145" s="617"/>
      <c r="F2145" s="609">
        <v>2.5</v>
      </c>
      <c r="G2145" s="398">
        <f t="shared" si="544"/>
        <v>0</v>
      </c>
      <c r="H2145" s="398">
        <f t="shared" si="544"/>
        <v>0</v>
      </c>
      <c r="I2145" s="502"/>
      <c r="J2145" s="502" t="s">
        <v>6</v>
      </c>
      <c r="K2145" s="591" t="s">
        <v>402</v>
      </c>
      <c r="L2145" s="591" t="s">
        <v>112</v>
      </c>
      <c r="N2145" s="410"/>
      <c r="P2145" s="613"/>
    </row>
    <row r="2146" spans="1:17" s="616" customFormat="1" ht="14">
      <c r="A2146" s="319" t="s">
        <v>8</v>
      </c>
      <c r="B2146" s="314" t="s">
        <v>171</v>
      </c>
      <c r="C2146" s="320" t="s">
        <v>15</v>
      </c>
      <c r="D2146" s="402">
        <v>0</v>
      </c>
      <c r="E2146" s="402">
        <v>0</v>
      </c>
      <c r="F2146" s="609">
        <v>22</v>
      </c>
      <c r="G2146" s="398">
        <f t="shared" ref="G2146:G2149" si="545">D2146*$F2146</f>
        <v>0</v>
      </c>
      <c r="H2146" s="398">
        <f t="shared" ref="H2146:H2149" si="546">E2146*$F2146</f>
        <v>0</v>
      </c>
      <c r="I2146" s="502"/>
      <c r="J2146" s="502" t="s">
        <v>6</v>
      </c>
      <c r="K2146" s="591" t="s">
        <v>402</v>
      </c>
      <c r="L2146" s="591" t="s">
        <v>112</v>
      </c>
      <c r="N2146" s="410"/>
      <c r="P2146" s="613"/>
    </row>
    <row r="2147" spans="1:17" s="616" customFormat="1" ht="14">
      <c r="A2147" s="319" t="s">
        <v>8</v>
      </c>
      <c r="B2147" s="314" t="s">
        <v>719</v>
      </c>
      <c r="C2147" s="320" t="s">
        <v>24</v>
      </c>
      <c r="D2147" s="402">
        <v>0</v>
      </c>
      <c r="E2147" s="402">
        <v>0</v>
      </c>
      <c r="F2147" s="609">
        <v>147</v>
      </c>
      <c r="G2147" s="398">
        <f t="shared" si="545"/>
        <v>0</v>
      </c>
      <c r="H2147" s="398">
        <f t="shared" si="546"/>
        <v>0</v>
      </c>
      <c r="I2147" s="502"/>
      <c r="J2147" s="502" t="s">
        <v>6</v>
      </c>
      <c r="K2147" s="591" t="s">
        <v>402</v>
      </c>
      <c r="L2147" s="591" t="s">
        <v>112</v>
      </c>
      <c r="N2147" s="410"/>
      <c r="P2147" s="613" t="s">
        <v>1373</v>
      </c>
    </row>
    <row r="2148" spans="1:17" s="616" customFormat="1" ht="14">
      <c r="A2148" s="319" t="s">
        <v>8</v>
      </c>
      <c r="B2148" s="314" t="s">
        <v>1423</v>
      </c>
      <c r="C2148" s="320" t="s">
        <v>24</v>
      </c>
      <c r="D2148" s="402">
        <v>0</v>
      </c>
      <c r="E2148" s="402">
        <v>0</v>
      </c>
      <c r="F2148" s="609">
        <v>70</v>
      </c>
      <c r="G2148" s="398">
        <f t="shared" si="545"/>
        <v>0</v>
      </c>
      <c r="H2148" s="398">
        <f t="shared" si="546"/>
        <v>0</v>
      </c>
      <c r="I2148" s="502"/>
      <c r="J2148" s="502" t="s">
        <v>6</v>
      </c>
      <c r="K2148" s="591" t="s">
        <v>402</v>
      </c>
      <c r="L2148" s="591" t="s">
        <v>112</v>
      </c>
      <c r="N2148" s="410"/>
      <c r="P2148" s="613"/>
    </row>
    <row r="2149" spans="1:17" s="616" customFormat="1" ht="14">
      <c r="A2149" s="319" t="s">
        <v>8</v>
      </c>
      <c r="B2149" s="314" t="s">
        <v>827</v>
      </c>
      <c r="C2149" s="320" t="s">
        <v>24</v>
      </c>
      <c r="D2149" s="617">
        <v>0</v>
      </c>
      <c r="E2149" s="617">
        <v>0</v>
      </c>
      <c r="F2149" s="609">
        <v>66.459999999999994</v>
      </c>
      <c r="G2149" s="398">
        <f t="shared" si="545"/>
        <v>0</v>
      </c>
      <c r="H2149" s="398">
        <f t="shared" si="546"/>
        <v>0</v>
      </c>
      <c r="I2149" s="502"/>
      <c r="J2149" s="502" t="s">
        <v>6</v>
      </c>
      <c r="K2149" s="591" t="s">
        <v>402</v>
      </c>
      <c r="L2149" s="591" t="s">
        <v>112</v>
      </c>
      <c r="N2149" s="410"/>
      <c r="P2149" s="613"/>
    </row>
    <row r="2150" spans="1:17" s="616" customFormat="1" ht="14">
      <c r="A2150" s="319" t="s">
        <v>8</v>
      </c>
      <c r="B2150" s="314" t="s">
        <v>1424</v>
      </c>
      <c r="C2150" s="320" t="s">
        <v>15</v>
      </c>
      <c r="D2150" s="617"/>
      <c r="E2150" s="617"/>
      <c r="F2150" s="609">
        <v>25</v>
      </c>
      <c r="G2150" s="398">
        <f t="shared" si="544"/>
        <v>0</v>
      </c>
      <c r="H2150" s="398">
        <f t="shared" si="544"/>
        <v>0</v>
      </c>
      <c r="I2150" s="502"/>
      <c r="J2150" s="502" t="s">
        <v>6</v>
      </c>
      <c r="K2150" s="591" t="s">
        <v>402</v>
      </c>
      <c r="L2150" s="591" t="s">
        <v>112</v>
      </c>
      <c r="N2150" s="410"/>
      <c r="P2150" s="613"/>
    </row>
    <row r="2151" spans="1:17" s="616" customFormat="1" ht="14">
      <c r="A2151" s="319" t="s">
        <v>8</v>
      </c>
      <c r="B2151" s="314" t="s">
        <v>1425</v>
      </c>
      <c r="C2151" s="320" t="s">
        <v>15</v>
      </c>
      <c r="D2151" s="402">
        <v>0</v>
      </c>
      <c r="E2151" s="402">
        <v>0</v>
      </c>
      <c r="F2151" s="609">
        <v>6.27</v>
      </c>
      <c r="G2151" s="398">
        <f t="shared" si="544"/>
        <v>0</v>
      </c>
      <c r="H2151" s="398">
        <f t="shared" si="544"/>
        <v>0</v>
      </c>
      <c r="I2151" s="502"/>
      <c r="J2151" s="502" t="s">
        <v>6</v>
      </c>
      <c r="K2151" s="591" t="s">
        <v>402</v>
      </c>
      <c r="L2151" s="591" t="s">
        <v>112</v>
      </c>
      <c r="N2151" s="410"/>
      <c r="P2151" s="613"/>
    </row>
    <row r="2152" spans="1:17" s="616" customFormat="1" ht="14">
      <c r="A2152" s="319" t="s">
        <v>8</v>
      </c>
      <c r="B2152" s="314" t="s">
        <v>172</v>
      </c>
      <c r="C2152" s="320" t="s">
        <v>15</v>
      </c>
      <c r="D2152" s="402">
        <v>100</v>
      </c>
      <c r="E2152" s="402">
        <v>0</v>
      </c>
      <c r="F2152" s="609">
        <v>10</v>
      </c>
      <c r="G2152" s="398">
        <f t="shared" si="544"/>
        <v>1000</v>
      </c>
      <c r="H2152" s="398">
        <f t="shared" si="544"/>
        <v>0</v>
      </c>
      <c r="I2152" s="502"/>
      <c r="J2152" s="502" t="s">
        <v>6</v>
      </c>
      <c r="K2152" s="591" t="s">
        <v>402</v>
      </c>
      <c r="L2152" s="591" t="s">
        <v>112</v>
      </c>
      <c r="N2152" s="410"/>
      <c r="P2152" s="613"/>
    </row>
    <row r="2153" spans="1:17" s="616" customFormat="1" ht="14">
      <c r="A2153" s="319" t="s">
        <v>8</v>
      </c>
      <c r="B2153" s="314" t="s">
        <v>831</v>
      </c>
      <c r="C2153" s="320" t="s">
        <v>9</v>
      </c>
      <c r="D2153" s="402">
        <v>1</v>
      </c>
      <c r="E2153" s="402">
        <v>1</v>
      </c>
      <c r="F2153" s="609">
        <v>100000</v>
      </c>
      <c r="G2153" s="398">
        <f t="shared" si="544"/>
        <v>100000</v>
      </c>
      <c r="H2153" s="398">
        <f t="shared" si="544"/>
        <v>100000</v>
      </c>
      <c r="I2153" s="428"/>
      <c r="J2153" s="502" t="s">
        <v>6</v>
      </c>
      <c r="K2153" s="591" t="s">
        <v>402</v>
      </c>
      <c r="L2153" s="591" t="s">
        <v>112</v>
      </c>
      <c r="N2153" s="410"/>
      <c r="P2153" s="613"/>
    </row>
    <row r="2154" spans="1:17" s="387" customFormat="1" ht="14">
      <c r="A2154" s="628" t="s">
        <v>111</v>
      </c>
      <c r="B2154" s="629" t="s">
        <v>61</v>
      </c>
      <c r="C2154" s="630"/>
      <c r="D2154" s="631"/>
      <c r="E2154" s="631"/>
      <c r="F2154" s="632"/>
      <c r="G2154" s="631">
        <f>SUBTOTAL(9,G2155:G2687)</f>
        <v>2856962.3980609421</v>
      </c>
      <c r="H2154" s="631">
        <f>SUBTOTAL(9,H2155:H2687)</f>
        <v>3969143.5445557213</v>
      </c>
      <c r="I2154" s="633"/>
      <c r="J2154" s="363"/>
      <c r="K2154" s="384"/>
      <c r="L2154" s="384"/>
      <c r="M2154" s="384"/>
      <c r="N2154" s="634"/>
      <c r="O2154" s="635"/>
      <c r="P2154" s="636"/>
      <c r="Q2154" s="385"/>
    </row>
    <row r="2155" spans="1:17" s="385" customFormat="1" ht="14">
      <c r="A2155" s="637" t="s">
        <v>4</v>
      </c>
      <c r="B2155" s="638" t="s">
        <v>28</v>
      </c>
      <c r="C2155" s="381"/>
      <c r="D2155" s="382"/>
      <c r="E2155" s="382"/>
      <c r="F2155" s="639"/>
      <c r="G2155" s="640">
        <f>SUBTOTAL(9,G2156:G2357)</f>
        <v>2353769.3980609421</v>
      </c>
      <c r="H2155" s="641">
        <f>SUBTOTAL(9,H2156:H2357)</f>
        <v>3581632.0060941828</v>
      </c>
      <c r="I2155" s="382"/>
      <c r="J2155" s="362"/>
      <c r="K2155" s="384"/>
      <c r="L2155" s="384"/>
      <c r="M2155" s="384"/>
      <c r="N2155" s="634"/>
      <c r="O2155" s="635"/>
      <c r="P2155" s="636"/>
    </row>
    <row r="2156" spans="1:17" s="385" customFormat="1" ht="14" outlineLevel="1">
      <c r="A2156" s="388">
        <v>1</v>
      </c>
      <c r="B2156" s="669" t="s">
        <v>1249</v>
      </c>
      <c r="C2156" s="403"/>
      <c r="D2156" s="391"/>
      <c r="E2156" s="391"/>
      <c r="F2156" s="409"/>
      <c r="G2156" s="391">
        <f>SUBTOTAL(9,G2157:G2175)</f>
        <v>392700</v>
      </c>
      <c r="H2156" s="391">
        <f>SUBTOTAL(9,H2157:H2175)</f>
        <v>254100</v>
      </c>
      <c r="I2156" s="392"/>
      <c r="J2156" s="362"/>
      <c r="K2156" s="362"/>
      <c r="L2156" s="362"/>
      <c r="M2156" s="383"/>
      <c r="N2156" s="579"/>
      <c r="O2156" s="635"/>
      <c r="P2156" s="636"/>
    </row>
    <row r="2157" spans="1:17" s="372" customFormat="1" ht="14" outlineLevel="2">
      <c r="A2157" s="405" t="s">
        <v>8</v>
      </c>
      <c r="B2157" s="415" t="s">
        <v>1228</v>
      </c>
      <c r="C2157" s="397" t="s">
        <v>50</v>
      </c>
      <c r="D2157" s="398"/>
      <c r="E2157" s="398"/>
      <c r="F2157" s="398"/>
      <c r="G2157" s="398">
        <f t="shared" ref="G2157:G2165" si="547">F2157*D2157</f>
        <v>0</v>
      </c>
      <c r="H2157" s="398">
        <f t="shared" ref="H2157:H2165" si="548">F2157*E2157</f>
        <v>0</v>
      </c>
      <c r="I2157" s="399"/>
      <c r="J2157" s="362" t="s">
        <v>10</v>
      </c>
      <c r="K2157" s="362" t="s">
        <v>127</v>
      </c>
      <c r="L2157" s="362" t="s">
        <v>62</v>
      </c>
      <c r="M2157" s="362"/>
      <c r="N2157" s="579"/>
      <c r="O2157" s="635"/>
      <c r="P2157" s="636"/>
    </row>
    <row r="2158" spans="1:17" s="372" customFormat="1" ht="14" outlineLevel="2">
      <c r="A2158" s="405" t="s">
        <v>8</v>
      </c>
      <c r="B2158" s="415" t="s">
        <v>1229</v>
      </c>
      <c r="C2158" s="397" t="s">
        <v>50</v>
      </c>
      <c r="D2158" s="398"/>
      <c r="E2158" s="398"/>
      <c r="F2158" s="398"/>
      <c r="G2158" s="398">
        <f t="shared" si="547"/>
        <v>0</v>
      </c>
      <c r="H2158" s="398">
        <f t="shared" si="548"/>
        <v>0</v>
      </c>
      <c r="I2158" s="399"/>
      <c r="J2158" s="362" t="s">
        <v>10</v>
      </c>
      <c r="K2158" s="362" t="s">
        <v>127</v>
      </c>
      <c r="L2158" s="362" t="s">
        <v>62</v>
      </c>
      <c r="M2158" s="362"/>
      <c r="N2158" s="579"/>
      <c r="O2158" s="635"/>
      <c r="P2158" s="636"/>
    </row>
    <row r="2159" spans="1:17" s="372" customFormat="1" ht="14" outlineLevel="2">
      <c r="A2159" s="405" t="s">
        <v>8</v>
      </c>
      <c r="B2159" s="415" t="s">
        <v>1230</v>
      </c>
      <c r="C2159" s="397" t="s">
        <v>50</v>
      </c>
      <c r="D2159" s="398"/>
      <c r="E2159" s="398"/>
      <c r="F2159" s="398"/>
      <c r="G2159" s="398">
        <f t="shared" si="547"/>
        <v>0</v>
      </c>
      <c r="H2159" s="398">
        <f t="shared" si="548"/>
        <v>0</v>
      </c>
      <c r="I2159" s="399"/>
      <c r="J2159" s="362" t="s">
        <v>10</v>
      </c>
      <c r="K2159" s="362" t="s">
        <v>127</v>
      </c>
      <c r="L2159" s="362" t="s">
        <v>62</v>
      </c>
      <c r="M2159" s="362"/>
      <c r="N2159" s="579"/>
      <c r="O2159" s="635"/>
      <c r="P2159" s="636"/>
    </row>
    <row r="2160" spans="1:17" s="372" customFormat="1" ht="14" outlineLevel="2">
      <c r="A2160" s="405" t="s">
        <v>8</v>
      </c>
      <c r="B2160" s="415" t="s">
        <v>1231</v>
      </c>
      <c r="C2160" s="397" t="s">
        <v>50</v>
      </c>
      <c r="D2160" s="398"/>
      <c r="E2160" s="398"/>
      <c r="F2160" s="398"/>
      <c r="G2160" s="398">
        <f t="shared" si="547"/>
        <v>0</v>
      </c>
      <c r="H2160" s="398">
        <f t="shared" si="548"/>
        <v>0</v>
      </c>
      <c r="I2160" s="399"/>
      <c r="J2160" s="362" t="s">
        <v>10</v>
      </c>
      <c r="K2160" s="362" t="s">
        <v>127</v>
      </c>
      <c r="L2160" s="362" t="s">
        <v>62</v>
      </c>
      <c r="M2160" s="362"/>
      <c r="N2160" s="579"/>
      <c r="O2160" s="635"/>
      <c r="P2160" s="636"/>
    </row>
    <row r="2161" spans="1:16" s="372" customFormat="1" ht="14" outlineLevel="2">
      <c r="A2161" s="405" t="s">
        <v>8</v>
      </c>
      <c r="B2161" s="415" t="s">
        <v>1232</v>
      </c>
      <c r="C2161" s="397" t="s">
        <v>50</v>
      </c>
      <c r="D2161" s="398"/>
      <c r="E2161" s="398"/>
      <c r="F2161" s="398"/>
      <c r="G2161" s="398">
        <f t="shared" si="547"/>
        <v>0</v>
      </c>
      <c r="H2161" s="398">
        <f t="shared" si="548"/>
        <v>0</v>
      </c>
      <c r="I2161" s="399"/>
      <c r="J2161" s="362" t="s">
        <v>10</v>
      </c>
      <c r="K2161" s="362" t="s">
        <v>127</v>
      </c>
      <c r="L2161" s="362" t="s">
        <v>62</v>
      </c>
      <c r="M2161" s="362"/>
      <c r="N2161" s="579"/>
      <c r="O2161" s="635"/>
      <c r="P2161" s="636"/>
    </row>
    <row r="2162" spans="1:16" s="372" customFormat="1" ht="14" outlineLevel="2">
      <c r="A2162" s="405" t="s">
        <v>8</v>
      </c>
      <c r="B2162" s="415" t="s">
        <v>1233</v>
      </c>
      <c r="C2162" s="397" t="s">
        <v>50</v>
      </c>
      <c r="D2162" s="398"/>
      <c r="E2162" s="398"/>
      <c r="F2162" s="398"/>
      <c r="G2162" s="398">
        <f t="shared" si="547"/>
        <v>0</v>
      </c>
      <c r="H2162" s="398">
        <f t="shared" si="548"/>
        <v>0</v>
      </c>
      <c r="I2162" s="399"/>
      <c r="J2162" s="362" t="s">
        <v>10</v>
      </c>
      <c r="K2162" s="362" t="s">
        <v>127</v>
      </c>
      <c r="L2162" s="362" t="s">
        <v>62</v>
      </c>
      <c r="M2162" s="362"/>
      <c r="N2162" s="579"/>
      <c r="O2162" s="635"/>
      <c r="P2162" s="636"/>
    </row>
    <row r="2163" spans="1:16" s="372" customFormat="1" ht="14" outlineLevel="2">
      <c r="A2163" s="405" t="s">
        <v>8</v>
      </c>
      <c r="B2163" s="415" t="s">
        <v>1234</v>
      </c>
      <c r="C2163" s="397" t="s">
        <v>50</v>
      </c>
      <c r="D2163" s="398">
        <v>51</v>
      </c>
      <c r="E2163" s="398">
        <v>33</v>
      </c>
      <c r="F2163" s="398">
        <v>7700</v>
      </c>
      <c r="G2163" s="398">
        <f t="shared" si="547"/>
        <v>392700</v>
      </c>
      <c r="H2163" s="398">
        <f t="shared" si="548"/>
        <v>254100</v>
      </c>
      <c r="I2163" s="399"/>
      <c r="J2163" s="362" t="s">
        <v>10</v>
      </c>
      <c r="K2163" s="362" t="s">
        <v>127</v>
      </c>
      <c r="L2163" s="362" t="s">
        <v>62</v>
      </c>
      <c r="M2163" s="362"/>
      <c r="N2163" s="579"/>
      <c r="O2163" s="635"/>
      <c r="P2163" s="636"/>
    </row>
    <row r="2164" spans="1:16" s="372" customFormat="1" ht="14" outlineLevel="2">
      <c r="A2164" s="405" t="s">
        <v>8</v>
      </c>
      <c r="B2164" s="415" t="s">
        <v>1235</v>
      </c>
      <c r="C2164" s="397" t="s">
        <v>50</v>
      </c>
      <c r="D2164" s="398"/>
      <c r="E2164" s="398"/>
      <c r="F2164" s="398"/>
      <c r="G2164" s="398">
        <f t="shared" si="547"/>
        <v>0</v>
      </c>
      <c r="H2164" s="398">
        <f t="shared" si="548"/>
        <v>0</v>
      </c>
      <c r="I2164" s="399"/>
      <c r="J2164" s="362" t="s">
        <v>10</v>
      </c>
      <c r="K2164" s="362" t="s">
        <v>127</v>
      </c>
      <c r="L2164" s="362" t="s">
        <v>62</v>
      </c>
      <c r="M2164" s="362"/>
      <c r="N2164" s="579"/>
      <c r="O2164" s="635"/>
      <c r="P2164" s="636"/>
    </row>
    <row r="2165" spans="1:16" s="372" customFormat="1" ht="14" outlineLevel="2">
      <c r="A2165" s="405"/>
      <c r="B2165" s="415" t="s">
        <v>1236</v>
      </c>
      <c r="C2165" s="397" t="s">
        <v>50</v>
      </c>
      <c r="D2165" s="398"/>
      <c r="E2165" s="398"/>
      <c r="F2165" s="398"/>
      <c r="G2165" s="398">
        <f t="shared" si="547"/>
        <v>0</v>
      </c>
      <c r="H2165" s="398">
        <f t="shared" si="548"/>
        <v>0</v>
      </c>
      <c r="I2165" s="399"/>
      <c r="J2165" s="362" t="s">
        <v>10</v>
      </c>
      <c r="K2165" s="362" t="s">
        <v>127</v>
      </c>
      <c r="L2165" s="362" t="s">
        <v>62</v>
      </c>
      <c r="M2165" s="362"/>
      <c r="N2165" s="579"/>
      <c r="O2165" s="635"/>
      <c r="P2165" s="636"/>
    </row>
    <row r="2166" spans="1:16" s="372" customFormat="1" ht="14" outlineLevel="2">
      <c r="A2166" s="405" t="s">
        <v>8</v>
      </c>
      <c r="B2166" s="415" t="s">
        <v>1237</v>
      </c>
      <c r="C2166" s="397" t="s">
        <v>50</v>
      </c>
      <c r="D2166" s="398"/>
      <c r="E2166" s="398"/>
      <c r="F2166" s="398"/>
      <c r="G2166" s="398">
        <f t="shared" ref="G2166:G2174" si="549">F2166*D2166</f>
        <v>0</v>
      </c>
      <c r="H2166" s="398">
        <f t="shared" ref="H2166:H2174" si="550">F2166*E2166</f>
        <v>0</v>
      </c>
      <c r="I2166" s="399"/>
      <c r="J2166" s="362" t="s">
        <v>10</v>
      </c>
      <c r="K2166" s="362" t="s">
        <v>127</v>
      </c>
      <c r="L2166" s="362" t="s">
        <v>62</v>
      </c>
      <c r="M2166" s="362"/>
      <c r="N2166" s="579"/>
      <c r="O2166" s="635"/>
      <c r="P2166" s="636"/>
    </row>
    <row r="2167" spans="1:16" s="372" customFormat="1" ht="14" outlineLevel="2">
      <c r="A2167" s="405" t="s">
        <v>8</v>
      </c>
      <c r="B2167" s="415" t="s">
        <v>1238</v>
      </c>
      <c r="C2167" s="397" t="s">
        <v>50</v>
      </c>
      <c r="D2167" s="398"/>
      <c r="E2167" s="398"/>
      <c r="F2167" s="398"/>
      <c r="G2167" s="398">
        <f t="shared" si="549"/>
        <v>0</v>
      </c>
      <c r="H2167" s="398">
        <f t="shared" si="550"/>
        <v>0</v>
      </c>
      <c r="I2167" s="399"/>
      <c r="J2167" s="362" t="s">
        <v>10</v>
      </c>
      <c r="K2167" s="362" t="s">
        <v>127</v>
      </c>
      <c r="L2167" s="362" t="s">
        <v>62</v>
      </c>
      <c r="M2167" s="362"/>
      <c r="N2167" s="579"/>
      <c r="O2167" s="635"/>
      <c r="P2167" s="636"/>
    </row>
    <row r="2168" spans="1:16" s="372" customFormat="1" ht="14" outlineLevel="2">
      <c r="A2168" s="405" t="s">
        <v>8</v>
      </c>
      <c r="B2168" s="415" t="s">
        <v>1239</v>
      </c>
      <c r="C2168" s="397" t="s">
        <v>50</v>
      </c>
      <c r="D2168" s="398"/>
      <c r="E2168" s="398"/>
      <c r="F2168" s="398"/>
      <c r="G2168" s="398">
        <f t="shared" si="549"/>
        <v>0</v>
      </c>
      <c r="H2168" s="398">
        <f t="shared" si="550"/>
        <v>0</v>
      </c>
      <c r="I2168" s="399"/>
      <c r="J2168" s="362" t="s">
        <v>10</v>
      </c>
      <c r="K2168" s="362" t="s">
        <v>127</v>
      </c>
      <c r="L2168" s="362" t="s">
        <v>62</v>
      </c>
      <c r="M2168" s="362"/>
      <c r="N2168" s="579"/>
      <c r="O2168" s="635"/>
      <c r="P2168" s="636"/>
    </row>
    <row r="2169" spans="1:16" s="372" customFormat="1" ht="14" outlineLevel="2">
      <c r="A2169" s="405" t="s">
        <v>8</v>
      </c>
      <c r="B2169" s="415" t="s">
        <v>1240</v>
      </c>
      <c r="C2169" s="397" t="s">
        <v>50</v>
      </c>
      <c r="D2169" s="398"/>
      <c r="E2169" s="398"/>
      <c r="F2169" s="398"/>
      <c r="G2169" s="398">
        <f t="shared" si="549"/>
        <v>0</v>
      </c>
      <c r="H2169" s="398">
        <f t="shared" si="550"/>
        <v>0</v>
      </c>
      <c r="I2169" s="399"/>
      <c r="J2169" s="362" t="s">
        <v>10</v>
      </c>
      <c r="K2169" s="362" t="s">
        <v>127</v>
      </c>
      <c r="L2169" s="362" t="s">
        <v>62</v>
      </c>
      <c r="M2169" s="362"/>
      <c r="N2169" s="579"/>
      <c r="O2169" s="635"/>
      <c r="P2169" s="636"/>
    </row>
    <row r="2170" spans="1:16" s="372" customFormat="1" ht="14" outlineLevel="2">
      <c r="A2170" s="405" t="s">
        <v>8</v>
      </c>
      <c r="B2170" s="415" t="s">
        <v>1241</v>
      </c>
      <c r="C2170" s="397" t="s">
        <v>50</v>
      </c>
      <c r="D2170" s="398"/>
      <c r="E2170" s="398"/>
      <c r="F2170" s="398"/>
      <c r="G2170" s="398">
        <f t="shared" si="549"/>
        <v>0</v>
      </c>
      <c r="H2170" s="398">
        <f t="shared" si="550"/>
        <v>0</v>
      </c>
      <c r="I2170" s="399"/>
      <c r="J2170" s="362" t="s">
        <v>10</v>
      </c>
      <c r="K2170" s="362" t="s">
        <v>127</v>
      </c>
      <c r="L2170" s="362" t="s">
        <v>62</v>
      </c>
      <c r="M2170" s="362"/>
      <c r="N2170" s="579"/>
      <c r="O2170" s="635"/>
      <c r="P2170" s="636"/>
    </row>
    <row r="2171" spans="1:16" s="372" customFormat="1" ht="14" outlineLevel="2">
      <c r="A2171" s="405" t="s">
        <v>8</v>
      </c>
      <c r="B2171" s="415" t="s">
        <v>1242</v>
      </c>
      <c r="C2171" s="397" t="s">
        <v>50</v>
      </c>
      <c r="D2171" s="398"/>
      <c r="E2171" s="398"/>
      <c r="F2171" s="398"/>
      <c r="G2171" s="398">
        <f t="shared" si="549"/>
        <v>0</v>
      </c>
      <c r="H2171" s="398">
        <f t="shared" si="550"/>
        <v>0</v>
      </c>
      <c r="I2171" s="399"/>
      <c r="J2171" s="362" t="s">
        <v>10</v>
      </c>
      <c r="K2171" s="362" t="s">
        <v>127</v>
      </c>
      <c r="L2171" s="362" t="s">
        <v>62</v>
      </c>
      <c r="M2171" s="362"/>
      <c r="N2171" s="579"/>
      <c r="O2171" s="635"/>
      <c r="P2171" s="636"/>
    </row>
    <row r="2172" spans="1:16" s="372" customFormat="1" ht="14" outlineLevel="2">
      <c r="A2172" s="405" t="s">
        <v>8</v>
      </c>
      <c r="B2172" s="415" t="s">
        <v>1243</v>
      </c>
      <c r="C2172" s="397" t="s">
        <v>50</v>
      </c>
      <c r="D2172" s="398"/>
      <c r="E2172" s="398"/>
      <c r="F2172" s="398"/>
      <c r="G2172" s="398">
        <f t="shared" si="549"/>
        <v>0</v>
      </c>
      <c r="H2172" s="398">
        <f t="shared" si="550"/>
        <v>0</v>
      </c>
      <c r="I2172" s="399"/>
      <c r="J2172" s="362" t="s">
        <v>10</v>
      </c>
      <c r="K2172" s="362" t="s">
        <v>127</v>
      </c>
      <c r="L2172" s="362" t="s">
        <v>62</v>
      </c>
      <c r="M2172" s="362"/>
      <c r="N2172" s="579"/>
      <c r="O2172" s="635"/>
      <c r="P2172" s="636"/>
    </row>
    <row r="2173" spans="1:16" s="372" customFormat="1" ht="14" outlineLevel="2">
      <c r="A2173" s="405" t="s">
        <v>8</v>
      </c>
      <c r="B2173" s="415" t="s">
        <v>1244</v>
      </c>
      <c r="C2173" s="397" t="s">
        <v>50</v>
      </c>
      <c r="D2173" s="398"/>
      <c r="E2173" s="398"/>
      <c r="F2173" s="398"/>
      <c r="G2173" s="398">
        <f t="shared" si="549"/>
        <v>0</v>
      </c>
      <c r="H2173" s="398">
        <f t="shared" si="550"/>
        <v>0</v>
      </c>
      <c r="I2173" s="399"/>
      <c r="J2173" s="362" t="s">
        <v>10</v>
      </c>
      <c r="K2173" s="362" t="s">
        <v>127</v>
      </c>
      <c r="L2173" s="362" t="s">
        <v>62</v>
      </c>
      <c r="M2173" s="362"/>
      <c r="N2173" s="579"/>
      <c r="O2173" s="635"/>
      <c r="P2173" s="636"/>
    </row>
    <row r="2174" spans="1:16" s="372" customFormat="1" ht="14" outlineLevel="2">
      <c r="A2174" s="405"/>
      <c r="B2174" s="415" t="s">
        <v>1245</v>
      </c>
      <c r="C2174" s="397" t="s">
        <v>1247</v>
      </c>
      <c r="D2174" s="398"/>
      <c r="E2174" s="398"/>
      <c r="F2174" s="398"/>
      <c r="G2174" s="398">
        <f t="shared" si="549"/>
        <v>0</v>
      </c>
      <c r="H2174" s="398">
        <f t="shared" si="550"/>
        <v>0</v>
      </c>
      <c r="I2174" s="399"/>
      <c r="J2174" s="362" t="s">
        <v>10</v>
      </c>
      <c r="K2174" s="362" t="s">
        <v>127</v>
      </c>
      <c r="L2174" s="362" t="s">
        <v>62</v>
      </c>
      <c r="M2174" s="362"/>
      <c r="N2174" s="579"/>
      <c r="O2174" s="635"/>
      <c r="P2174" s="636"/>
    </row>
    <row r="2175" spans="1:16" s="372" customFormat="1" ht="14" outlineLevel="2">
      <c r="A2175" s="405" t="s">
        <v>8</v>
      </c>
      <c r="B2175" s="415" t="s">
        <v>1246</v>
      </c>
      <c r="C2175" s="397" t="s">
        <v>1248</v>
      </c>
      <c r="D2175" s="398"/>
      <c r="E2175" s="398"/>
      <c r="F2175" s="398"/>
      <c r="G2175" s="398">
        <f t="shared" ref="G2175" si="551">F2175*D2175</f>
        <v>0</v>
      </c>
      <c r="H2175" s="398">
        <f t="shared" ref="H2175" si="552">F2175*E2175</f>
        <v>0</v>
      </c>
      <c r="I2175" s="399"/>
      <c r="J2175" s="362" t="s">
        <v>10</v>
      </c>
      <c r="K2175" s="362" t="s">
        <v>127</v>
      </c>
      <c r="L2175" s="362" t="s">
        <v>62</v>
      </c>
      <c r="M2175" s="362"/>
      <c r="N2175" s="579"/>
      <c r="O2175" s="635"/>
      <c r="P2175" s="636"/>
    </row>
    <row r="2176" spans="1:16" s="385" customFormat="1" ht="14" outlineLevel="1">
      <c r="A2176" s="388">
        <v>2</v>
      </c>
      <c r="B2176" s="669" t="s">
        <v>1250</v>
      </c>
      <c r="C2176" s="403"/>
      <c r="D2176" s="391"/>
      <c r="E2176" s="391"/>
      <c r="F2176" s="409"/>
      <c r="G2176" s="391">
        <f>SUBTOTAL(9,G2177:G2195)</f>
        <v>61600</v>
      </c>
      <c r="H2176" s="391">
        <f>SUBTOTAL(9,H2177:H2195)</f>
        <v>438900</v>
      </c>
      <c r="I2176" s="392"/>
      <c r="J2176" s="362"/>
      <c r="K2176" s="362"/>
      <c r="L2176" s="362"/>
      <c r="M2176" s="383"/>
      <c r="N2176" s="579"/>
      <c r="O2176" s="635"/>
      <c r="P2176" s="636"/>
    </row>
    <row r="2177" spans="1:16" s="372" customFormat="1" ht="14" outlineLevel="2">
      <c r="A2177" s="405" t="s">
        <v>8</v>
      </c>
      <c r="B2177" s="415" t="s">
        <v>1228</v>
      </c>
      <c r="C2177" s="397" t="s">
        <v>50</v>
      </c>
      <c r="D2177" s="398"/>
      <c r="E2177" s="398"/>
      <c r="F2177" s="398"/>
      <c r="G2177" s="398">
        <f t="shared" ref="G2177:G2195" si="553">F2177*D2177</f>
        <v>0</v>
      </c>
      <c r="H2177" s="398">
        <f t="shared" ref="H2177:H2195" si="554">F2177*E2177</f>
        <v>0</v>
      </c>
      <c r="I2177" s="399"/>
      <c r="J2177" s="362" t="s">
        <v>10</v>
      </c>
      <c r="K2177" s="362" t="s">
        <v>128</v>
      </c>
      <c r="L2177" s="362" t="s">
        <v>62</v>
      </c>
      <c r="M2177" s="362"/>
      <c r="N2177" s="579"/>
      <c r="O2177" s="635"/>
      <c r="P2177" s="636"/>
    </row>
    <row r="2178" spans="1:16" s="372" customFormat="1" ht="14" outlineLevel="2">
      <c r="A2178" s="405" t="s">
        <v>8</v>
      </c>
      <c r="B2178" s="415" t="s">
        <v>1229</v>
      </c>
      <c r="C2178" s="397" t="s">
        <v>50</v>
      </c>
      <c r="D2178" s="398"/>
      <c r="E2178" s="398"/>
      <c r="F2178" s="398"/>
      <c r="G2178" s="398">
        <f t="shared" si="553"/>
        <v>0</v>
      </c>
      <c r="H2178" s="398">
        <f t="shared" si="554"/>
        <v>0</v>
      </c>
      <c r="I2178" s="399"/>
      <c r="J2178" s="362" t="s">
        <v>10</v>
      </c>
      <c r="K2178" s="362" t="s">
        <v>128</v>
      </c>
      <c r="L2178" s="362" t="s">
        <v>62</v>
      </c>
      <c r="M2178" s="362"/>
      <c r="N2178" s="579"/>
      <c r="O2178" s="635"/>
      <c r="P2178" s="636"/>
    </row>
    <row r="2179" spans="1:16" s="372" customFormat="1" ht="14" outlineLevel="2">
      <c r="A2179" s="405" t="s">
        <v>8</v>
      </c>
      <c r="B2179" s="415" t="s">
        <v>1230</v>
      </c>
      <c r="C2179" s="397" t="s">
        <v>50</v>
      </c>
      <c r="D2179" s="398"/>
      <c r="E2179" s="398"/>
      <c r="F2179" s="398"/>
      <c r="G2179" s="398">
        <f t="shared" si="553"/>
        <v>0</v>
      </c>
      <c r="H2179" s="398">
        <f t="shared" si="554"/>
        <v>0</v>
      </c>
      <c r="I2179" s="399"/>
      <c r="J2179" s="362" t="s">
        <v>10</v>
      </c>
      <c r="K2179" s="362" t="s">
        <v>128</v>
      </c>
      <c r="L2179" s="362" t="s">
        <v>62</v>
      </c>
      <c r="M2179" s="362"/>
      <c r="N2179" s="579"/>
      <c r="O2179" s="635"/>
      <c r="P2179" s="636"/>
    </row>
    <row r="2180" spans="1:16" s="372" customFormat="1" ht="14" outlineLevel="2">
      <c r="A2180" s="405" t="s">
        <v>8</v>
      </c>
      <c r="B2180" s="415" t="s">
        <v>1231</v>
      </c>
      <c r="C2180" s="397" t="s">
        <v>50</v>
      </c>
      <c r="D2180" s="398"/>
      <c r="E2180" s="398"/>
      <c r="F2180" s="398"/>
      <c r="G2180" s="398">
        <f t="shared" si="553"/>
        <v>0</v>
      </c>
      <c r="H2180" s="398">
        <f t="shared" si="554"/>
        <v>0</v>
      </c>
      <c r="I2180" s="399"/>
      <c r="J2180" s="362" t="s">
        <v>10</v>
      </c>
      <c r="K2180" s="362" t="s">
        <v>128</v>
      </c>
      <c r="L2180" s="362" t="s">
        <v>62</v>
      </c>
      <c r="M2180" s="362"/>
      <c r="N2180" s="579"/>
      <c r="O2180" s="635"/>
      <c r="P2180" s="636"/>
    </row>
    <row r="2181" spans="1:16" s="372" customFormat="1" ht="14" outlineLevel="2">
      <c r="A2181" s="405" t="s">
        <v>8</v>
      </c>
      <c r="B2181" s="415" t="s">
        <v>1232</v>
      </c>
      <c r="C2181" s="397" t="s">
        <v>50</v>
      </c>
      <c r="D2181" s="398"/>
      <c r="E2181" s="398"/>
      <c r="F2181" s="398"/>
      <c r="G2181" s="398">
        <f t="shared" si="553"/>
        <v>0</v>
      </c>
      <c r="H2181" s="398">
        <f t="shared" si="554"/>
        <v>0</v>
      </c>
      <c r="I2181" s="399"/>
      <c r="J2181" s="362" t="s">
        <v>10</v>
      </c>
      <c r="K2181" s="362" t="s">
        <v>128</v>
      </c>
      <c r="L2181" s="362" t="s">
        <v>62</v>
      </c>
      <c r="M2181" s="362"/>
      <c r="N2181" s="579"/>
      <c r="O2181" s="635"/>
      <c r="P2181" s="636"/>
    </row>
    <row r="2182" spans="1:16" s="372" customFormat="1" ht="14" outlineLevel="2">
      <c r="A2182" s="405" t="s">
        <v>8</v>
      </c>
      <c r="B2182" s="415" t="s">
        <v>1233</v>
      </c>
      <c r="C2182" s="397" t="s">
        <v>50</v>
      </c>
      <c r="D2182" s="398"/>
      <c r="E2182" s="398"/>
      <c r="F2182" s="398"/>
      <c r="G2182" s="398">
        <f t="shared" si="553"/>
        <v>0</v>
      </c>
      <c r="H2182" s="398">
        <f t="shared" si="554"/>
        <v>0</v>
      </c>
      <c r="I2182" s="399"/>
      <c r="J2182" s="362" t="s">
        <v>10</v>
      </c>
      <c r="K2182" s="362" t="s">
        <v>128</v>
      </c>
      <c r="L2182" s="362" t="s">
        <v>62</v>
      </c>
      <c r="M2182" s="362"/>
      <c r="N2182" s="579"/>
      <c r="O2182" s="635"/>
      <c r="P2182" s="636"/>
    </row>
    <row r="2183" spans="1:16" s="372" customFormat="1" ht="14" outlineLevel="2">
      <c r="A2183" s="405" t="s">
        <v>8</v>
      </c>
      <c r="B2183" s="415" t="s">
        <v>1234</v>
      </c>
      <c r="C2183" s="397" t="s">
        <v>50</v>
      </c>
      <c r="D2183" s="398">
        <v>8</v>
      </c>
      <c r="E2183" s="398">
        <v>57</v>
      </c>
      <c r="F2183" s="398">
        <v>7700</v>
      </c>
      <c r="G2183" s="398">
        <f t="shared" si="553"/>
        <v>61600</v>
      </c>
      <c r="H2183" s="398">
        <f t="shared" si="554"/>
        <v>438900</v>
      </c>
      <c r="I2183" s="399"/>
      <c r="J2183" s="362" t="s">
        <v>10</v>
      </c>
      <c r="K2183" s="362" t="s">
        <v>128</v>
      </c>
      <c r="L2183" s="362" t="s">
        <v>62</v>
      </c>
      <c r="M2183" s="362"/>
      <c r="N2183" s="579"/>
      <c r="O2183" s="635"/>
      <c r="P2183" s="636"/>
    </row>
    <row r="2184" spans="1:16" s="372" customFormat="1" ht="14" outlineLevel="2">
      <c r="A2184" s="405" t="s">
        <v>8</v>
      </c>
      <c r="B2184" s="415" t="s">
        <v>1235</v>
      </c>
      <c r="C2184" s="397" t="s">
        <v>50</v>
      </c>
      <c r="D2184" s="398"/>
      <c r="E2184" s="398"/>
      <c r="F2184" s="398"/>
      <c r="G2184" s="398">
        <f t="shared" si="553"/>
        <v>0</v>
      </c>
      <c r="H2184" s="398">
        <f t="shared" si="554"/>
        <v>0</v>
      </c>
      <c r="I2184" s="399"/>
      <c r="J2184" s="362" t="s">
        <v>10</v>
      </c>
      <c r="K2184" s="362" t="s">
        <v>128</v>
      </c>
      <c r="L2184" s="362" t="s">
        <v>62</v>
      </c>
      <c r="M2184" s="362"/>
      <c r="N2184" s="579"/>
      <c r="O2184" s="635"/>
      <c r="P2184" s="636"/>
    </row>
    <row r="2185" spans="1:16" s="372" customFormat="1" ht="14" outlineLevel="2">
      <c r="A2185" s="405"/>
      <c r="B2185" s="415" t="s">
        <v>1236</v>
      </c>
      <c r="C2185" s="397" t="s">
        <v>50</v>
      </c>
      <c r="D2185" s="398"/>
      <c r="E2185" s="398"/>
      <c r="F2185" s="398"/>
      <c r="G2185" s="398">
        <f t="shared" si="553"/>
        <v>0</v>
      </c>
      <c r="H2185" s="398">
        <f t="shared" si="554"/>
        <v>0</v>
      </c>
      <c r="I2185" s="399"/>
      <c r="J2185" s="362" t="s">
        <v>10</v>
      </c>
      <c r="K2185" s="362" t="s">
        <v>128</v>
      </c>
      <c r="L2185" s="362" t="s">
        <v>62</v>
      </c>
      <c r="M2185" s="362"/>
      <c r="N2185" s="579"/>
      <c r="O2185" s="635"/>
      <c r="P2185" s="636"/>
    </row>
    <row r="2186" spans="1:16" s="372" customFormat="1" ht="14" outlineLevel="2">
      <c r="A2186" s="405" t="s">
        <v>8</v>
      </c>
      <c r="B2186" s="415" t="s">
        <v>1237</v>
      </c>
      <c r="C2186" s="397" t="s">
        <v>50</v>
      </c>
      <c r="D2186" s="398"/>
      <c r="E2186" s="398"/>
      <c r="F2186" s="398"/>
      <c r="G2186" s="398">
        <f t="shared" si="553"/>
        <v>0</v>
      </c>
      <c r="H2186" s="398">
        <f t="shared" si="554"/>
        <v>0</v>
      </c>
      <c r="I2186" s="399"/>
      <c r="J2186" s="362" t="s">
        <v>10</v>
      </c>
      <c r="K2186" s="362" t="s">
        <v>128</v>
      </c>
      <c r="L2186" s="362" t="s">
        <v>62</v>
      </c>
      <c r="M2186" s="362"/>
      <c r="N2186" s="579"/>
      <c r="O2186" s="635"/>
      <c r="P2186" s="636"/>
    </row>
    <row r="2187" spans="1:16" s="372" customFormat="1" ht="14" outlineLevel="2">
      <c r="A2187" s="405" t="s">
        <v>8</v>
      </c>
      <c r="B2187" s="415" t="s">
        <v>1238</v>
      </c>
      <c r="C2187" s="397" t="s">
        <v>50</v>
      </c>
      <c r="D2187" s="398"/>
      <c r="E2187" s="398"/>
      <c r="F2187" s="398"/>
      <c r="G2187" s="398">
        <f t="shared" si="553"/>
        <v>0</v>
      </c>
      <c r="H2187" s="398">
        <f t="shared" si="554"/>
        <v>0</v>
      </c>
      <c r="I2187" s="399"/>
      <c r="J2187" s="362" t="s">
        <v>10</v>
      </c>
      <c r="K2187" s="362" t="s">
        <v>128</v>
      </c>
      <c r="L2187" s="362" t="s">
        <v>62</v>
      </c>
      <c r="M2187" s="362"/>
      <c r="N2187" s="579"/>
      <c r="O2187" s="635"/>
      <c r="P2187" s="636"/>
    </row>
    <row r="2188" spans="1:16" s="372" customFormat="1" ht="14" outlineLevel="2">
      <c r="A2188" s="405" t="s">
        <v>8</v>
      </c>
      <c r="B2188" s="415" t="s">
        <v>1239</v>
      </c>
      <c r="C2188" s="397" t="s">
        <v>50</v>
      </c>
      <c r="D2188" s="398"/>
      <c r="E2188" s="398"/>
      <c r="F2188" s="398"/>
      <c r="G2188" s="398">
        <f t="shared" si="553"/>
        <v>0</v>
      </c>
      <c r="H2188" s="398">
        <f t="shared" si="554"/>
        <v>0</v>
      </c>
      <c r="I2188" s="399"/>
      <c r="J2188" s="362" t="s">
        <v>10</v>
      </c>
      <c r="K2188" s="362" t="s">
        <v>128</v>
      </c>
      <c r="L2188" s="362" t="s">
        <v>62</v>
      </c>
      <c r="M2188" s="362"/>
      <c r="N2188" s="579"/>
      <c r="O2188" s="635"/>
      <c r="P2188" s="636"/>
    </row>
    <row r="2189" spans="1:16" s="372" customFormat="1" ht="14" outlineLevel="2">
      <c r="A2189" s="405" t="s">
        <v>8</v>
      </c>
      <c r="B2189" s="415" t="s">
        <v>1240</v>
      </c>
      <c r="C2189" s="397" t="s">
        <v>50</v>
      </c>
      <c r="D2189" s="398"/>
      <c r="E2189" s="398"/>
      <c r="F2189" s="398"/>
      <c r="G2189" s="398">
        <f t="shared" si="553"/>
        <v>0</v>
      </c>
      <c r="H2189" s="398">
        <f t="shared" si="554"/>
        <v>0</v>
      </c>
      <c r="I2189" s="399"/>
      <c r="J2189" s="362" t="s">
        <v>10</v>
      </c>
      <c r="K2189" s="362" t="s">
        <v>128</v>
      </c>
      <c r="L2189" s="362" t="s">
        <v>62</v>
      </c>
      <c r="M2189" s="362"/>
      <c r="N2189" s="579"/>
      <c r="O2189" s="635"/>
      <c r="P2189" s="636"/>
    </row>
    <row r="2190" spans="1:16" s="372" customFormat="1" ht="14" outlineLevel="2">
      <c r="A2190" s="405" t="s">
        <v>8</v>
      </c>
      <c r="B2190" s="415" t="s">
        <v>1241</v>
      </c>
      <c r="C2190" s="397" t="s">
        <v>50</v>
      </c>
      <c r="D2190" s="398"/>
      <c r="E2190" s="398"/>
      <c r="F2190" s="398"/>
      <c r="G2190" s="398">
        <f t="shared" si="553"/>
        <v>0</v>
      </c>
      <c r="H2190" s="398">
        <f t="shared" si="554"/>
        <v>0</v>
      </c>
      <c r="I2190" s="399"/>
      <c r="J2190" s="362" t="s">
        <v>10</v>
      </c>
      <c r="K2190" s="362" t="s">
        <v>128</v>
      </c>
      <c r="L2190" s="362" t="s">
        <v>62</v>
      </c>
      <c r="M2190" s="362"/>
      <c r="N2190" s="579"/>
      <c r="O2190" s="635"/>
      <c r="P2190" s="636"/>
    </row>
    <row r="2191" spans="1:16" s="372" customFormat="1" ht="14" outlineLevel="2">
      <c r="A2191" s="405" t="s">
        <v>8</v>
      </c>
      <c r="B2191" s="415" t="s">
        <v>1242</v>
      </c>
      <c r="C2191" s="397" t="s">
        <v>50</v>
      </c>
      <c r="D2191" s="398"/>
      <c r="E2191" s="398"/>
      <c r="F2191" s="398"/>
      <c r="G2191" s="398">
        <f t="shared" si="553"/>
        <v>0</v>
      </c>
      <c r="H2191" s="398">
        <f t="shared" si="554"/>
        <v>0</v>
      </c>
      <c r="I2191" s="399"/>
      <c r="J2191" s="362" t="s">
        <v>10</v>
      </c>
      <c r="K2191" s="362" t="s">
        <v>128</v>
      </c>
      <c r="L2191" s="362" t="s">
        <v>62</v>
      </c>
      <c r="M2191" s="362"/>
      <c r="N2191" s="579"/>
      <c r="O2191" s="635"/>
      <c r="P2191" s="636"/>
    </row>
    <row r="2192" spans="1:16" s="372" customFormat="1" ht="14" outlineLevel="2">
      <c r="A2192" s="405" t="s">
        <v>8</v>
      </c>
      <c r="B2192" s="415" t="s">
        <v>1243</v>
      </c>
      <c r="C2192" s="397" t="s">
        <v>50</v>
      </c>
      <c r="D2192" s="398"/>
      <c r="E2192" s="398"/>
      <c r="F2192" s="398"/>
      <c r="G2192" s="398">
        <f t="shared" si="553"/>
        <v>0</v>
      </c>
      <c r="H2192" s="398">
        <f t="shared" si="554"/>
        <v>0</v>
      </c>
      <c r="I2192" s="399"/>
      <c r="J2192" s="362" t="s">
        <v>10</v>
      </c>
      <c r="K2192" s="362" t="s">
        <v>128</v>
      </c>
      <c r="L2192" s="362" t="s">
        <v>62</v>
      </c>
      <c r="M2192" s="362"/>
      <c r="N2192" s="579"/>
      <c r="O2192" s="635"/>
      <c r="P2192" s="636"/>
    </row>
    <row r="2193" spans="1:16" s="372" customFormat="1" ht="14" outlineLevel="2">
      <c r="A2193" s="405" t="s">
        <v>8</v>
      </c>
      <c r="B2193" s="415" t="s">
        <v>1244</v>
      </c>
      <c r="C2193" s="397" t="s">
        <v>50</v>
      </c>
      <c r="D2193" s="398"/>
      <c r="E2193" s="398"/>
      <c r="F2193" s="398"/>
      <c r="G2193" s="398">
        <f t="shared" si="553"/>
        <v>0</v>
      </c>
      <c r="H2193" s="398">
        <f t="shared" si="554"/>
        <v>0</v>
      </c>
      <c r="I2193" s="399"/>
      <c r="J2193" s="362" t="s">
        <v>10</v>
      </c>
      <c r="K2193" s="362" t="s">
        <v>128</v>
      </c>
      <c r="L2193" s="362" t="s">
        <v>62</v>
      </c>
      <c r="M2193" s="362"/>
      <c r="N2193" s="579"/>
      <c r="O2193" s="635"/>
      <c r="P2193" s="636"/>
    </row>
    <row r="2194" spans="1:16" s="372" customFormat="1" ht="14" outlineLevel="2">
      <c r="A2194" s="405"/>
      <c r="B2194" s="415" t="s">
        <v>1245</v>
      </c>
      <c r="C2194" s="397" t="s">
        <v>1247</v>
      </c>
      <c r="D2194" s="398"/>
      <c r="E2194" s="398"/>
      <c r="F2194" s="398"/>
      <c r="G2194" s="398">
        <f t="shared" si="553"/>
        <v>0</v>
      </c>
      <c r="H2194" s="398">
        <f t="shared" si="554"/>
        <v>0</v>
      </c>
      <c r="I2194" s="399"/>
      <c r="J2194" s="362" t="s">
        <v>10</v>
      </c>
      <c r="K2194" s="362" t="s">
        <v>128</v>
      </c>
      <c r="L2194" s="362" t="s">
        <v>62</v>
      </c>
      <c r="M2194" s="362"/>
      <c r="N2194" s="579"/>
      <c r="O2194" s="635"/>
      <c r="P2194" s="636"/>
    </row>
    <row r="2195" spans="1:16" s="372" customFormat="1" ht="14" outlineLevel="2">
      <c r="A2195" s="405" t="s">
        <v>8</v>
      </c>
      <c r="B2195" s="415" t="s">
        <v>1246</v>
      </c>
      <c r="C2195" s="397" t="s">
        <v>1248</v>
      </c>
      <c r="D2195" s="398"/>
      <c r="E2195" s="398"/>
      <c r="F2195" s="398"/>
      <c r="G2195" s="398">
        <f t="shared" si="553"/>
        <v>0</v>
      </c>
      <c r="H2195" s="398">
        <f t="shared" si="554"/>
        <v>0</v>
      </c>
      <c r="I2195" s="399"/>
      <c r="J2195" s="362" t="s">
        <v>10</v>
      </c>
      <c r="K2195" s="362" t="s">
        <v>128</v>
      </c>
      <c r="L2195" s="362" t="s">
        <v>62</v>
      </c>
      <c r="M2195" s="362"/>
      <c r="N2195" s="579"/>
      <c r="O2195" s="635"/>
      <c r="P2195" s="636"/>
    </row>
    <row r="2196" spans="1:16" s="385" customFormat="1" ht="14" outlineLevel="1">
      <c r="A2196" s="388">
        <v>3</v>
      </c>
      <c r="B2196" s="669" t="s">
        <v>1251</v>
      </c>
      <c r="C2196" s="403"/>
      <c r="D2196" s="391"/>
      <c r="E2196" s="391"/>
      <c r="F2196" s="409"/>
      <c r="G2196" s="391">
        <f>SUBTOTAL(9,G2197:G2198)</f>
        <v>0</v>
      </c>
      <c r="H2196" s="391">
        <f>SUBTOTAL(9,H2197:H2198)</f>
        <v>0</v>
      </c>
      <c r="I2196" s="392"/>
      <c r="J2196" s="362"/>
      <c r="K2196" s="362"/>
      <c r="L2196" s="362"/>
      <c r="M2196" s="383"/>
      <c r="N2196" s="579"/>
      <c r="O2196" s="635"/>
      <c r="P2196" s="636"/>
    </row>
    <row r="2197" spans="1:16" s="372" customFormat="1" ht="14" outlineLevel="2">
      <c r="A2197" s="405" t="s">
        <v>8</v>
      </c>
      <c r="B2197" s="415" t="s">
        <v>1252</v>
      </c>
      <c r="C2197" s="397" t="s">
        <v>50</v>
      </c>
      <c r="D2197" s="398"/>
      <c r="E2197" s="398"/>
      <c r="F2197" s="398"/>
      <c r="G2197" s="398">
        <f t="shared" ref="G2197:G2198" si="555">F2197*D2197</f>
        <v>0</v>
      </c>
      <c r="H2197" s="398">
        <f t="shared" ref="H2197:H2198" si="556">F2197*E2197</f>
        <v>0</v>
      </c>
      <c r="I2197" s="399"/>
      <c r="J2197" s="362" t="s">
        <v>10</v>
      </c>
      <c r="K2197" s="362" t="s">
        <v>259</v>
      </c>
      <c r="L2197" s="362" t="s">
        <v>62</v>
      </c>
      <c r="M2197" s="362"/>
      <c r="N2197" s="579"/>
      <c r="O2197" s="635"/>
      <c r="P2197" s="636"/>
    </row>
    <row r="2198" spans="1:16" s="372" customFormat="1" ht="14" outlineLevel="2">
      <c r="A2198" s="405" t="s">
        <v>8</v>
      </c>
      <c r="B2198" s="415" t="s">
        <v>1253</v>
      </c>
      <c r="C2198" s="397" t="s">
        <v>50</v>
      </c>
      <c r="D2198" s="398"/>
      <c r="E2198" s="398"/>
      <c r="F2198" s="398"/>
      <c r="G2198" s="398">
        <f t="shared" si="555"/>
        <v>0</v>
      </c>
      <c r="H2198" s="398">
        <f t="shared" si="556"/>
        <v>0</v>
      </c>
      <c r="I2198" s="399"/>
      <c r="J2198" s="362" t="s">
        <v>10</v>
      </c>
      <c r="K2198" s="362" t="s">
        <v>259</v>
      </c>
      <c r="L2198" s="362" t="s">
        <v>62</v>
      </c>
      <c r="M2198" s="362"/>
      <c r="N2198" s="579"/>
      <c r="O2198" s="635"/>
      <c r="P2198" s="636"/>
    </row>
    <row r="2199" spans="1:16" s="385" customFormat="1" ht="14" outlineLevel="1">
      <c r="A2199" s="388">
        <v>4</v>
      </c>
      <c r="B2199" s="669" t="s">
        <v>1254</v>
      </c>
      <c r="C2199" s="403"/>
      <c r="D2199" s="391"/>
      <c r="E2199" s="391"/>
      <c r="F2199" s="409"/>
      <c r="G2199" s="391">
        <f>SUBTOTAL(9,G2200:G2220)</f>
        <v>1431162</v>
      </c>
      <c r="H2199" s="391">
        <f>SUBTOTAL(9,H2200:H2220)</f>
        <v>926046</v>
      </c>
      <c r="I2199" s="392"/>
      <c r="J2199" s="362"/>
      <c r="K2199" s="362"/>
      <c r="L2199" s="362"/>
      <c r="M2199" s="383"/>
      <c r="N2199" s="579"/>
      <c r="O2199" s="635"/>
      <c r="P2199" s="636"/>
    </row>
    <row r="2200" spans="1:16" s="372" customFormat="1" ht="14" outlineLevel="2">
      <c r="A2200" s="405" t="s">
        <v>8</v>
      </c>
      <c r="B2200" s="415" t="s">
        <v>1228</v>
      </c>
      <c r="C2200" s="397" t="s">
        <v>1257</v>
      </c>
      <c r="D2200" s="398"/>
      <c r="E2200" s="398"/>
      <c r="F2200" s="398"/>
      <c r="G2200" s="398">
        <f t="shared" ref="G2200:G2218" si="557">F2200*D2200</f>
        <v>0</v>
      </c>
      <c r="H2200" s="398">
        <f t="shared" ref="H2200:H2218" si="558">F2200*E2200</f>
        <v>0</v>
      </c>
      <c r="I2200" s="399"/>
      <c r="J2200" s="362" t="s">
        <v>10</v>
      </c>
      <c r="K2200" s="362" t="s">
        <v>127</v>
      </c>
      <c r="L2200" s="362" t="s">
        <v>62</v>
      </c>
      <c r="M2200" s="362"/>
      <c r="N2200" s="579"/>
      <c r="O2200" s="635"/>
      <c r="P2200" s="636"/>
    </row>
    <row r="2201" spans="1:16" s="372" customFormat="1" ht="14" outlineLevel="2">
      <c r="A2201" s="405" t="s">
        <v>8</v>
      </c>
      <c r="B2201" s="415" t="s">
        <v>1229</v>
      </c>
      <c r="C2201" s="397" t="s">
        <v>1257</v>
      </c>
      <c r="D2201" s="398"/>
      <c r="E2201" s="398"/>
      <c r="F2201" s="398"/>
      <c r="G2201" s="398">
        <f t="shared" si="557"/>
        <v>0</v>
      </c>
      <c r="H2201" s="398">
        <f t="shared" si="558"/>
        <v>0</v>
      </c>
      <c r="I2201" s="399"/>
      <c r="J2201" s="362" t="s">
        <v>10</v>
      </c>
      <c r="K2201" s="362" t="s">
        <v>127</v>
      </c>
      <c r="L2201" s="362" t="s">
        <v>62</v>
      </c>
      <c r="M2201" s="362"/>
      <c r="N2201" s="579"/>
      <c r="O2201" s="635"/>
      <c r="P2201" s="636"/>
    </row>
    <row r="2202" spans="1:16" s="372" customFormat="1" ht="14" outlineLevel="2">
      <c r="A2202" s="405" t="s">
        <v>8</v>
      </c>
      <c r="B2202" s="415" t="s">
        <v>1230</v>
      </c>
      <c r="C2202" s="397" t="s">
        <v>1257</v>
      </c>
      <c r="D2202" s="398"/>
      <c r="E2202" s="398"/>
      <c r="F2202" s="398"/>
      <c r="G2202" s="398">
        <f t="shared" si="557"/>
        <v>0</v>
      </c>
      <c r="H2202" s="398">
        <f t="shared" si="558"/>
        <v>0</v>
      </c>
      <c r="I2202" s="399"/>
      <c r="J2202" s="362" t="s">
        <v>10</v>
      </c>
      <c r="K2202" s="362" t="s">
        <v>127</v>
      </c>
      <c r="L2202" s="362" t="s">
        <v>62</v>
      </c>
      <c r="M2202" s="362"/>
      <c r="N2202" s="579"/>
      <c r="O2202" s="635"/>
      <c r="P2202" s="636"/>
    </row>
    <row r="2203" spans="1:16" s="372" customFormat="1" ht="14" outlineLevel="2">
      <c r="A2203" s="405" t="s">
        <v>8</v>
      </c>
      <c r="B2203" s="415" t="s">
        <v>1231</v>
      </c>
      <c r="C2203" s="397" t="s">
        <v>1257</v>
      </c>
      <c r="D2203" s="398"/>
      <c r="E2203" s="398"/>
      <c r="F2203" s="398"/>
      <c r="G2203" s="398">
        <f t="shared" si="557"/>
        <v>0</v>
      </c>
      <c r="H2203" s="398">
        <f t="shared" si="558"/>
        <v>0</v>
      </c>
      <c r="I2203" s="399"/>
      <c r="J2203" s="362" t="s">
        <v>10</v>
      </c>
      <c r="K2203" s="362" t="s">
        <v>127</v>
      </c>
      <c r="L2203" s="362" t="s">
        <v>62</v>
      </c>
      <c r="M2203" s="362"/>
      <c r="N2203" s="579"/>
      <c r="O2203" s="635"/>
      <c r="P2203" s="636"/>
    </row>
    <row r="2204" spans="1:16" s="372" customFormat="1" ht="14" outlineLevel="2">
      <c r="A2204" s="405" t="s">
        <v>8</v>
      </c>
      <c r="B2204" s="415" t="s">
        <v>1232</v>
      </c>
      <c r="C2204" s="397" t="s">
        <v>1257</v>
      </c>
      <c r="D2204" s="398"/>
      <c r="E2204" s="398"/>
      <c r="F2204" s="398"/>
      <c r="G2204" s="398">
        <f t="shared" si="557"/>
        <v>0</v>
      </c>
      <c r="H2204" s="398">
        <f t="shared" si="558"/>
        <v>0</v>
      </c>
      <c r="I2204" s="399"/>
      <c r="J2204" s="362" t="s">
        <v>10</v>
      </c>
      <c r="K2204" s="362" t="s">
        <v>127</v>
      </c>
      <c r="L2204" s="362" t="s">
        <v>62</v>
      </c>
      <c r="M2204" s="362"/>
      <c r="N2204" s="579"/>
      <c r="O2204" s="635"/>
      <c r="P2204" s="636"/>
    </row>
    <row r="2205" spans="1:16" s="372" customFormat="1" ht="14" outlineLevel="2">
      <c r="A2205" s="405" t="s">
        <v>8</v>
      </c>
      <c r="B2205" s="415" t="s">
        <v>1233</v>
      </c>
      <c r="C2205" s="397" t="s">
        <v>1257</v>
      </c>
      <c r="D2205" s="398"/>
      <c r="E2205" s="398"/>
      <c r="F2205" s="398"/>
      <c r="G2205" s="398">
        <f t="shared" si="557"/>
        <v>0</v>
      </c>
      <c r="H2205" s="398">
        <f t="shared" si="558"/>
        <v>0</v>
      </c>
      <c r="I2205" s="399"/>
      <c r="J2205" s="362" t="s">
        <v>10</v>
      </c>
      <c r="K2205" s="362" t="s">
        <v>127</v>
      </c>
      <c r="L2205" s="362" t="s">
        <v>62</v>
      </c>
      <c r="M2205" s="362"/>
      <c r="N2205" s="579"/>
      <c r="O2205" s="635"/>
      <c r="P2205" s="636"/>
    </row>
    <row r="2206" spans="1:16" s="372" customFormat="1" ht="14" outlineLevel="2">
      <c r="A2206" s="405" t="s">
        <v>8</v>
      </c>
      <c r="B2206" s="415" t="s">
        <v>1234</v>
      </c>
      <c r="C2206" s="397" t="s">
        <v>1257</v>
      </c>
      <c r="D2206" s="398">
        <v>51</v>
      </c>
      <c r="E2206" s="398">
        <v>33</v>
      </c>
      <c r="F2206" s="398">
        <v>9577</v>
      </c>
      <c r="G2206" s="398">
        <f t="shared" si="557"/>
        <v>488427</v>
      </c>
      <c r="H2206" s="398">
        <f t="shared" si="558"/>
        <v>316041</v>
      </c>
      <c r="I2206" s="399"/>
      <c r="J2206" s="362" t="s">
        <v>10</v>
      </c>
      <c r="K2206" s="362" t="s">
        <v>127</v>
      </c>
      <c r="L2206" s="362" t="s">
        <v>62</v>
      </c>
      <c r="M2206" s="362"/>
      <c r="N2206" s="579"/>
      <c r="O2206" s="635"/>
      <c r="P2206" s="636"/>
    </row>
    <row r="2207" spans="1:16" s="372" customFormat="1" ht="14" outlineLevel="2">
      <c r="A2207" s="405" t="s">
        <v>8</v>
      </c>
      <c r="B2207" s="415" t="s">
        <v>1235</v>
      </c>
      <c r="C2207" s="397" t="s">
        <v>1257</v>
      </c>
      <c r="D2207" s="398"/>
      <c r="E2207" s="398"/>
      <c r="F2207" s="398"/>
      <c r="G2207" s="398">
        <f t="shared" si="557"/>
        <v>0</v>
      </c>
      <c r="H2207" s="398">
        <f t="shared" si="558"/>
        <v>0</v>
      </c>
      <c r="I2207" s="399"/>
      <c r="J2207" s="362" t="s">
        <v>10</v>
      </c>
      <c r="K2207" s="362" t="s">
        <v>127</v>
      </c>
      <c r="L2207" s="362" t="s">
        <v>62</v>
      </c>
      <c r="M2207" s="362"/>
      <c r="N2207" s="579"/>
      <c r="O2207" s="635"/>
      <c r="P2207" s="636"/>
    </row>
    <row r="2208" spans="1:16" s="372" customFormat="1" ht="14" outlineLevel="2">
      <c r="A2208" s="405"/>
      <c r="B2208" s="415" t="s">
        <v>1236</v>
      </c>
      <c r="C2208" s="397" t="s">
        <v>1257</v>
      </c>
      <c r="D2208" s="398"/>
      <c r="E2208" s="398"/>
      <c r="F2208" s="398"/>
      <c r="G2208" s="398">
        <f t="shared" si="557"/>
        <v>0</v>
      </c>
      <c r="H2208" s="398">
        <f t="shared" si="558"/>
        <v>0</v>
      </c>
      <c r="I2208" s="399"/>
      <c r="J2208" s="362" t="s">
        <v>10</v>
      </c>
      <c r="K2208" s="362" t="s">
        <v>127</v>
      </c>
      <c r="L2208" s="362" t="s">
        <v>62</v>
      </c>
      <c r="M2208" s="362"/>
      <c r="N2208" s="579"/>
      <c r="O2208" s="635"/>
      <c r="P2208" s="636"/>
    </row>
    <row r="2209" spans="1:16" s="372" customFormat="1" ht="14" outlineLevel="2">
      <c r="A2209" s="405" t="s">
        <v>8</v>
      </c>
      <c r="B2209" s="415" t="s">
        <v>1237</v>
      </c>
      <c r="C2209" s="397" t="s">
        <v>1257</v>
      </c>
      <c r="D2209" s="398"/>
      <c r="E2209" s="398"/>
      <c r="F2209" s="398"/>
      <c r="G2209" s="398">
        <f t="shared" si="557"/>
        <v>0</v>
      </c>
      <c r="H2209" s="398">
        <f t="shared" si="558"/>
        <v>0</v>
      </c>
      <c r="I2209" s="399"/>
      <c r="J2209" s="362" t="s">
        <v>10</v>
      </c>
      <c r="K2209" s="362" t="s">
        <v>127</v>
      </c>
      <c r="L2209" s="362" t="s">
        <v>62</v>
      </c>
      <c r="M2209" s="362"/>
      <c r="N2209" s="579"/>
      <c r="O2209" s="635"/>
      <c r="P2209" s="636"/>
    </row>
    <row r="2210" spans="1:16" s="372" customFormat="1" ht="14" outlineLevel="2">
      <c r="A2210" s="405" t="s">
        <v>8</v>
      </c>
      <c r="B2210" s="415" t="s">
        <v>1238</v>
      </c>
      <c r="C2210" s="397" t="s">
        <v>1257</v>
      </c>
      <c r="D2210" s="398"/>
      <c r="E2210" s="398"/>
      <c r="F2210" s="398"/>
      <c r="G2210" s="398">
        <f t="shared" si="557"/>
        <v>0</v>
      </c>
      <c r="H2210" s="398">
        <f t="shared" si="558"/>
        <v>0</v>
      </c>
      <c r="I2210" s="399"/>
      <c r="J2210" s="362" t="s">
        <v>10</v>
      </c>
      <c r="K2210" s="362" t="s">
        <v>127</v>
      </c>
      <c r="L2210" s="362" t="s">
        <v>62</v>
      </c>
      <c r="M2210" s="362"/>
      <c r="N2210" s="579"/>
      <c r="O2210" s="635"/>
      <c r="P2210" s="636"/>
    </row>
    <row r="2211" spans="1:16" s="372" customFormat="1" ht="14" outlineLevel="2">
      <c r="A2211" s="405" t="s">
        <v>8</v>
      </c>
      <c r="B2211" s="415" t="s">
        <v>1239</v>
      </c>
      <c r="C2211" s="397" t="s">
        <v>1257</v>
      </c>
      <c r="D2211" s="398"/>
      <c r="E2211" s="398"/>
      <c r="F2211" s="398"/>
      <c r="G2211" s="398">
        <f t="shared" si="557"/>
        <v>0</v>
      </c>
      <c r="H2211" s="398">
        <f t="shared" si="558"/>
        <v>0</v>
      </c>
      <c r="I2211" s="399"/>
      <c r="J2211" s="362" t="s">
        <v>10</v>
      </c>
      <c r="K2211" s="362" t="s">
        <v>127</v>
      </c>
      <c r="L2211" s="362" t="s">
        <v>62</v>
      </c>
      <c r="M2211" s="362"/>
      <c r="N2211" s="579"/>
      <c r="O2211" s="635"/>
      <c r="P2211" s="636"/>
    </row>
    <row r="2212" spans="1:16" s="372" customFormat="1" ht="14" outlineLevel="2">
      <c r="A2212" s="405" t="s">
        <v>8</v>
      </c>
      <c r="B2212" s="415" t="s">
        <v>1240</v>
      </c>
      <c r="C2212" s="397" t="s">
        <v>50</v>
      </c>
      <c r="D2212" s="398"/>
      <c r="E2212" s="398"/>
      <c r="F2212" s="398"/>
      <c r="G2212" s="398">
        <f t="shared" si="557"/>
        <v>0</v>
      </c>
      <c r="H2212" s="398">
        <f t="shared" si="558"/>
        <v>0</v>
      </c>
      <c r="I2212" s="399"/>
      <c r="J2212" s="362" t="s">
        <v>10</v>
      </c>
      <c r="K2212" s="362" t="s">
        <v>127</v>
      </c>
      <c r="L2212" s="362" t="s">
        <v>62</v>
      </c>
      <c r="M2212" s="362"/>
      <c r="N2212" s="579"/>
      <c r="O2212" s="635"/>
      <c r="P2212" s="636"/>
    </row>
    <row r="2213" spans="1:16" s="372" customFormat="1" ht="14" outlineLevel="2">
      <c r="A2213" s="405" t="s">
        <v>8</v>
      </c>
      <c r="B2213" s="415" t="s">
        <v>1241</v>
      </c>
      <c r="C2213" s="397" t="s">
        <v>50</v>
      </c>
      <c r="D2213" s="398"/>
      <c r="E2213" s="398"/>
      <c r="F2213" s="398"/>
      <c r="G2213" s="398">
        <f t="shared" si="557"/>
        <v>0</v>
      </c>
      <c r="H2213" s="398">
        <f t="shared" si="558"/>
        <v>0</v>
      </c>
      <c r="I2213" s="399"/>
      <c r="J2213" s="362" t="s">
        <v>10</v>
      </c>
      <c r="K2213" s="362" t="s">
        <v>127</v>
      </c>
      <c r="L2213" s="362" t="s">
        <v>62</v>
      </c>
      <c r="M2213" s="362"/>
      <c r="N2213" s="579"/>
      <c r="O2213" s="635"/>
      <c r="P2213" s="636"/>
    </row>
    <row r="2214" spans="1:16" s="372" customFormat="1" ht="14" outlineLevel="2">
      <c r="A2214" s="405" t="s">
        <v>8</v>
      </c>
      <c r="B2214" s="415" t="s">
        <v>1242</v>
      </c>
      <c r="C2214" s="397" t="s">
        <v>50</v>
      </c>
      <c r="D2214" s="398"/>
      <c r="E2214" s="398"/>
      <c r="F2214" s="398"/>
      <c r="G2214" s="398">
        <f t="shared" si="557"/>
        <v>0</v>
      </c>
      <c r="H2214" s="398">
        <f t="shared" si="558"/>
        <v>0</v>
      </c>
      <c r="I2214" s="399"/>
      <c r="J2214" s="362" t="s">
        <v>10</v>
      </c>
      <c r="K2214" s="362" t="s">
        <v>127</v>
      </c>
      <c r="L2214" s="362" t="s">
        <v>62</v>
      </c>
      <c r="M2214" s="362"/>
      <c r="N2214" s="579"/>
      <c r="O2214" s="635"/>
      <c r="P2214" s="636"/>
    </row>
    <row r="2215" spans="1:16" s="372" customFormat="1" ht="14" outlineLevel="2">
      <c r="A2215" s="405" t="s">
        <v>8</v>
      </c>
      <c r="B2215" s="415" t="s">
        <v>1243</v>
      </c>
      <c r="C2215" s="397" t="s">
        <v>1257</v>
      </c>
      <c r="D2215" s="398"/>
      <c r="E2215" s="398"/>
      <c r="F2215" s="398"/>
      <c r="G2215" s="398">
        <f t="shared" si="557"/>
        <v>0</v>
      </c>
      <c r="H2215" s="398">
        <f t="shared" si="558"/>
        <v>0</v>
      </c>
      <c r="I2215" s="399"/>
      <c r="J2215" s="362" t="s">
        <v>10</v>
      </c>
      <c r="K2215" s="362" t="s">
        <v>127</v>
      </c>
      <c r="L2215" s="362" t="s">
        <v>62</v>
      </c>
      <c r="M2215" s="362"/>
      <c r="N2215" s="579"/>
      <c r="O2215" s="635"/>
      <c r="P2215" s="636"/>
    </row>
    <row r="2216" spans="1:16" s="372" customFormat="1" ht="14" outlineLevel="2">
      <c r="A2216" s="405" t="s">
        <v>8</v>
      </c>
      <c r="B2216" s="415" t="s">
        <v>1244</v>
      </c>
      <c r="C2216" s="397" t="s">
        <v>1257</v>
      </c>
      <c r="D2216" s="398"/>
      <c r="E2216" s="398"/>
      <c r="F2216" s="398"/>
      <c r="G2216" s="398">
        <f t="shared" si="557"/>
        <v>0</v>
      </c>
      <c r="H2216" s="398">
        <f t="shared" si="558"/>
        <v>0</v>
      </c>
      <c r="I2216" s="399"/>
      <c r="J2216" s="362" t="s">
        <v>10</v>
      </c>
      <c r="K2216" s="362" t="s">
        <v>127</v>
      </c>
      <c r="L2216" s="362" t="s">
        <v>62</v>
      </c>
      <c r="M2216" s="362"/>
      <c r="N2216" s="579"/>
      <c r="O2216" s="635"/>
      <c r="P2216" s="636"/>
    </row>
    <row r="2217" spans="1:16" s="372" customFormat="1" ht="14" outlineLevel="2">
      <c r="A2217" s="405"/>
      <c r="B2217" s="415" t="s">
        <v>1426</v>
      </c>
      <c r="C2217" s="700" t="s">
        <v>1430</v>
      </c>
      <c r="D2217" s="398">
        <v>51</v>
      </c>
      <c r="E2217" s="320">
        <f>SUM(E2201:E2216)</f>
        <v>33</v>
      </c>
      <c r="F2217" s="702">
        <v>1110</v>
      </c>
      <c r="G2217" s="398">
        <f t="shared" si="557"/>
        <v>56610</v>
      </c>
      <c r="H2217" s="398">
        <f t="shared" si="558"/>
        <v>36630</v>
      </c>
      <c r="I2217" s="399"/>
      <c r="J2217" s="362" t="s">
        <v>10</v>
      </c>
      <c r="K2217" s="362" t="s">
        <v>127</v>
      </c>
      <c r="L2217" s="362" t="s">
        <v>62</v>
      </c>
      <c r="M2217" s="362"/>
      <c r="N2217" s="579"/>
      <c r="O2217" s="635"/>
      <c r="P2217" s="636"/>
    </row>
    <row r="2218" spans="1:16" s="372" customFormat="1" ht="14" outlineLevel="2">
      <c r="A2218" s="405" t="s">
        <v>8</v>
      </c>
      <c r="B2218" s="415" t="s">
        <v>1427</v>
      </c>
      <c r="C2218" s="700" t="s">
        <v>1430</v>
      </c>
      <c r="D2218" s="398">
        <v>51</v>
      </c>
      <c r="E2218" s="320">
        <f>E2217</f>
        <v>33</v>
      </c>
      <c r="F2218" s="702">
        <v>1110</v>
      </c>
      <c r="G2218" s="398">
        <f t="shared" si="557"/>
        <v>56610</v>
      </c>
      <c r="H2218" s="398">
        <f t="shared" si="558"/>
        <v>36630</v>
      </c>
      <c r="I2218" s="399"/>
      <c r="J2218" s="362" t="s">
        <v>10</v>
      </c>
      <c r="K2218" s="362" t="s">
        <v>127</v>
      </c>
      <c r="L2218" s="362" t="s">
        <v>62</v>
      </c>
      <c r="M2218" s="362"/>
      <c r="N2218" s="579"/>
      <c r="O2218" s="635"/>
      <c r="P2218" s="636"/>
    </row>
    <row r="2219" spans="1:16" s="372" customFormat="1" ht="14" outlineLevel="2">
      <c r="A2219" s="405"/>
      <c r="B2219" s="415" t="s">
        <v>1428</v>
      </c>
      <c r="C2219" s="700" t="s">
        <v>1430</v>
      </c>
      <c r="D2219" s="398">
        <v>51</v>
      </c>
      <c r="E2219" s="701">
        <f>E2218</f>
        <v>33</v>
      </c>
      <c r="F2219" s="702">
        <v>1110</v>
      </c>
      <c r="G2219" s="398">
        <f t="shared" ref="G2219:G2220" si="559">F2219*D2219</f>
        <v>56610</v>
      </c>
      <c r="H2219" s="398">
        <f t="shared" ref="H2219:H2220" si="560">F2219*E2219</f>
        <v>36630</v>
      </c>
      <c r="I2219" s="399"/>
      <c r="J2219" s="362" t="s">
        <v>10</v>
      </c>
      <c r="K2219" s="362" t="s">
        <v>127</v>
      </c>
      <c r="L2219" s="362" t="s">
        <v>62</v>
      </c>
      <c r="M2219" s="362"/>
      <c r="N2219" s="579"/>
      <c r="O2219" s="635"/>
      <c r="P2219" s="636"/>
    </row>
    <row r="2220" spans="1:16" s="372" customFormat="1" ht="14" outlineLevel="2">
      <c r="A2220" s="405" t="s">
        <v>8</v>
      </c>
      <c r="B2220" s="415" t="s">
        <v>1429</v>
      </c>
      <c r="C2220" s="700" t="s">
        <v>40</v>
      </c>
      <c r="D2220" s="398">
        <v>51</v>
      </c>
      <c r="E2220" s="320">
        <f>E2219</f>
        <v>33</v>
      </c>
      <c r="F2220" s="702">
        <v>15155</v>
      </c>
      <c r="G2220" s="398">
        <f t="shared" si="559"/>
        <v>772905</v>
      </c>
      <c r="H2220" s="398">
        <f t="shared" si="560"/>
        <v>500115</v>
      </c>
      <c r="I2220" s="399"/>
      <c r="J2220" s="362" t="s">
        <v>10</v>
      </c>
      <c r="K2220" s="362" t="s">
        <v>127</v>
      </c>
      <c r="L2220" s="362" t="s">
        <v>62</v>
      </c>
      <c r="M2220" s="362"/>
      <c r="N2220" s="579"/>
      <c r="O2220" s="635"/>
      <c r="P2220" s="636"/>
    </row>
    <row r="2221" spans="1:16" s="385" customFormat="1" ht="14" outlineLevel="1">
      <c r="A2221" s="388">
        <v>5</v>
      </c>
      <c r="B2221" s="669" t="s">
        <v>1258</v>
      </c>
      <c r="C2221" s="403"/>
      <c r="D2221" s="391"/>
      <c r="E2221" s="391"/>
      <c r="F2221" s="409"/>
      <c r="G2221" s="391">
        <f>SUBTOTAL(9,G2222:G2242)</f>
        <v>224496</v>
      </c>
      <c r="H2221" s="391">
        <f>SUBTOTAL(9,H2222:H2242)</f>
        <v>1599534</v>
      </c>
      <c r="I2221" s="392"/>
      <c r="J2221" s="362"/>
      <c r="K2221" s="362"/>
      <c r="L2221" s="362"/>
      <c r="M2221" s="383"/>
      <c r="N2221" s="579"/>
      <c r="O2221" s="635"/>
      <c r="P2221" s="636"/>
    </row>
    <row r="2222" spans="1:16" s="372" customFormat="1" ht="14" outlineLevel="2">
      <c r="A2222" s="405" t="s">
        <v>8</v>
      </c>
      <c r="B2222" s="415" t="s">
        <v>1228</v>
      </c>
      <c r="C2222" s="397" t="s">
        <v>1257</v>
      </c>
      <c r="D2222" s="398"/>
      <c r="E2222" s="398"/>
      <c r="F2222" s="398"/>
      <c r="G2222" s="398">
        <f t="shared" ref="G2222:G2242" si="561">F2222*D2222</f>
        <v>0</v>
      </c>
      <c r="H2222" s="398">
        <f t="shared" ref="H2222:H2242" si="562">F2222*E2222</f>
        <v>0</v>
      </c>
      <c r="I2222" s="399"/>
      <c r="J2222" s="362" t="s">
        <v>10</v>
      </c>
      <c r="K2222" s="362" t="s">
        <v>128</v>
      </c>
      <c r="L2222" s="362" t="s">
        <v>62</v>
      </c>
      <c r="M2222" s="362"/>
      <c r="N2222" s="579"/>
      <c r="O2222" s="635"/>
      <c r="P2222" s="636"/>
    </row>
    <row r="2223" spans="1:16" s="372" customFormat="1" ht="14" outlineLevel="2">
      <c r="A2223" s="405" t="s">
        <v>8</v>
      </c>
      <c r="B2223" s="415" t="s">
        <v>1229</v>
      </c>
      <c r="C2223" s="397" t="s">
        <v>1257</v>
      </c>
      <c r="D2223" s="398"/>
      <c r="E2223" s="398"/>
      <c r="F2223" s="398"/>
      <c r="G2223" s="398">
        <f t="shared" si="561"/>
        <v>0</v>
      </c>
      <c r="H2223" s="398">
        <f t="shared" si="562"/>
        <v>0</v>
      </c>
      <c r="I2223" s="399"/>
      <c r="J2223" s="362" t="s">
        <v>10</v>
      </c>
      <c r="K2223" s="362" t="s">
        <v>128</v>
      </c>
      <c r="L2223" s="362" t="s">
        <v>62</v>
      </c>
      <c r="M2223" s="362"/>
      <c r="N2223" s="579"/>
      <c r="O2223" s="635"/>
      <c r="P2223" s="636"/>
    </row>
    <row r="2224" spans="1:16" s="372" customFormat="1" ht="14" outlineLevel="2">
      <c r="A2224" s="405" t="s">
        <v>8</v>
      </c>
      <c r="B2224" s="415" t="s">
        <v>1230</v>
      </c>
      <c r="C2224" s="397" t="s">
        <v>1257</v>
      </c>
      <c r="D2224" s="398"/>
      <c r="E2224" s="398"/>
      <c r="F2224" s="398"/>
      <c r="G2224" s="398">
        <f t="shared" si="561"/>
        <v>0</v>
      </c>
      <c r="H2224" s="398">
        <f t="shared" si="562"/>
        <v>0</v>
      </c>
      <c r="I2224" s="399"/>
      <c r="J2224" s="362" t="s">
        <v>10</v>
      </c>
      <c r="K2224" s="362" t="s">
        <v>128</v>
      </c>
      <c r="L2224" s="362" t="s">
        <v>62</v>
      </c>
      <c r="M2224" s="362"/>
      <c r="N2224" s="579"/>
      <c r="O2224" s="635"/>
      <c r="P2224" s="636"/>
    </row>
    <row r="2225" spans="1:16" s="372" customFormat="1" ht="14" outlineLevel="2">
      <c r="A2225" s="405" t="s">
        <v>8</v>
      </c>
      <c r="B2225" s="415" t="s">
        <v>1231</v>
      </c>
      <c r="C2225" s="397" t="s">
        <v>1257</v>
      </c>
      <c r="D2225" s="398"/>
      <c r="E2225" s="398"/>
      <c r="F2225" s="398"/>
      <c r="G2225" s="398">
        <f t="shared" si="561"/>
        <v>0</v>
      </c>
      <c r="H2225" s="398">
        <f t="shared" si="562"/>
        <v>0</v>
      </c>
      <c r="I2225" s="399"/>
      <c r="J2225" s="362" t="s">
        <v>10</v>
      </c>
      <c r="K2225" s="362" t="s">
        <v>128</v>
      </c>
      <c r="L2225" s="362" t="s">
        <v>62</v>
      </c>
      <c r="M2225" s="362"/>
      <c r="N2225" s="579"/>
      <c r="O2225" s="635"/>
      <c r="P2225" s="636"/>
    </row>
    <row r="2226" spans="1:16" s="372" customFormat="1" ht="14" outlineLevel="2">
      <c r="A2226" s="405" t="s">
        <v>8</v>
      </c>
      <c r="B2226" s="415" t="s">
        <v>1232</v>
      </c>
      <c r="C2226" s="397" t="s">
        <v>1257</v>
      </c>
      <c r="D2226" s="398"/>
      <c r="E2226" s="398"/>
      <c r="F2226" s="398"/>
      <c r="G2226" s="398">
        <f t="shared" si="561"/>
        <v>0</v>
      </c>
      <c r="H2226" s="398">
        <f t="shared" si="562"/>
        <v>0</v>
      </c>
      <c r="I2226" s="399"/>
      <c r="J2226" s="362" t="s">
        <v>10</v>
      </c>
      <c r="K2226" s="362" t="s">
        <v>128</v>
      </c>
      <c r="L2226" s="362" t="s">
        <v>62</v>
      </c>
      <c r="M2226" s="362"/>
      <c r="N2226" s="579"/>
      <c r="O2226" s="635"/>
      <c r="P2226" s="636"/>
    </row>
    <row r="2227" spans="1:16" s="372" customFormat="1" ht="14" outlineLevel="2">
      <c r="A2227" s="405" t="s">
        <v>8</v>
      </c>
      <c r="B2227" s="415" t="s">
        <v>1233</v>
      </c>
      <c r="C2227" s="397" t="s">
        <v>1257</v>
      </c>
      <c r="D2227" s="398"/>
      <c r="E2227" s="398"/>
      <c r="F2227" s="398"/>
      <c r="G2227" s="398">
        <f t="shared" si="561"/>
        <v>0</v>
      </c>
      <c r="H2227" s="398">
        <f t="shared" si="562"/>
        <v>0</v>
      </c>
      <c r="I2227" s="399"/>
      <c r="J2227" s="362" t="s">
        <v>10</v>
      </c>
      <c r="K2227" s="362" t="s">
        <v>128</v>
      </c>
      <c r="L2227" s="362" t="s">
        <v>62</v>
      </c>
      <c r="M2227" s="362"/>
      <c r="N2227" s="579"/>
      <c r="O2227" s="635"/>
      <c r="P2227" s="636"/>
    </row>
    <row r="2228" spans="1:16" s="372" customFormat="1" ht="14" outlineLevel="2">
      <c r="A2228" s="405" t="s">
        <v>8</v>
      </c>
      <c r="B2228" s="415" t="s">
        <v>1234</v>
      </c>
      <c r="C2228" s="397" t="s">
        <v>1257</v>
      </c>
      <c r="D2228" s="398">
        <v>8</v>
      </c>
      <c r="E2228" s="398">
        <v>57</v>
      </c>
      <c r="F2228" s="398">
        <v>9577</v>
      </c>
      <c r="G2228" s="398">
        <f t="shared" si="561"/>
        <v>76616</v>
      </c>
      <c r="H2228" s="398">
        <f t="shared" si="562"/>
        <v>545889</v>
      </c>
      <c r="I2228" s="399"/>
      <c r="J2228" s="362" t="s">
        <v>10</v>
      </c>
      <c r="K2228" s="362" t="s">
        <v>128</v>
      </c>
      <c r="L2228" s="362" t="s">
        <v>62</v>
      </c>
      <c r="M2228" s="362"/>
      <c r="N2228" s="579"/>
      <c r="O2228" s="635"/>
      <c r="P2228" s="636"/>
    </row>
    <row r="2229" spans="1:16" s="372" customFormat="1" ht="14" outlineLevel="2">
      <c r="A2229" s="405" t="s">
        <v>8</v>
      </c>
      <c r="B2229" s="415" t="s">
        <v>1235</v>
      </c>
      <c r="C2229" s="397" t="s">
        <v>1257</v>
      </c>
      <c r="D2229" s="398"/>
      <c r="E2229" s="398"/>
      <c r="F2229" s="398"/>
      <c r="G2229" s="398">
        <f t="shared" si="561"/>
        <v>0</v>
      </c>
      <c r="H2229" s="398">
        <f t="shared" si="562"/>
        <v>0</v>
      </c>
      <c r="I2229" s="399"/>
      <c r="J2229" s="362" t="s">
        <v>10</v>
      </c>
      <c r="K2229" s="362" t="s">
        <v>128</v>
      </c>
      <c r="L2229" s="362" t="s">
        <v>62</v>
      </c>
      <c r="M2229" s="362"/>
      <c r="N2229" s="579"/>
      <c r="O2229" s="635"/>
      <c r="P2229" s="636"/>
    </row>
    <row r="2230" spans="1:16" s="372" customFormat="1" ht="14" outlineLevel="2">
      <c r="A2230" s="405"/>
      <c r="B2230" s="415" t="s">
        <v>1236</v>
      </c>
      <c r="C2230" s="397" t="s">
        <v>1257</v>
      </c>
      <c r="D2230" s="398"/>
      <c r="E2230" s="398"/>
      <c r="F2230" s="398"/>
      <c r="G2230" s="398">
        <f t="shared" si="561"/>
        <v>0</v>
      </c>
      <c r="H2230" s="398">
        <f t="shared" si="562"/>
        <v>0</v>
      </c>
      <c r="I2230" s="399"/>
      <c r="J2230" s="362" t="s">
        <v>10</v>
      </c>
      <c r="K2230" s="362" t="s">
        <v>128</v>
      </c>
      <c r="L2230" s="362" t="s">
        <v>62</v>
      </c>
      <c r="M2230" s="362"/>
      <c r="N2230" s="579"/>
      <c r="O2230" s="635"/>
      <c r="P2230" s="636"/>
    </row>
    <row r="2231" spans="1:16" s="372" customFormat="1" ht="14" outlineLevel="2">
      <c r="A2231" s="405" t="s">
        <v>8</v>
      </c>
      <c r="B2231" s="415" t="s">
        <v>1237</v>
      </c>
      <c r="C2231" s="397" t="s">
        <v>1257</v>
      </c>
      <c r="D2231" s="398"/>
      <c r="E2231" s="398"/>
      <c r="F2231" s="398"/>
      <c r="G2231" s="398">
        <f t="shared" si="561"/>
        <v>0</v>
      </c>
      <c r="H2231" s="398">
        <f t="shared" si="562"/>
        <v>0</v>
      </c>
      <c r="I2231" s="399"/>
      <c r="J2231" s="362" t="s">
        <v>10</v>
      </c>
      <c r="K2231" s="362" t="s">
        <v>128</v>
      </c>
      <c r="L2231" s="362" t="s">
        <v>62</v>
      </c>
      <c r="M2231" s="362"/>
      <c r="N2231" s="579"/>
      <c r="O2231" s="635"/>
      <c r="P2231" s="636"/>
    </row>
    <row r="2232" spans="1:16" s="372" customFormat="1" ht="14" outlineLevel="2">
      <c r="A2232" s="405" t="s">
        <v>8</v>
      </c>
      <c r="B2232" s="415" t="s">
        <v>1238</v>
      </c>
      <c r="C2232" s="397" t="s">
        <v>1257</v>
      </c>
      <c r="D2232" s="398"/>
      <c r="E2232" s="398"/>
      <c r="F2232" s="398"/>
      <c r="G2232" s="398">
        <f t="shared" si="561"/>
        <v>0</v>
      </c>
      <c r="H2232" s="398">
        <f t="shared" si="562"/>
        <v>0</v>
      </c>
      <c r="I2232" s="399"/>
      <c r="J2232" s="362" t="s">
        <v>10</v>
      </c>
      <c r="K2232" s="362" t="s">
        <v>128</v>
      </c>
      <c r="L2232" s="362" t="s">
        <v>62</v>
      </c>
      <c r="M2232" s="362"/>
      <c r="N2232" s="579"/>
      <c r="O2232" s="635"/>
      <c r="P2232" s="636"/>
    </row>
    <row r="2233" spans="1:16" s="372" customFormat="1" ht="14" outlineLevel="2">
      <c r="A2233" s="405" t="s">
        <v>8</v>
      </c>
      <c r="B2233" s="415" t="s">
        <v>1239</v>
      </c>
      <c r="C2233" s="397" t="s">
        <v>1257</v>
      </c>
      <c r="D2233" s="398"/>
      <c r="E2233" s="398"/>
      <c r="F2233" s="398"/>
      <c r="G2233" s="398">
        <f t="shared" si="561"/>
        <v>0</v>
      </c>
      <c r="H2233" s="398">
        <f t="shared" si="562"/>
        <v>0</v>
      </c>
      <c r="I2233" s="399"/>
      <c r="J2233" s="362" t="s">
        <v>10</v>
      </c>
      <c r="K2233" s="362" t="s">
        <v>128</v>
      </c>
      <c r="L2233" s="362" t="s">
        <v>62</v>
      </c>
      <c r="M2233" s="362"/>
      <c r="N2233" s="579"/>
      <c r="O2233" s="635"/>
      <c r="P2233" s="636"/>
    </row>
    <row r="2234" spans="1:16" s="372" customFormat="1" ht="14" outlineLevel="2">
      <c r="A2234" s="405" t="s">
        <v>8</v>
      </c>
      <c r="B2234" s="415" t="s">
        <v>1240</v>
      </c>
      <c r="C2234" s="397" t="s">
        <v>50</v>
      </c>
      <c r="D2234" s="398"/>
      <c r="E2234" s="398"/>
      <c r="F2234" s="398"/>
      <c r="G2234" s="398">
        <f t="shared" si="561"/>
        <v>0</v>
      </c>
      <c r="H2234" s="398">
        <f t="shared" si="562"/>
        <v>0</v>
      </c>
      <c r="I2234" s="399"/>
      <c r="J2234" s="362" t="s">
        <v>10</v>
      </c>
      <c r="K2234" s="362" t="s">
        <v>128</v>
      </c>
      <c r="L2234" s="362" t="s">
        <v>62</v>
      </c>
      <c r="M2234" s="362"/>
      <c r="N2234" s="579"/>
      <c r="O2234" s="635"/>
      <c r="P2234" s="636"/>
    </row>
    <row r="2235" spans="1:16" s="372" customFormat="1" ht="14" outlineLevel="2">
      <c r="A2235" s="405" t="s">
        <v>8</v>
      </c>
      <c r="B2235" s="415" t="s">
        <v>1241</v>
      </c>
      <c r="C2235" s="397" t="s">
        <v>50</v>
      </c>
      <c r="D2235" s="398"/>
      <c r="E2235" s="398"/>
      <c r="F2235" s="398"/>
      <c r="G2235" s="398">
        <f t="shared" si="561"/>
        <v>0</v>
      </c>
      <c r="H2235" s="398">
        <f t="shared" si="562"/>
        <v>0</v>
      </c>
      <c r="I2235" s="399"/>
      <c r="J2235" s="362" t="s">
        <v>10</v>
      </c>
      <c r="K2235" s="362" t="s">
        <v>128</v>
      </c>
      <c r="L2235" s="362" t="s">
        <v>62</v>
      </c>
      <c r="M2235" s="362"/>
      <c r="N2235" s="579"/>
      <c r="O2235" s="635"/>
      <c r="P2235" s="636"/>
    </row>
    <row r="2236" spans="1:16" s="372" customFormat="1" ht="14" outlineLevel="2">
      <c r="A2236" s="405" t="s">
        <v>8</v>
      </c>
      <c r="B2236" s="415" t="s">
        <v>1242</v>
      </c>
      <c r="C2236" s="397" t="s">
        <v>50</v>
      </c>
      <c r="D2236" s="398"/>
      <c r="E2236" s="398"/>
      <c r="F2236" s="398"/>
      <c r="G2236" s="398">
        <f t="shared" si="561"/>
        <v>0</v>
      </c>
      <c r="H2236" s="398">
        <f t="shared" si="562"/>
        <v>0</v>
      </c>
      <c r="I2236" s="399"/>
      <c r="J2236" s="362" t="s">
        <v>10</v>
      </c>
      <c r="K2236" s="362" t="s">
        <v>128</v>
      </c>
      <c r="L2236" s="362" t="s">
        <v>62</v>
      </c>
      <c r="M2236" s="362"/>
      <c r="N2236" s="579"/>
      <c r="O2236" s="635"/>
      <c r="P2236" s="636"/>
    </row>
    <row r="2237" spans="1:16" s="372" customFormat="1" ht="14" outlineLevel="2">
      <c r="A2237" s="405" t="s">
        <v>8</v>
      </c>
      <c r="B2237" s="415" t="s">
        <v>1243</v>
      </c>
      <c r="C2237" s="397" t="s">
        <v>1257</v>
      </c>
      <c r="D2237" s="398"/>
      <c r="E2237" s="398"/>
      <c r="F2237" s="398"/>
      <c r="G2237" s="398">
        <f t="shared" si="561"/>
        <v>0</v>
      </c>
      <c r="H2237" s="398">
        <f t="shared" si="562"/>
        <v>0</v>
      </c>
      <c r="I2237" s="399"/>
      <c r="J2237" s="362" t="s">
        <v>10</v>
      </c>
      <c r="K2237" s="362" t="s">
        <v>128</v>
      </c>
      <c r="L2237" s="362" t="s">
        <v>62</v>
      </c>
      <c r="M2237" s="362"/>
      <c r="N2237" s="579"/>
      <c r="O2237" s="635"/>
      <c r="P2237" s="636"/>
    </row>
    <row r="2238" spans="1:16" s="372" customFormat="1" ht="14" outlineLevel="2">
      <c r="A2238" s="405" t="s">
        <v>8</v>
      </c>
      <c r="B2238" s="415" t="s">
        <v>1244</v>
      </c>
      <c r="C2238" s="397" t="s">
        <v>1257</v>
      </c>
      <c r="D2238" s="398"/>
      <c r="E2238" s="398"/>
      <c r="F2238" s="398"/>
      <c r="G2238" s="398">
        <f t="shared" si="561"/>
        <v>0</v>
      </c>
      <c r="H2238" s="398">
        <f t="shared" si="562"/>
        <v>0</v>
      </c>
      <c r="I2238" s="399"/>
      <c r="J2238" s="362" t="s">
        <v>10</v>
      </c>
      <c r="K2238" s="362" t="s">
        <v>128</v>
      </c>
      <c r="L2238" s="362" t="s">
        <v>62</v>
      </c>
      <c r="M2238" s="362"/>
      <c r="N2238" s="579"/>
      <c r="O2238" s="635"/>
      <c r="P2238" s="636"/>
    </row>
    <row r="2239" spans="1:16" s="372" customFormat="1" ht="14" outlineLevel="2">
      <c r="A2239" s="405"/>
      <c r="B2239" s="415" t="s">
        <v>1426</v>
      </c>
      <c r="C2239" s="397" t="s">
        <v>1430</v>
      </c>
      <c r="D2239" s="398">
        <v>8</v>
      </c>
      <c r="E2239" s="398">
        <v>57</v>
      </c>
      <c r="F2239" s="398">
        <v>1110</v>
      </c>
      <c r="G2239" s="398">
        <f t="shared" si="561"/>
        <v>8880</v>
      </c>
      <c r="H2239" s="398">
        <f t="shared" si="562"/>
        <v>63270</v>
      </c>
      <c r="I2239" s="399"/>
      <c r="J2239" s="362" t="s">
        <v>10</v>
      </c>
      <c r="K2239" s="362" t="s">
        <v>128</v>
      </c>
      <c r="L2239" s="362" t="s">
        <v>62</v>
      </c>
      <c r="M2239" s="362"/>
      <c r="N2239" s="579"/>
      <c r="O2239" s="635"/>
      <c r="P2239" s="636"/>
    </row>
    <row r="2240" spans="1:16" s="372" customFormat="1" ht="14" outlineLevel="2">
      <c r="A2240" s="405" t="s">
        <v>8</v>
      </c>
      <c r="B2240" s="415" t="s">
        <v>1427</v>
      </c>
      <c r="C2240" s="397" t="s">
        <v>1430</v>
      </c>
      <c r="D2240" s="398">
        <v>8</v>
      </c>
      <c r="E2240" s="398">
        <v>57</v>
      </c>
      <c r="F2240" s="398">
        <v>1110</v>
      </c>
      <c r="G2240" s="398">
        <f t="shared" si="561"/>
        <v>8880</v>
      </c>
      <c r="H2240" s="398">
        <f t="shared" si="562"/>
        <v>63270</v>
      </c>
      <c r="I2240" s="399"/>
      <c r="J2240" s="362" t="s">
        <v>10</v>
      </c>
      <c r="K2240" s="362" t="s">
        <v>128</v>
      </c>
      <c r="L2240" s="362" t="s">
        <v>62</v>
      </c>
      <c r="M2240" s="362"/>
      <c r="N2240" s="579"/>
      <c r="O2240" s="635"/>
      <c r="P2240" s="636"/>
    </row>
    <row r="2241" spans="1:16" s="372" customFormat="1" ht="14" outlineLevel="2">
      <c r="A2241" s="405"/>
      <c r="B2241" s="415" t="s">
        <v>1428</v>
      </c>
      <c r="C2241" s="397" t="s">
        <v>1430</v>
      </c>
      <c r="D2241" s="398">
        <v>8</v>
      </c>
      <c r="E2241" s="398">
        <v>57</v>
      </c>
      <c r="F2241" s="398">
        <v>1110</v>
      </c>
      <c r="G2241" s="398">
        <f t="shared" si="561"/>
        <v>8880</v>
      </c>
      <c r="H2241" s="398">
        <f t="shared" si="562"/>
        <v>63270</v>
      </c>
      <c r="I2241" s="399"/>
      <c r="J2241" s="362" t="s">
        <v>10</v>
      </c>
      <c r="K2241" s="362" t="s">
        <v>128</v>
      </c>
      <c r="L2241" s="362" t="s">
        <v>62</v>
      </c>
      <c r="M2241" s="362"/>
      <c r="N2241" s="579"/>
      <c r="O2241" s="635"/>
      <c r="P2241" s="636"/>
    </row>
    <row r="2242" spans="1:16" s="372" customFormat="1" ht="14" outlineLevel="2">
      <c r="A2242" s="405" t="s">
        <v>8</v>
      </c>
      <c r="B2242" s="415" t="s">
        <v>1429</v>
      </c>
      <c r="C2242" s="397" t="s">
        <v>40</v>
      </c>
      <c r="D2242" s="398">
        <v>8</v>
      </c>
      <c r="E2242" s="398">
        <v>57</v>
      </c>
      <c r="F2242" s="398">
        <v>15155</v>
      </c>
      <c r="G2242" s="398">
        <f t="shared" si="561"/>
        <v>121240</v>
      </c>
      <c r="H2242" s="398">
        <f t="shared" si="562"/>
        <v>863835</v>
      </c>
      <c r="I2242" s="399"/>
      <c r="J2242" s="362" t="s">
        <v>10</v>
      </c>
      <c r="K2242" s="362" t="s">
        <v>128</v>
      </c>
      <c r="L2242" s="362" t="s">
        <v>62</v>
      </c>
      <c r="M2242" s="362"/>
      <c r="N2242" s="579"/>
      <c r="O2242" s="635"/>
      <c r="P2242" s="636"/>
    </row>
    <row r="2243" spans="1:16" s="385" customFormat="1" ht="14" outlineLevel="1">
      <c r="A2243" s="388">
        <v>6</v>
      </c>
      <c r="B2243" s="669" t="s">
        <v>1259</v>
      </c>
      <c r="C2243" s="403"/>
      <c r="D2243" s="391"/>
      <c r="E2243" s="391"/>
      <c r="F2243" s="409"/>
      <c r="G2243" s="391">
        <f>SUBTOTAL(9,G2244:G2264)</f>
        <v>136680</v>
      </c>
      <c r="H2243" s="391">
        <f>SUBTOTAL(9,H2244:H2264)</f>
        <v>88440</v>
      </c>
      <c r="I2243" s="392"/>
      <c r="J2243" s="362"/>
      <c r="K2243" s="362"/>
      <c r="L2243" s="362"/>
      <c r="M2243" s="383"/>
      <c r="N2243" s="579"/>
      <c r="O2243" s="635"/>
      <c r="P2243" s="636"/>
    </row>
    <row r="2244" spans="1:16" s="372" customFormat="1" ht="14" outlineLevel="2">
      <c r="A2244" s="405" t="s">
        <v>8</v>
      </c>
      <c r="B2244" s="415" t="s">
        <v>1228</v>
      </c>
      <c r="C2244" s="397" t="s">
        <v>1257</v>
      </c>
      <c r="D2244" s="398"/>
      <c r="E2244" s="398"/>
      <c r="F2244" s="398"/>
      <c r="G2244" s="398">
        <f t="shared" ref="G2244:G2264" si="563">F2244*D2244</f>
        <v>0</v>
      </c>
      <c r="H2244" s="398">
        <f t="shared" ref="H2244:H2264" si="564">F2244*E2244</f>
        <v>0</v>
      </c>
      <c r="I2244" s="399"/>
      <c r="J2244" s="362" t="s">
        <v>10</v>
      </c>
      <c r="K2244" s="362" t="s">
        <v>127</v>
      </c>
      <c r="L2244" s="362" t="s">
        <v>62</v>
      </c>
      <c r="M2244" s="362"/>
      <c r="N2244" s="579"/>
      <c r="O2244" s="635"/>
      <c r="P2244" s="636"/>
    </row>
    <row r="2245" spans="1:16" s="372" customFormat="1" ht="14" outlineLevel="2">
      <c r="A2245" s="405" t="s">
        <v>8</v>
      </c>
      <c r="B2245" s="415" t="s">
        <v>1229</v>
      </c>
      <c r="C2245" s="397" t="s">
        <v>1257</v>
      </c>
      <c r="D2245" s="398"/>
      <c r="E2245" s="398"/>
      <c r="F2245" s="398"/>
      <c r="G2245" s="398">
        <f t="shared" si="563"/>
        <v>0</v>
      </c>
      <c r="H2245" s="398">
        <f t="shared" si="564"/>
        <v>0</v>
      </c>
      <c r="I2245" s="399"/>
      <c r="J2245" s="362" t="s">
        <v>10</v>
      </c>
      <c r="K2245" s="362" t="s">
        <v>127</v>
      </c>
      <c r="L2245" s="362" t="s">
        <v>62</v>
      </c>
      <c r="M2245" s="362"/>
      <c r="N2245" s="579"/>
      <c r="O2245" s="635"/>
      <c r="P2245" s="636"/>
    </row>
    <row r="2246" spans="1:16" s="372" customFormat="1" ht="14" outlineLevel="2">
      <c r="A2246" s="405" t="s">
        <v>8</v>
      </c>
      <c r="B2246" s="415" t="s">
        <v>1230</v>
      </c>
      <c r="C2246" s="397" t="s">
        <v>1257</v>
      </c>
      <c r="D2246" s="398"/>
      <c r="E2246" s="398"/>
      <c r="F2246" s="398"/>
      <c r="G2246" s="398">
        <f t="shared" si="563"/>
        <v>0</v>
      </c>
      <c r="H2246" s="398">
        <f t="shared" si="564"/>
        <v>0</v>
      </c>
      <c r="I2246" s="399"/>
      <c r="J2246" s="362" t="s">
        <v>10</v>
      </c>
      <c r="K2246" s="362" t="s">
        <v>127</v>
      </c>
      <c r="L2246" s="362" t="s">
        <v>62</v>
      </c>
      <c r="M2246" s="362"/>
      <c r="N2246" s="579"/>
      <c r="O2246" s="635"/>
      <c r="P2246" s="636"/>
    </row>
    <row r="2247" spans="1:16" s="372" customFormat="1" ht="14" outlineLevel="2">
      <c r="A2247" s="405" t="s">
        <v>8</v>
      </c>
      <c r="B2247" s="415" t="s">
        <v>1231</v>
      </c>
      <c r="C2247" s="397" t="s">
        <v>1257</v>
      </c>
      <c r="D2247" s="398"/>
      <c r="E2247" s="398"/>
      <c r="F2247" s="398"/>
      <c r="G2247" s="398">
        <f t="shared" si="563"/>
        <v>0</v>
      </c>
      <c r="H2247" s="398">
        <f t="shared" si="564"/>
        <v>0</v>
      </c>
      <c r="I2247" s="399"/>
      <c r="J2247" s="362" t="s">
        <v>10</v>
      </c>
      <c r="K2247" s="362" t="s">
        <v>127</v>
      </c>
      <c r="L2247" s="362" t="s">
        <v>62</v>
      </c>
      <c r="M2247" s="362"/>
      <c r="N2247" s="579"/>
      <c r="O2247" s="635"/>
      <c r="P2247" s="636"/>
    </row>
    <row r="2248" spans="1:16" s="372" customFormat="1" ht="14" outlineLevel="2">
      <c r="A2248" s="405" t="s">
        <v>8</v>
      </c>
      <c r="B2248" s="415" t="s">
        <v>1232</v>
      </c>
      <c r="C2248" s="397" t="s">
        <v>1257</v>
      </c>
      <c r="D2248" s="398"/>
      <c r="E2248" s="398"/>
      <c r="F2248" s="398"/>
      <c r="G2248" s="398">
        <f t="shared" si="563"/>
        <v>0</v>
      </c>
      <c r="H2248" s="398">
        <f t="shared" si="564"/>
        <v>0</v>
      </c>
      <c r="I2248" s="399"/>
      <c r="J2248" s="362" t="s">
        <v>10</v>
      </c>
      <c r="K2248" s="362" t="s">
        <v>127</v>
      </c>
      <c r="L2248" s="362" t="s">
        <v>62</v>
      </c>
      <c r="M2248" s="362"/>
      <c r="N2248" s="579"/>
      <c r="O2248" s="635"/>
      <c r="P2248" s="636"/>
    </row>
    <row r="2249" spans="1:16" s="372" customFormat="1" ht="14" outlineLevel="2">
      <c r="A2249" s="405" t="s">
        <v>8</v>
      </c>
      <c r="B2249" s="415" t="s">
        <v>1233</v>
      </c>
      <c r="C2249" s="397" t="s">
        <v>1257</v>
      </c>
      <c r="D2249" s="398"/>
      <c r="E2249" s="398"/>
      <c r="F2249" s="398"/>
      <c r="G2249" s="398">
        <f t="shared" si="563"/>
        <v>0</v>
      </c>
      <c r="H2249" s="398">
        <f t="shared" si="564"/>
        <v>0</v>
      </c>
      <c r="I2249" s="399"/>
      <c r="J2249" s="362" t="s">
        <v>10</v>
      </c>
      <c r="K2249" s="362" t="s">
        <v>127</v>
      </c>
      <c r="L2249" s="362" t="s">
        <v>62</v>
      </c>
      <c r="M2249" s="362"/>
      <c r="N2249" s="579"/>
      <c r="O2249" s="635"/>
      <c r="P2249" s="636"/>
    </row>
    <row r="2250" spans="1:16" s="372" customFormat="1" ht="14" outlineLevel="2">
      <c r="A2250" s="405" t="s">
        <v>8</v>
      </c>
      <c r="B2250" s="415" t="s">
        <v>1234</v>
      </c>
      <c r="C2250" s="397" t="s">
        <v>1257</v>
      </c>
      <c r="D2250" s="398">
        <v>51</v>
      </c>
      <c r="E2250" s="398">
        <v>33</v>
      </c>
      <c r="F2250" s="398">
        <v>2400</v>
      </c>
      <c r="G2250" s="398">
        <f t="shared" si="563"/>
        <v>122400</v>
      </c>
      <c r="H2250" s="398">
        <f t="shared" si="564"/>
        <v>79200</v>
      </c>
      <c r="I2250" s="399"/>
      <c r="J2250" s="362" t="s">
        <v>10</v>
      </c>
      <c r="K2250" s="362" t="s">
        <v>127</v>
      </c>
      <c r="L2250" s="362" t="s">
        <v>62</v>
      </c>
      <c r="M2250" s="362"/>
      <c r="N2250" s="579"/>
      <c r="O2250" s="635"/>
      <c r="P2250" s="636"/>
    </row>
    <row r="2251" spans="1:16" s="372" customFormat="1" ht="14" outlineLevel="2">
      <c r="A2251" s="405" t="s">
        <v>8</v>
      </c>
      <c r="B2251" s="415" t="s">
        <v>1235</v>
      </c>
      <c r="C2251" s="397" t="s">
        <v>1257</v>
      </c>
      <c r="D2251" s="398"/>
      <c r="E2251" s="398"/>
      <c r="F2251" s="398"/>
      <c r="G2251" s="398">
        <f t="shared" si="563"/>
        <v>0</v>
      </c>
      <c r="H2251" s="398">
        <f t="shared" si="564"/>
        <v>0</v>
      </c>
      <c r="I2251" s="399"/>
      <c r="J2251" s="362" t="s">
        <v>10</v>
      </c>
      <c r="K2251" s="362" t="s">
        <v>127</v>
      </c>
      <c r="L2251" s="362" t="s">
        <v>62</v>
      </c>
      <c r="M2251" s="362"/>
      <c r="N2251" s="579"/>
      <c r="O2251" s="635"/>
      <c r="P2251" s="636"/>
    </row>
    <row r="2252" spans="1:16" s="372" customFormat="1" ht="14" outlineLevel="2">
      <c r="A2252" s="405"/>
      <c r="B2252" s="415" t="s">
        <v>1236</v>
      </c>
      <c r="C2252" s="397" t="s">
        <v>1257</v>
      </c>
      <c r="D2252" s="398"/>
      <c r="E2252" s="398"/>
      <c r="F2252" s="398"/>
      <c r="G2252" s="398">
        <f t="shared" si="563"/>
        <v>0</v>
      </c>
      <c r="H2252" s="398">
        <f t="shared" si="564"/>
        <v>0</v>
      </c>
      <c r="I2252" s="399"/>
      <c r="J2252" s="362" t="s">
        <v>10</v>
      </c>
      <c r="K2252" s="362" t="s">
        <v>127</v>
      </c>
      <c r="L2252" s="362" t="s">
        <v>62</v>
      </c>
      <c r="M2252" s="362"/>
      <c r="N2252" s="579"/>
      <c r="O2252" s="635"/>
      <c r="P2252" s="636"/>
    </row>
    <row r="2253" spans="1:16" s="372" customFormat="1" ht="14" outlineLevel="2">
      <c r="A2253" s="405" t="s">
        <v>8</v>
      </c>
      <c r="B2253" s="415" t="s">
        <v>1237</v>
      </c>
      <c r="C2253" s="397" t="s">
        <v>1257</v>
      </c>
      <c r="D2253" s="398"/>
      <c r="E2253" s="398"/>
      <c r="F2253" s="398"/>
      <c r="G2253" s="398">
        <f t="shared" si="563"/>
        <v>0</v>
      </c>
      <c r="H2253" s="398">
        <f t="shared" si="564"/>
        <v>0</v>
      </c>
      <c r="I2253" s="399"/>
      <c r="J2253" s="362" t="s">
        <v>10</v>
      </c>
      <c r="K2253" s="362" t="s">
        <v>127</v>
      </c>
      <c r="L2253" s="362" t="s">
        <v>62</v>
      </c>
      <c r="M2253" s="362"/>
      <c r="N2253" s="579"/>
      <c r="O2253" s="635"/>
      <c r="P2253" s="636"/>
    </row>
    <row r="2254" spans="1:16" s="372" customFormat="1" ht="14" outlineLevel="2">
      <c r="A2254" s="405" t="s">
        <v>8</v>
      </c>
      <c r="B2254" s="415" t="s">
        <v>1238</v>
      </c>
      <c r="C2254" s="397" t="s">
        <v>1257</v>
      </c>
      <c r="D2254" s="398"/>
      <c r="E2254" s="398"/>
      <c r="F2254" s="398"/>
      <c r="G2254" s="398">
        <f t="shared" si="563"/>
        <v>0</v>
      </c>
      <c r="H2254" s="398">
        <f t="shared" si="564"/>
        <v>0</v>
      </c>
      <c r="I2254" s="399"/>
      <c r="J2254" s="362" t="s">
        <v>10</v>
      </c>
      <c r="K2254" s="362" t="s">
        <v>127</v>
      </c>
      <c r="L2254" s="362" t="s">
        <v>62</v>
      </c>
      <c r="M2254" s="362"/>
      <c r="N2254" s="579"/>
      <c r="O2254" s="635"/>
      <c r="P2254" s="636"/>
    </row>
    <row r="2255" spans="1:16" s="372" customFormat="1" ht="14" outlineLevel="2">
      <c r="A2255" s="405" t="s">
        <v>8</v>
      </c>
      <c r="B2255" s="415" t="s">
        <v>1239</v>
      </c>
      <c r="C2255" s="397" t="s">
        <v>1257</v>
      </c>
      <c r="D2255" s="398"/>
      <c r="E2255" s="398"/>
      <c r="F2255" s="398"/>
      <c r="G2255" s="398">
        <f t="shared" si="563"/>
        <v>0</v>
      </c>
      <c r="H2255" s="398">
        <f t="shared" si="564"/>
        <v>0</v>
      </c>
      <c r="I2255" s="399"/>
      <c r="J2255" s="362" t="s">
        <v>10</v>
      </c>
      <c r="K2255" s="362" t="s">
        <v>127</v>
      </c>
      <c r="L2255" s="362" t="s">
        <v>62</v>
      </c>
      <c r="M2255" s="362"/>
      <c r="N2255" s="579"/>
      <c r="O2255" s="635"/>
      <c r="P2255" s="636"/>
    </row>
    <row r="2256" spans="1:16" s="372" customFormat="1" ht="14" outlineLevel="2">
      <c r="A2256" s="405" t="s">
        <v>8</v>
      </c>
      <c r="B2256" s="415" t="s">
        <v>1240</v>
      </c>
      <c r="C2256" s="397" t="s">
        <v>50</v>
      </c>
      <c r="D2256" s="398"/>
      <c r="E2256" s="398"/>
      <c r="F2256" s="398"/>
      <c r="G2256" s="398">
        <f t="shared" si="563"/>
        <v>0</v>
      </c>
      <c r="H2256" s="398">
        <f t="shared" si="564"/>
        <v>0</v>
      </c>
      <c r="I2256" s="399"/>
      <c r="J2256" s="362" t="s">
        <v>10</v>
      </c>
      <c r="K2256" s="362" t="s">
        <v>127</v>
      </c>
      <c r="L2256" s="362" t="s">
        <v>62</v>
      </c>
      <c r="M2256" s="362"/>
      <c r="N2256" s="579"/>
      <c r="O2256" s="635"/>
      <c r="P2256" s="636"/>
    </row>
    <row r="2257" spans="1:16" s="372" customFormat="1" ht="14" outlineLevel="2">
      <c r="A2257" s="405" t="s">
        <v>8</v>
      </c>
      <c r="B2257" s="415" t="s">
        <v>1241</v>
      </c>
      <c r="C2257" s="397" t="s">
        <v>50</v>
      </c>
      <c r="D2257" s="398"/>
      <c r="E2257" s="398"/>
      <c r="F2257" s="398"/>
      <c r="G2257" s="398">
        <f t="shared" si="563"/>
        <v>0</v>
      </c>
      <c r="H2257" s="398">
        <f t="shared" si="564"/>
        <v>0</v>
      </c>
      <c r="I2257" s="399"/>
      <c r="J2257" s="362" t="s">
        <v>10</v>
      </c>
      <c r="K2257" s="362" t="s">
        <v>127</v>
      </c>
      <c r="L2257" s="362" t="s">
        <v>62</v>
      </c>
      <c r="M2257" s="362"/>
      <c r="N2257" s="579"/>
      <c r="O2257" s="635"/>
      <c r="P2257" s="636"/>
    </row>
    <row r="2258" spans="1:16" s="372" customFormat="1" ht="14" outlineLevel="2">
      <c r="A2258" s="405" t="s">
        <v>8</v>
      </c>
      <c r="B2258" s="415" t="s">
        <v>1242</v>
      </c>
      <c r="C2258" s="397" t="s">
        <v>50</v>
      </c>
      <c r="D2258" s="398"/>
      <c r="E2258" s="398"/>
      <c r="F2258" s="398"/>
      <c r="G2258" s="398">
        <f t="shared" si="563"/>
        <v>0</v>
      </c>
      <c r="H2258" s="398">
        <f t="shared" si="564"/>
        <v>0</v>
      </c>
      <c r="I2258" s="399"/>
      <c r="J2258" s="362" t="s">
        <v>10</v>
      </c>
      <c r="K2258" s="362" t="s">
        <v>127</v>
      </c>
      <c r="L2258" s="362" t="s">
        <v>62</v>
      </c>
      <c r="M2258" s="362"/>
      <c r="N2258" s="579"/>
      <c r="O2258" s="635"/>
      <c r="P2258" s="636"/>
    </row>
    <row r="2259" spans="1:16" s="372" customFormat="1" ht="14" outlineLevel="2">
      <c r="A2259" s="405" t="s">
        <v>8</v>
      </c>
      <c r="B2259" s="415" t="s">
        <v>1243</v>
      </c>
      <c r="C2259" s="397" t="s">
        <v>1257</v>
      </c>
      <c r="D2259" s="398"/>
      <c r="E2259" s="398"/>
      <c r="F2259" s="398"/>
      <c r="G2259" s="398">
        <f t="shared" si="563"/>
        <v>0</v>
      </c>
      <c r="H2259" s="398">
        <f t="shared" si="564"/>
        <v>0</v>
      </c>
      <c r="I2259" s="399"/>
      <c r="J2259" s="362" t="s">
        <v>10</v>
      </c>
      <c r="K2259" s="362" t="s">
        <v>127</v>
      </c>
      <c r="L2259" s="362" t="s">
        <v>62</v>
      </c>
      <c r="M2259" s="362"/>
      <c r="N2259" s="579"/>
      <c r="O2259" s="635"/>
      <c r="P2259" s="636"/>
    </row>
    <row r="2260" spans="1:16" s="372" customFormat="1" ht="14" outlineLevel="2">
      <c r="A2260" s="405" t="s">
        <v>8</v>
      </c>
      <c r="B2260" s="415" t="s">
        <v>1244</v>
      </c>
      <c r="C2260" s="397" t="s">
        <v>1257</v>
      </c>
      <c r="D2260" s="398"/>
      <c r="E2260" s="398"/>
      <c r="F2260" s="398"/>
      <c r="G2260" s="398">
        <f t="shared" si="563"/>
        <v>0</v>
      </c>
      <c r="H2260" s="398">
        <f t="shared" si="564"/>
        <v>0</v>
      </c>
      <c r="I2260" s="399"/>
      <c r="J2260" s="362" t="s">
        <v>10</v>
      </c>
      <c r="K2260" s="362" t="s">
        <v>127</v>
      </c>
      <c r="L2260" s="362" t="s">
        <v>62</v>
      </c>
      <c r="M2260" s="362"/>
      <c r="N2260" s="579"/>
      <c r="O2260" s="635"/>
      <c r="P2260" s="636"/>
    </row>
    <row r="2261" spans="1:16" s="372" customFormat="1" ht="14" outlineLevel="2">
      <c r="A2261" s="405"/>
      <c r="B2261" s="703" t="s">
        <v>1431</v>
      </c>
      <c r="C2261" s="397" t="s">
        <v>1247</v>
      </c>
      <c r="D2261" s="398">
        <v>51</v>
      </c>
      <c r="E2261" s="398">
        <v>33</v>
      </c>
      <c r="F2261" s="320">
        <v>140</v>
      </c>
      <c r="G2261" s="398">
        <f t="shared" si="563"/>
        <v>7140</v>
      </c>
      <c r="H2261" s="398">
        <f t="shared" si="564"/>
        <v>4620</v>
      </c>
      <c r="I2261" s="399"/>
      <c r="J2261" s="362" t="s">
        <v>10</v>
      </c>
      <c r="K2261" s="362" t="s">
        <v>127</v>
      </c>
      <c r="L2261" s="362" t="s">
        <v>62</v>
      </c>
      <c r="M2261" s="362"/>
      <c r="N2261" s="579"/>
      <c r="O2261" s="635"/>
      <c r="P2261" s="636"/>
    </row>
    <row r="2262" spans="1:16" s="372" customFormat="1" ht="14" outlineLevel="2">
      <c r="A2262" s="405" t="s">
        <v>8</v>
      </c>
      <c r="B2262" s="415" t="s">
        <v>1255</v>
      </c>
      <c r="C2262" s="397" t="s">
        <v>1257</v>
      </c>
      <c r="D2262" s="398"/>
      <c r="E2262" s="398"/>
      <c r="F2262" s="398"/>
      <c r="G2262" s="398">
        <f t="shared" si="563"/>
        <v>0</v>
      </c>
      <c r="H2262" s="398">
        <f t="shared" si="564"/>
        <v>0</v>
      </c>
      <c r="I2262" s="399"/>
      <c r="J2262" s="362" t="s">
        <v>10</v>
      </c>
      <c r="K2262" s="362" t="s">
        <v>127</v>
      </c>
      <c r="L2262" s="362" t="s">
        <v>62</v>
      </c>
      <c r="M2262" s="362"/>
      <c r="N2262" s="579"/>
      <c r="O2262" s="635"/>
      <c r="P2262" s="636"/>
    </row>
    <row r="2263" spans="1:16" s="372" customFormat="1" ht="14" outlineLevel="2">
      <c r="A2263" s="405"/>
      <c r="B2263" s="415" t="s">
        <v>1246</v>
      </c>
      <c r="C2263" s="397" t="s">
        <v>1248</v>
      </c>
      <c r="D2263" s="398"/>
      <c r="E2263" s="398"/>
      <c r="F2263" s="398"/>
      <c r="G2263" s="398">
        <f t="shared" si="563"/>
        <v>0</v>
      </c>
      <c r="H2263" s="398">
        <f t="shared" si="564"/>
        <v>0</v>
      </c>
      <c r="I2263" s="399"/>
      <c r="J2263" s="362" t="s">
        <v>10</v>
      </c>
      <c r="K2263" s="362" t="s">
        <v>127</v>
      </c>
      <c r="L2263" s="362" t="s">
        <v>62</v>
      </c>
      <c r="M2263" s="362"/>
      <c r="N2263" s="579"/>
      <c r="O2263" s="635"/>
      <c r="P2263" s="636"/>
    </row>
    <row r="2264" spans="1:16" s="372" customFormat="1" ht="14" outlineLevel="2">
      <c r="A2264" s="405" t="s">
        <v>8</v>
      </c>
      <c r="B2264" s="415" t="s">
        <v>1256</v>
      </c>
      <c r="C2264" s="397" t="s">
        <v>1248</v>
      </c>
      <c r="D2264" s="398">
        <v>51</v>
      </c>
      <c r="E2264" s="398">
        <v>33</v>
      </c>
      <c r="F2264" s="320">
        <v>140</v>
      </c>
      <c r="G2264" s="398">
        <f t="shared" si="563"/>
        <v>7140</v>
      </c>
      <c r="H2264" s="398">
        <f t="shared" si="564"/>
        <v>4620</v>
      </c>
      <c r="I2264" s="399"/>
      <c r="J2264" s="362" t="s">
        <v>10</v>
      </c>
      <c r="K2264" s="362" t="s">
        <v>127</v>
      </c>
      <c r="L2264" s="362" t="s">
        <v>62</v>
      </c>
      <c r="M2264" s="362"/>
      <c r="N2264" s="579"/>
      <c r="O2264" s="635"/>
      <c r="P2264" s="636"/>
    </row>
    <row r="2265" spans="1:16" s="385" customFormat="1" ht="14" outlineLevel="1">
      <c r="A2265" s="388">
        <v>7</v>
      </c>
      <c r="B2265" s="669" t="s">
        <v>1260</v>
      </c>
      <c r="C2265" s="403"/>
      <c r="D2265" s="391"/>
      <c r="E2265" s="391"/>
      <c r="F2265" s="409"/>
      <c r="G2265" s="391">
        <f>SUBTOTAL(9,G2266:G2286)</f>
        <v>21440</v>
      </c>
      <c r="H2265" s="391">
        <f>SUBTOTAL(9,H2266:H2286)</f>
        <v>152760</v>
      </c>
      <c r="I2265" s="392"/>
      <c r="J2265" s="362"/>
      <c r="K2265" s="362"/>
      <c r="L2265" s="362"/>
      <c r="M2265" s="383"/>
      <c r="N2265" s="579"/>
      <c r="O2265" s="635"/>
      <c r="P2265" s="636"/>
    </row>
    <row r="2266" spans="1:16" s="372" customFormat="1" ht="14" outlineLevel="2">
      <c r="A2266" s="405" t="s">
        <v>8</v>
      </c>
      <c r="B2266" s="415" t="s">
        <v>1228</v>
      </c>
      <c r="C2266" s="397" t="s">
        <v>1257</v>
      </c>
      <c r="D2266" s="398"/>
      <c r="E2266" s="398"/>
      <c r="F2266" s="398"/>
      <c r="G2266" s="398">
        <f t="shared" ref="G2266:G2286" si="565">F2266*D2266</f>
        <v>0</v>
      </c>
      <c r="H2266" s="398">
        <f t="shared" ref="H2266:H2286" si="566">F2266*E2266</f>
        <v>0</v>
      </c>
      <c r="I2266" s="399"/>
      <c r="J2266" s="362" t="s">
        <v>10</v>
      </c>
      <c r="K2266" s="362" t="s">
        <v>128</v>
      </c>
      <c r="L2266" s="362" t="s">
        <v>62</v>
      </c>
      <c r="M2266" s="362"/>
      <c r="N2266" s="579"/>
      <c r="O2266" s="635"/>
      <c r="P2266" s="636"/>
    </row>
    <row r="2267" spans="1:16" s="372" customFormat="1" ht="14" outlineLevel="2">
      <c r="A2267" s="405" t="s">
        <v>8</v>
      </c>
      <c r="B2267" s="415" t="s">
        <v>1229</v>
      </c>
      <c r="C2267" s="397" t="s">
        <v>1257</v>
      </c>
      <c r="D2267" s="398"/>
      <c r="E2267" s="398"/>
      <c r="F2267" s="398"/>
      <c r="G2267" s="398">
        <f t="shared" si="565"/>
        <v>0</v>
      </c>
      <c r="H2267" s="398">
        <f t="shared" si="566"/>
        <v>0</v>
      </c>
      <c r="I2267" s="399"/>
      <c r="J2267" s="362" t="s">
        <v>10</v>
      </c>
      <c r="K2267" s="362" t="s">
        <v>128</v>
      </c>
      <c r="L2267" s="362" t="s">
        <v>62</v>
      </c>
      <c r="M2267" s="362"/>
      <c r="N2267" s="579"/>
      <c r="O2267" s="635"/>
      <c r="P2267" s="636"/>
    </row>
    <row r="2268" spans="1:16" s="372" customFormat="1" ht="14" outlineLevel="2">
      <c r="A2268" s="405" t="s">
        <v>8</v>
      </c>
      <c r="B2268" s="415" t="s">
        <v>1230</v>
      </c>
      <c r="C2268" s="397" t="s">
        <v>1257</v>
      </c>
      <c r="D2268" s="398"/>
      <c r="E2268" s="398"/>
      <c r="F2268" s="398"/>
      <c r="G2268" s="398">
        <f t="shared" si="565"/>
        <v>0</v>
      </c>
      <c r="H2268" s="398">
        <f t="shared" si="566"/>
        <v>0</v>
      </c>
      <c r="I2268" s="399"/>
      <c r="J2268" s="362" t="s">
        <v>10</v>
      </c>
      <c r="K2268" s="362" t="s">
        <v>128</v>
      </c>
      <c r="L2268" s="362" t="s">
        <v>62</v>
      </c>
      <c r="M2268" s="362"/>
      <c r="N2268" s="579"/>
      <c r="O2268" s="635"/>
      <c r="P2268" s="636"/>
    </row>
    <row r="2269" spans="1:16" s="372" customFormat="1" ht="14" outlineLevel="2">
      <c r="A2269" s="405" t="s">
        <v>8</v>
      </c>
      <c r="B2269" s="415" t="s">
        <v>1231</v>
      </c>
      <c r="C2269" s="397" t="s">
        <v>1257</v>
      </c>
      <c r="D2269" s="398"/>
      <c r="E2269" s="398"/>
      <c r="F2269" s="398"/>
      <c r="G2269" s="398">
        <f t="shared" si="565"/>
        <v>0</v>
      </c>
      <c r="H2269" s="398">
        <f t="shared" si="566"/>
        <v>0</v>
      </c>
      <c r="I2269" s="399"/>
      <c r="J2269" s="362" t="s">
        <v>10</v>
      </c>
      <c r="K2269" s="362" t="s">
        <v>128</v>
      </c>
      <c r="L2269" s="362" t="s">
        <v>62</v>
      </c>
      <c r="M2269" s="362"/>
      <c r="N2269" s="579"/>
      <c r="O2269" s="635"/>
      <c r="P2269" s="636"/>
    </row>
    <row r="2270" spans="1:16" s="372" customFormat="1" ht="14" outlineLevel="2">
      <c r="A2270" s="405" t="s">
        <v>8</v>
      </c>
      <c r="B2270" s="415" t="s">
        <v>1232</v>
      </c>
      <c r="C2270" s="397" t="s">
        <v>1257</v>
      </c>
      <c r="D2270" s="398"/>
      <c r="E2270" s="398"/>
      <c r="F2270" s="398"/>
      <c r="G2270" s="398">
        <f t="shared" si="565"/>
        <v>0</v>
      </c>
      <c r="H2270" s="398">
        <f t="shared" si="566"/>
        <v>0</v>
      </c>
      <c r="I2270" s="399"/>
      <c r="J2270" s="362" t="s">
        <v>10</v>
      </c>
      <c r="K2270" s="362" t="s">
        <v>128</v>
      </c>
      <c r="L2270" s="362" t="s">
        <v>62</v>
      </c>
      <c r="M2270" s="362"/>
      <c r="N2270" s="579"/>
      <c r="O2270" s="635"/>
      <c r="P2270" s="636"/>
    </row>
    <row r="2271" spans="1:16" s="372" customFormat="1" ht="14" outlineLevel="2">
      <c r="A2271" s="405" t="s">
        <v>8</v>
      </c>
      <c r="B2271" s="415" t="s">
        <v>1233</v>
      </c>
      <c r="C2271" s="397" t="s">
        <v>1257</v>
      </c>
      <c r="D2271" s="398"/>
      <c r="E2271" s="398"/>
      <c r="F2271" s="398"/>
      <c r="G2271" s="398">
        <f t="shared" si="565"/>
        <v>0</v>
      </c>
      <c r="H2271" s="398">
        <f t="shared" si="566"/>
        <v>0</v>
      </c>
      <c r="I2271" s="399"/>
      <c r="J2271" s="362" t="s">
        <v>10</v>
      </c>
      <c r="K2271" s="362" t="s">
        <v>128</v>
      </c>
      <c r="L2271" s="362" t="s">
        <v>62</v>
      </c>
      <c r="M2271" s="362"/>
      <c r="N2271" s="579"/>
      <c r="O2271" s="635"/>
      <c r="P2271" s="636"/>
    </row>
    <row r="2272" spans="1:16" s="372" customFormat="1" ht="14" outlineLevel="2">
      <c r="A2272" s="405" t="s">
        <v>8</v>
      </c>
      <c r="B2272" s="415" t="s">
        <v>1234</v>
      </c>
      <c r="C2272" s="397" t="s">
        <v>1257</v>
      </c>
      <c r="D2272" s="398">
        <v>8</v>
      </c>
      <c r="E2272" s="398">
        <v>57</v>
      </c>
      <c r="F2272" s="398">
        <v>2400</v>
      </c>
      <c r="G2272" s="398">
        <f t="shared" si="565"/>
        <v>19200</v>
      </c>
      <c r="H2272" s="398">
        <f t="shared" si="566"/>
        <v>136800</v>
      </c>
      <c r="I2272" s="399"/>
      <c r="J2272" s="362" t="s">
        <v>10</v>
      </c>
      <c r="K2272" s="362" t="s">
        <v>128</v>
      </c>
      <c r="L2272" s="362" t="s">
        <v>62</v>
      </c>
      <c r="M2272" s="362"/>
      <c r="N2272" s="579"/>
      <c r="O2272" s="635"/>
      <c r="P2272" s="636"/>
    </row>
    <row r="2273" spans="1:16" s="372" customFormat="1" ht="14" outlineLevel="2">
      <c r="A2273" s="405" t="s">
        <v>8</v>
      </c>
      <c r="B2273" s="415" t="s">
        <v>1235</v>
      </c>
      <c r="C2273" s="397" t="s">
        <v>1257</v>
      </c>
      <c r="D2273" s="398"/>
      <c r="E2273" s="398"/>
      <c r="F2273" s="398"/>
      <c r="G2273" s="398">
        <f t="shared" si="565"/>
        <v>0</v>
      </c>
      <c r="H2273" s="398">
        <f t="shared" si="566"/>
        <v>0</v>
      </c>
      <c r="I2273" s="399"/>
      <c r="J2273" s="362" t="s">
        <v>10</v>
      </c>
      <c r="K2273" s="362" t="s">
        <v>128</v>
      </c>
      <c r="L2273" s="362" t="s">
        <v>62</v>
      </c>
      <c r="M2273" s="362"/>
      <c r="N2273" s="579"/>
      <c r="O2273" s="635"/>
      <c r="P2273" s="636"/>
    </row>
    <row r="2274" spans="1:16" s="372" customFormat="1" ht="14" outlineLevel="2">
      <c r="A2274" s="405"/>
      <c r="B2274" s="415" t="s">
        <v>1236</v>
      </c>
      <c r="C2274" s="397" t="s">
        <v>1257</v>
      </c>
      <c r="D2274" s="398"/>
      <c r="E2274" s="398"/>
      <c r="F2274" s="398"/>
      <c r="G2274" s="398">
        <f t="shared" si="565"/>
        <v>0</v>
      </c>
      <c r="H2274" s="398">
        <f t="shared" si="566"/>
        <v>0</v>
      </c>
      <c r="I2274" s="399"/>
      <c r="J2274" s="362" t="s">
        <v>10</v>
      </c>
      <c r="K2274" s="362" t="s">
        <v>128</v>
      </c>
      <c r="L2274" s="362" t="s">
        <v>62</v>
      </c>
      <c r="M2274" s="362"/>
      <c r="N2274" s="579"/>
      <c r="O2274" s="635"/>
      <c r="P2274" s="636"/>
    </row>
    <row r="2275" spans="1:16" s="372" customFormat="1" ht="14" outlineLevel="2">
      <c r="A2275" s="405" t="s">
        <v>8</v>
      </c>
      <c r="B2275" s="415" t="s">
        <v>1237</v>
      </c>
      <c r="C2275" s="397" t="s">
        <v>1257</v>
      </c>
      <c r="D2275" s="398"/>
      <c r="E2275" s="398"/>
      <c r="F2275" s="398"/>
      <c r="G2275" s="398">
        <f t="shared" si="565"/>
        <v>0</v>
      </c>
      <c r="H2275" s="398">
        <f t="shared" si="566"/>
        <v>0</v>
      </c>
      <c r="I2275" s="399"/>
      <c r="J2275" s="362" t="s">
        <v>10</v>
      </c>
      <c r="K2275" s="362" t="s">
        <v>128</v>
      </c>
      <c r="L2275" s="362" t="s">
        <v>62</v>
      </c>
      <c r="M2275" s="362"/>
      <c r="N2275" s="579"/>
      <c r="O2275" s="635"/>
      <c r="P2275" s="636"/>
    </row>
    <row r="2276" spans="1:16" s="372" customFormat="1" ht="14" outlineLevel="2">
      <c r="A2276" s="405" t="s">
        <v>8</v>
      </c>
      <c r="B2276" s="415" t="s">
        <v>1238</v>
      </c>
      <c r="C2276" s="397" t="s">
        <v>1257</v>
      </c>
      <c r="D2276" s="398"/>
      <c r="E2276" s="398"/>
      <c r="F2276" s="398"/>
      <c r="G2276" s="398">
        <f t="shared" si="565"/>
        <v>0</v>
      </c>
      <c r="H2276" s="398">
        <f t="shared" si="566"/>
        <v>0</v>
      </c>
      <c r="I2276" s="399"/>
      <c r="J2276" s="362" t="s">
        <v>10</v>
      </c>
      <c r="K2276" s="362" t="s">
        <v>128</v>
      </c>
      <c r="L2276" s="362" t="s">
        <v>62</v>
      </c>
      <c r="M2276" s="362"/>
      <c r="N2276" s="579"/>
      <c r="O2276" s="635"/>
      <c r="P2276" s="636"/>
    </row>
    <row r="2277" spans="1:16" s="372" customFormat="1" ht="14" outlineLevel="2">
      <c r="A2277" s="405" t="s">
        <v>8</v>
      </c>
      <c r="B2277" s="415" t="s">
        <v>1239</v>
      </c>
      <c r="C2277" s="397" t="s">
        <v>1257</v>
      </c>
      <c r="D2277" s="398"/>
      <c r="E2277" s="398"/>
      <c r="F2277" s="398"/>
      <c r="G2277" s="398">
        <f t="shared" si="565"/>
        <v>0</v>
      </c>
      <c r="H2277" s="398">
        <f t="shared" si="566"/>
        <v>0</v>
      </c>
      <c r="I2277" s="399"/>
      <c r="J2277" s="362" t="s">
        <v>10</v>
      </c>
      <c r="K2277" s="362" t="s">
        <v>128</v>
      </c>
      <c r="L2277" s="362" t="s">
        <v>62</v>
      </c>
      <c r="M2277" s="362"/>
      <c r="N2277" s="579"/>
      <c r="O2277" s="635"/>
      <c r="P2277" s="636"/>
    </row>
    <row r="2278" spans="1:16" s="372" customFormat="1" ht="14" outlineLevel="2">
      <c r="A2278" s="405" t="s">
        <v>8</v>
      </c>
      <c r="B2278" s="415" t="s">
        <v>1240</v>
      </c>
      <c r="C2278" s="397" t="s">
        <v>50</v>
      </c>
      <c r="D2278" s="398"/>
      <c r="E2278" s="398"/>
      <c r="F2278" s="398"/>
      <c r="G2278" s="398">
        <f t="shared" si="565"/>
        <v>0</v>
      </c>
      <c r="H2278" s="398">
        <f t="shared" si="566"/>
        <v>0</v>
      </c>
      <c r="I2278" s="399"/>
      <c r="J2278" s="362" t="s">
        <v>10</v>
      </c>
      <c r="K2278" s="362" t="s">
        <v>128</v>
      </c>
      <c r="L2278" s="362" t="s">
        <v>62</v>
      </c>
      <c r="M2278" s="362"/>
      <c r="N2278" s="579"/>
      <c r="O2278" s="635"/>
      <c r="P2278" s="636"/>
    </row>
    <row r="2279" spans="1:16" s="372" customFormat="1" ht="14" outlineLevel="2">
      <c r="A2279" s="405" t="s">
        <v>8</v>
      </c>
      <c r="B2279" s="415" t="s">
        <v>1241</v>
      </c>
      <c r="C2279" s="397" t="s">
        <v>50</v>
      </c>
      <c r="D2279" s="398"/>
      <c r="E2279" s="398"/>
      <c r="F2279" s="398"/>
      <c r="G2279" s="398">
        <f t="shared" si="565"/>
        <v>0</v>
      </c>
      <c r="H2279" s="398">
        <f t="shared" si="566"/>
        <v>0</v>
      </c>
      <c r="I2279" s="399"/>
      <c r="J2279" s="362" t="s">
        <v>10</v>
      </c>
      <c r="K2279" s="362" t="s">
        <v>128</v>
      </c>
      <c r="L2279" s="362" t="s">
        <v>62</v>
      </c>
      <c r="M2279" s="362"/>
      <c r="N2279" s="579"/>
      <c r="O2279" s="635"/>
      <c r="P2279" s="636"/>
    </row>
    <row r="2280" spans="1:16" s="372" customFormat="1" ht="14" outlineLevel="2">
      <c r="A2280" s="405" t="s">
        <v>8</v>
      </c>
      <c r="B2280" s="415" t="s">
        <v>1242</v>
      </c>
      <c r="C2280" s="397" t="s">
        <v>50</v>
      </c>
      <c r="D2280" s="398"/>
      <c r="E2280" s="398"/>
      <c r="F2280" s="398"/>
      <c r="G2280" s="398">
        <f t="shared" si="565"/>
        <v>0</v>
      </c>
      <c r="H2280" s="398">
        <f t="shared" si="566"/>
        <v>0</v>
      </c>
      <c r="I2280" s="399"/>
      <c r="J2280" s="362" t="s">
        <v>10</v>
      </c>
      <c r="K2280" s="362" t="s">
        <v>128</v>
      </c>
      <c r="L2280" s="362" t="s">
        <v>62</v>
      </c>
      <c r="M2280" s="362"/>
      <c r="N2280" s="579"/>
      <c r="O2280" s="635"/>
      <c r="P2280" s="636"/>
    </row>
    <row r="2281" spans="1:16" s="372" customFormat="1" ht="14" outlineLevel="2">
      <c r="A2281" s="405" t="s">
        <v>8</v>
      </c>
      <c r="B2281" s="415" t="s">
        <v>1243</v>
      </c>
      <c r="C2281" s="397" t="s">
        <v>1257</v>
      </c>
      <c r="D2281" s="398"/>
      <c r="E2281" s="398"/>
      <c r="F2281" s="398"/>
      <c r="G2281" s="398">
        <f t="shared" si="565"/>
        <v>0</v>
      </c>
      <c r="H2281" s="398">
        <f t="shared" si="566"/>
        <v>0</v>
      </c>
      <c r="I2281" s="399"/>
      <c r="J2281" s="362" t="s">
        <v>10</v>
      </c>
      <c r="K2281" s="362" t="s">
        <v>128</v>
      </c>
      <c r="L2281" s="362" t="s">
        <v>62</v>
      </c>
      <c r="M2281" s="362"/>
      <c r="N2281" s="579"/>
      <c r="O2281" s="635"/>
      <c r="P2281" s="636"/>
    </row>
    <row r="2282" spans="1:16" s="372" customFormat="1" ht="14" outlineLevel="2">
      <c r="A2282" s="405" t="s">
        <v>8</v>
      </c>
      <c r="B2282" s="415" t="s">
        <v>1244</v>
      </c>
      <c r="C2282" s="397" t="s">
        <v>1257</v>
      </c>
      <c r="D2282" s="398"/>
      <c r="E2282" s="398"/>
      <c r="F2282" s="398"/>
      <c r="G2282" s="398">
        <f t="shared" si="565"/>
        <v>0</v>
      </c>
      <c r="H2282" s="398">
        <f t="shared" si="566"/>
        <v>0</v>
      </c>
      <c r="I2282" s="399"/>
      <c r="J2282" s="362" t="s">
        <v>10</v>
      </c>
      <c r="K2282" s="362" t="s">
        <v>128</v>
      </c>
      <c r="L2282" s="362" t="s">
        <v>62</v>
      </c>
      <c r="M2282" s="362"/>
      <c r="N2282" s="579"/>
      <c r="O2282" s="635"/>
      <c r="P2282" s="636"/>
    </row>
    <row r="2283" spans="1:16" s="372" customFormat="1" ht="14" outlineLevel="2">
      <c r="A2283" s="405"/>
      <c r="B2283" s="703" t="s">
        <v>1431</v>
      </c>
      <c r="C2283" s="397" t="s">
        <v>1247</v>
      </c>
      <c r="D2283" s="398">
        <v>8</v>
      </c>
      <c r="E2283" s="398">
        <v>57</v>
      </c>
      <c r="F2283" s="320">
        <v>140</v>
      </c>
      <c r="G2283" s="398">
        <f t="shared" si="565"/>
        <v>1120</v>
      </c>
      <c r="H2283" s="398">
        <f t="shared" si="566"/>
        <v>7980</v>
      </c>
      <c r="I2283" s="399"/>
      <c r="J2283" s="362" t="s">
        <v>10</v>
      </c>
      <c r="K2283" s="362" t="s">
        <v>128</v>
      </c>
      <c r="L2283" s="362" t="s">
        <v>62</v>
      </c>
      <c r="M2283" s="362"/>
      <c r="N2283" s="579"/>
      <c r="O2283" s="635"/>
      <c r="P2283" s="636"/>
    </row>
    <row r="2284" spans="1:16" s="372" customFormat="1" ht="14" outlineLevel="2">
      <c r="A2284" s="405" t="s">
        <v>8</v>
      </c>
      <c r="B2284" s="415" t="s">
        <v>1255</v>
      </c>
      <c r="C2284" s="397" t="s">
        <v>1257</v>
      </c>
      <c r="D2284" s="398"/>
      <c r="E2284" s="398"/>
      <c r="F2284" s="398"/>
      <c r="G2284" s="398">
        <f t="shared" si="565"/>
        <v>0</v>
      </c>
      <c r="H2284" s="398">
        <f t="shared" si="566"/>
        <v>0</v>
      </c>
      <c r="I2284" s="399"/>
      <c r="J2284" s="362" t="s">
        <v>10</v>
      </c>
      <c r="K2284" s="362" t="s">
        <v>128</v>
      </c>
      <c r="L2284" s="362" t="s">
        <v>62</v>
      </c>
      <c r="M2284" s="362"/>
      <c r="N2284" s="579"/>
      <c r="O2284" s="635"/>
      <c r="P2284" s="636"/>
    </row>
    <row r="2285" spans="1:16" s="372" customFormat="1" ht="14" outlineLevel="2">
      <c r="A2285" s="405"/>
      <c r="B2285" s="415" t="s">
        <v>1246</v>
      </c>
      <c r="C2285" s="397" t="s">
        <v>1248</v>
      </c>
      <c r="D2285" s="398"/>
      <c r="E2285" s="398"/>
      <c r="F2285" s="398"/>
      <c r="G2285" s="398">
        <f t="shared" si="565"/>
        <v>0</v>
      </c>
      <c r="H2285" s="398">
        <f t="shared" si="566"/>
        <v>0</v>
      </c>
      <c r="I2285" s="399"/>
      <c r="J2285" s="362" t="s">
        <v>10</v>
      </c>
      <c r="K2285" s="362" t="s">
        <v>128</v>
      </c>
      <c r="L2285" s="362" t="s">
        <v>62</v>
      </c>
      <c r="M2285" s="362"/>
      <c r="N2285" s="579"/>
      <c r="O2285" s="635"/>
      <c r="P2285" s="636"/>
    </row>
    <row r="2286" spans="1:16" s="372" customFormat="1" ht="14" outlineLevel="2">
      <c r="A2286" s="405" t="s">
        <v>8</v>
      </c>
      <c r="B2286" s="415" t="s">
        <v>1256</v>
      </c>
      <c r="C2286" s="397" t="s">
        <v>1248</v>
      </c>
      <c r="D2286" s="398">
        <v>8</v>
      </c>
      <c r="E2286" s="398">
        <v>57</v>
      </c>
      <c r="F2286" s="320">
        <v>140</v>
      </c>
      <c r="G2286" s="398">
        <f t="shared" si="565"/>
        <v>1120</v>
      </c>
      <c r="H2286" s="398">
        <f t="shared" si="566"/>
        <v>7980</v>
      </c>
      <c r="I2286" s="399"/>
      <c r="J2286" s="362" t="s">
        <v>10</v>
      </c>
      <c r="K2286" s="362" t="s">
        <v>128</v>
      </c>
      <c r="L2286" s="362" t="s">
        <v>62</v>
      </c>
      <c r="M2286" s="362"/>
      <c r="N2286" s="579"/>
      <c r="O2286" s="635"/>
      <c r="P2286" s="636"/>
    </row>
    <row r="2287" spans="1:16" s="385" customFormat="1" ht="14" outlineLevel="1">
      <c r="A2287" s="388">
        <v>6</v>
      </c>
      <c r="B2287" s="669" t="s">
        <v>1261</v>
      </c>
      <c r="C2287" s="403"/>
      <c r="D2287" s="391"/>
      <c r="E2287" s="391"/>
      <c r="F2287" s="409"/>
      <c r="G2287" s="391">
        <f>SUBTOTAL(9,G2288:G2301)</f>
        <v>53550</v>
      </c>
      <c r="H2287" s="391">
        <f>SUBTOTAL(9,H2288:H2301)</f>
        <v>34650</v>
      </c>
      <c r="I2287" s="392"/>
      <c r="J2287" s="362"/>
      <c r="K2287" s="362"/>
      <c r="L2287" s="362"/>
      <c r="M2287" s="383"/>
      <c r="N2287" s="579"/>
      <c r="O2287" s="635"/>
      <c r="P2287" s="636"/>
    </row>
    <row r="2288" spans="1:16" s="372" customFormat="1" ht="14" outlineLevel="2">
      <c r="A2288" s="405" t="s">
        <v>8</v>
      </c>
      <c r="B2288" s="415" t="s">
        <v>1263</v>
      </c>
      <c r="C2288" s="397" t="s">
        <v>1257</v>
      </c>
      <c r="D2288" s="398"/>
      <c r="E2288" s="398"/>
      <c r="F2288" s="398"/>
      <c r="G2288" s="398">
        <f t="shared" ref="G2288:G2301" si="567">F2288*D2288</f>
        <v>0</v>
      </c>
      <c r="H2288" s="398">
        <f t="shared" ref="H2288:H2301" si="568">F2288*E2288</f>
        <v>0</v>
      </c>
      <c r="I2288" s="399"/>
      <c r="J2288" s="362" t="s">
        <v>10</v>
      </c>
      <c r="K2288" s="362" t="s">
        <v>127</v>
      </c>
      <c r="L2288" s="362" t="s">
        <v>62</v>
      </c>
      <c r="M2288" s="362"/>
      <c r="N2288" s="579"/>
      <c r="O2288" s="635"/>
      <c r="P2288" s="636"/>
    </row>
    <row r="2289" spans="1:16" s="372" customFormat="1" ht="14" outlineLevel="2">
      <c r="A2289" s="405" t="s">
        <v>8</v>
      </c>
      <c r="B2289" s="415" t="s">
        <v>1264</v>
      </c>
      <c r="C2289" s="397" t="s">
        <v>1257</v>
      </c>
      <c r="D2289" s="398"/>
      <c r="E2289" s="398"/>
      <c r="F2289" s="398"/>
      <c r="G2289" s="398">
        <f t="shared" si="567"/>
        <v>0</v>
      </c>
      <c r="H2289" s="398">
        <f t="shared" si="568"/>
        <v>0</v>
      </c>
      <c r="I2289" s="399"/>
      <c r="J2289" s="362" t="s">
        <v>10</v>
      </c>
      <c r="K2289" s="362" t="s">
        <v>127</v>
      </c>
      <c r="L2289" s="362" t="s">
        <v>62</v>
      </c>
      <c r="M2289" s="362"/>
      <c r="N2289" s="579"/>
      <c r="O2289" s="635"/>
      <c r="P2289" s="636"/>
    </row>
    <row r="2290" spans="1:16" s="372" customFormat="1" ht="14" outlineLevel="2">
      <c r="A2290" s="405" t="s">
        <v>8</v>
      </c>
      <c r="B2290" s="415" t="s">
        <v>1265</v>
      </c>
      <c r="C2290" s="397" t="s">
        <v>1257</v>
      </c>
      <c r="D2290" s="398"/>
      <c r="E2290" s="398"/>
      <c r="F2290" s="398"/>
      <c r="G2290" s="398">
        <f t="shared" si="567"/>
        <v>0</v>
      </c>
      <c r="H2290" s="398">
        <f t="shared" si="568"/>
        <v>0</v>
      </c>
      <c r="I2290" s="399"/>
      <c r="J2290" s="362" t="s">
        <v>10</v>
      </c>
      <c r="K2290" s="362" t="s">
        <v>127</v>
      </c>
      <c r="L2290" s="362" t="s">
        <v>62</v>
      </c>
      <c r="M2290" s="362"/>
      <c r="N2290" s="579"/>
      <c r="O2290" s="635"/>
      <c r="P2290" s="636"/>
    </row>
    <row r="2291" spans="1:16" s="372" customFormat="1" ht="14" outlineLevel="2">
      <c r="A2291" s="405" t="s">
        <v>8</v>
      </c>
      <c r="B2291" s="415" t="s">
        <v>1266</v>
      </c>
      <c r="C2291" s="397" t="s">
        <v>1257</v>
      </c>
      <c r="D2291" s="398">
        <v>51</v>
      </c>
      <c r="E2291" s="398">
        <v>33</v>
      </c>
      <c r="F2291" s="320">
        <v>1050</v>
      </c>
      <c r="G2291" s="398">
        <f t="shared" si="567"/>
        <v>53550</v>
      </c>
      <c r="H2291" s="398">
        <f t="shared" si="568"/>
        <v>34650</v>
      </c>
      <c r="I2291" s="399"/>
      <c r="J2291" s="362" t="s">
        <v>10</v>
      </c>
      <c r="K2291" s="362" t="s">
        <v>127</v>
      </c>
      <c r="L2291" s="362" t="s">
        <v>62</v>
      </c>
      <c r="M2291" s="362"/>
      <c r="N2291" s="579"/>
      <c r="O2291" s="635"/>
      <c r="P2291" s="636"/>
    </row>
    <row r="2292" spans="1:16" s="372" customFormat="1" ht="14" outlineLevel="2">
      <c r="A2292" s="405" t="s">
        <v>8</v>
      </c>
      <c r="B2292" s="415" t="s">
        <v>1267</v>
      </c>
      <c r="C2292" s="397" t="s">
        <v>1257</v>
      </c>
      <c r="D2292" s="398"/>
      <c r="E2292" s="398"/>
      <c r="F2292" s="398"/>
      <c r="G2292" s="398">
        <f t="shared" si="567"/>
        <v>0</v>
      </c>
      <c r="H2292" s="398">
        <f t="shared" si="568"/>
        <v>0</v>
      </c>
      <c r="I2292" s="399"/>
      <c r="J2292" s="362" t="s">
        <v>10</v>
      </c>
      <c r="K2292" s="362" t="s">
        <v>127</v>
      </c>
      <c r="L2292" s="362" t="s">
        <v>62</v>
      </c>
      <c r="M2292" s="362"/>
      <c r="N2292" s="579"/>
      <c r="O2292" s="635"/>
      <c r="P2292" s="636"/>
    </row>
    <row r="2293" spans="1:16" s="372" customFormat="1" ht="14" outlineLevel="2">
      <c r="A2293" s="405" t="s">
        <v>8</v>
      </c>
      <c r="B2293" s="415" t="s">
        <v>1268</v>
      </c>
      <c r="C2293" s="397" t="s">
        <v>1257</v>
      </c>
      <c r="D2293" s="398"/>
      <c r="E2293" s="398"/>
      <c r="F2293" s="398"/>
      <c r="G2293" s="398">
        <f t="shared" si="567"/>
        <v>0</v>
      </c>
      <c r="H2293" s="398">
        <f t="shared" si="568"/>
        <v>0</v>
      </c>
      <c r="I2293" s="399"/>
      <c r="J2293" s="362" t="s">
        <v>10</v>
      </c>
      <c r="K2293" s="362" t="s">
        <v>127</v>
      </c>
      <c r="L2293" s="362" t="s">
        <v>62</v>
      </c>
      <c r="M2293" s="362"/>
      <c r="N2293" s="579"/>
      <c r="O2293" s="635"/>
      <c r="P2293" s="636"/>
    </row>
    <row r="2294" spans="1:16" s="372" customFormat="1" ht="14" outlineLevel="2">
      <c r="A2294" s="405" t="s">
        <v>8</v>
      </c>
      <c r="B2294" s="415" t="s">
        <v>1269</v>
      </c>
      <c r="C2294" s="397" t="s">
        <v>1257</v>
      </c>
      <c r="D2294" s="398"/>
      <c r="E2294" s="398"/>
      <c r="F2294" s="398"/>
      <c r="G2294" s="398">
        <f t="shared" si="567"/>
        <v>0</v>
      </c>
      <c r="H2294" s="398">
        <f t="shared" si="568"/>
        <v>0</v>
      </c>
      <c r="I2294" s="399"/>
      <c r="J2294" s="362" t="s">
        <v>10</v>
      </c>
      <c r="K2294" s="362" t="s">
        <v>127</v>
      </c>
      <c r="L2294" s="362" t="s">
        <v>62</v>
      </c>
      <c r="M2294" s="362"/>
      <c r="N2294" s="579"/>
      <c r="O2294" s="635"/>
      <c r="P2294" s="636"/>
    </row>
    <row r="2295" spans="1:16" s="372" customFormat="1" ht="14" outlineLevel="2">
      <c r="A2295" s="405" t="s">
        <v>8</v>
      </c>
      <c r="B2295" s="415" t="s">
        <v>1270</v>
      </c>
      <c r="C2295" s="397" t="s">
        <v>1257</v>
      </c>
      <c r="D2295" s="398"/>
      <c r="E2295" s="398"/>
      <c r="F2295" s="398"/>
      <c r="G2295" s="398">
        <f t="shared" si="567"/>
        <v>0</v>
      </c>
      <c r="H2295" s="398">
        <f t="shared" si="568"/>
        <v>0</v>
      </c>
      <c r="I2295" s="399"/>
      <c r="J2295" s="362" t="s">
        <v>10</v>
      </c>
      <c r="K2295" s="362" t="s">
        <v>127</v>
      </c>
      <c r="L2295" s="362" t="s">
        <v>62</v>
      </c>
      <c r="M2295" s="362"/>
      <c r="N2295" s="579"/>
      <c r="O2295" s="635"/>
      <c r="P2295" s="636"/>
    </row>
    <row r="2296" spans="1:16" s="372" customFormat="1" ht="14" outlineLevel="2">
      <c r="A2296" s="405"/>
      <c r="B2296" s="415" t="s">
        <v>1271</v>
      </c>
      <c r="C2296" s="397" t="s">
        <v>1257</v>
      </c>
      <c r="D2296" s="398"/>
      <c r="E2296" s="398"/>
      <c r="F2296" s="398"/>
      <c r="G2296" s="398">
        <f t="shared" si="567"/>
        <v>0</v>
      </c>
      <c r="H2296" s="398">
        <f t="shared" si="568"/>
        <v>0</v>
      </c>
      <c r="I2296" s="399"/>
      <c r="J2296" s="362" t="s">
        <v>10</v>
      </c>
      <c r="K2296" s="362" t="s">
        <v>127</v>
      </c>
      <c r="L2296" s="362" t="s">
        <v>62</v>
      </c>
      <c r="M2296" s="362"/>
      <c r="N2296" s="579"/>
      <c r="O2296" s="635"/>
      <c r="P2296" s="636"/>
    </row>
    <row r="2297" spans="1:16" s="372" customFormat="1" ht="14" outlineLevel="2">
      <c r="A2297" s="405" t="s">
        <v>8</v>
      </c>
      <c r="B2297" s="415" t="s">
        <v>1272</v>
      </c>
      <c r="C2297" s="397" t="s">
        <v>1257</v>
      </c>
      <c r="D2297" s="398"/>
      <c r="E2297" s="398"/>
      <c r="F2297" s="398"/>
      <c r="G2297" s="398">
        <f t="shared" si="567"/>
        <v>0</v>
      </c>
      <c r="H2297" s="398">
        <f t="shared" si="568"/>
        <v>0</v>
      </c>
      <c r="I2297" s="399"/>
      <c r="J2297" s="362" t="s">
        <v>10</v>
      </c>
      <c r="K2297" s="362" t="s">
        <v>127</v>
      </c>
      <c r="L2297" s="362" t="s">
        <v>62</v>
      </c>
      <c r="M2297" s="362"/>
      <c r="N2297" s="579"/>
      <c r="O2297" s="635"/>
      <c r="P2297" s="636"/>
    </row>
    <row r="2298" spans="1:16" s="372" customFormat="1" ht="14" outlineLevel="2">
      <c r="A2298" s="405" t="s">
        <v>8</v>
      </c>
      <c r="B2298" s="415" t="s">
        <v>1273</v>
      </c>
      <c r="C2298" s="397" t="s">
        <v>1257</v>
      </c>
      <c r="D2298" s="398"/>
      <c r="E2298" s="398"/>
      <c r="F2298" s="398"/>
      <c r="G2298" s="398">
        <f t="shared" si="567"/>
        <v>0</v>
      </c>
      <c r="H2298" s="398">
        <f t="shared" si="568"/>
        <v>0</v>
      </c>
      <c r="I2298" s="399"/>
      <c r="J2298" s="362" t="s">
        <v>10</v>
      </c>
      <c r="K2298" s="362" t="s">
        <v>127</v>
      </c>
      <c r="L2298" s="362" t="s">
        <v>62</v>
      </c>
      <c r="M2298" s="362"/>
      <c r="N2298" s="579"/>
      <c r="O2298" s="635"/>
      <c r="P2298" s="636"/>
    </row>
    <row r="2299" spans="1:16" s="372" customFormat="1" ht="14" outlineLevel="2">
      <c r="A2299" s="405" t="s">
        <v>8</v>
      </c>
      <c r="B2299" s="415" t="s">
        <v>1274</v>
      </c>
      <c r="C2299" s="397" t="s">
        <v>1257</v>
      </c>
      <c r="D2299" s="398"/>
      <c r="E2299" s="398"/>
      <c r="F2299" s="398"/>
      <c r="G2299" s="398">
        <f t="shared" si="567"/>
        <v>0</v>
      </c>
      <c r="H2299" s="398">
        <f t="shared" si="568"/>
        <v>0</v>
      </c>
      <c r="I2299" s="399"/>
      <c r="J2299" s="362" t="s">
        <v>10</v>
      </c>
      <c r="K2299" s="362" t="s">
        <v>127</v>
      </c>
      <c r="L2299" s="362" t="s">
        <v>62</v>
      </c>
      <c r="M2299" s="362"/>
      <c r="N2299" s="579"/>
      <c r="O2299" s="635"/>
      <c r="P2299" s="636"/>
    </row>
    <row r="2300" spans="1:16" s="372" customFormat="1" ht="14" outlineLevel="2">
      <c r="A2300" s="405" t="s">
        <v>8</v>
      </c>
      <c r="B2300" s="415" t="s">
        <v>1275</v>
      </c>
      <c r="C2300" s="397" t="s">
        <v>50</v>
      </c>
      <c r="D2300" s="398"/>
      <c r="E2300" s="398"/>
      <c r="F2300" s="398"/>
      <c r="G2300" s="398">
        <f t="shared" si="567"/>
        <v>0</v>
      </c>
      <c r="H2300" s="398">
        <f t="shared" si="568"/>
        <v>0</v>
      </c>
      <c r="I2300" s="399"/>
      <c r="J2300" s="362" t="s">
        <v>10</v>
      </c>
      <c r="K2300" s="362" t="s">
        <v>127</v>
      </c>
      <c r="L2300" s="362" t="s">
        <v>62</v>
      </c>
      <c r="M2300" s="362"/>
      <c r="N2300" s="579"/>
      <c r="O2300" s="635"/>
      <c r="P2300" s="636"/>
    </row>
    <row r="2301" spans="1:16" s="372" customFormat="1" ht="14" outlineLevel="2">
      <c r="A2301" s="405" t="s">
        <v>8</v>
      </c>
      <c r="B2301" s="415" t="s">
        <v>1276</v>
      </c>
      <c r="C2301" s="397" t="s">
        <v>50</v>
      </c>
      <c r="D2301" s="398"/>
      <c r="E2301" s="398"/>
      <c r="F2301" s="398"/>
      <c r="G2301" s="398">
        <f t="shared" si="567"/>
        <v>0</v>
      </c>
      <c r="H2301" s="398">
        <f t="shared" si="568"/>
        <v>0</v>
      </c>
      <c r="I2301" s="399"/>
      <c r="J2301" s="362" t="s">
        <v>10</v>
      </c>
      <c r="K2301" s="362" t="s">
        <v>127</v>
      </c>
      <c r="L2301" s="362" t="s">
        <v>62</v>
      </c>
      <c r="M2301" s="362"/>
      <c r="N2301" s="579"/>
      <c r="O2301" s="635"/>
      <c r="P2301" s="636"/>
    </row>
    <row r="2302" spans="1:16" s="385" customFormat="1" ht="14" outlineLevel="1">
      <c r="A2302" s="388">
        <v>7</v>
      </c>
      <c r="B2302" s="669" t="s">
        <v>1262</v>
      </c>
      <c r="C2302" s="403"/>
      <c r="D2302" s="391"/>
      <c r="E2302" s="391"/>
      <c r="F2302" s="409"/>
      <c r="G2302" s="391">
        <f>SUBTOTAL(9,G2303:G2316)</f>
        <v>8400</v>
      </c>
      <c r="H2302" s="391">
        <f>SUBTOTAL(9,H2303:H2316)</f>
        <v>59850</v>
      </c>
      <c r="I2302" s="392"/>
      <c r="J2302" s="362"/>
      <c r="K2302" s="362"/>
      <c r="L2302" s="362"/>
      <c r="M2302" s="383"/>
      <c r="N2302" s="579"/>
      <c r="O2302" s="635"/>
      <c r="P2302" s="636"/>
    </row>
    <row r="2303" spans="1:16" s="372" customFormat="1" ht="14" outlineLevel="2">
      <c r="A2303" s="405" t="s">
        <v>8</v>
      </c>
      <c r="B2303" s="415" t="s">
        <v>1263</v>
      </c>
      <c r="C2303" s="397" t="s">
        <v>1257</v>
      </c>
      <c r="D2303" s="398"/>
      <c r="E2303" s="398"/>
      <c r="F2303" s="398"/>
      <c r="G2303" s="398">
        <f t="shared" ref="G2303:G2316" si="569">F2303*D2303</f>
        <v>0</v>
      </c>
      <c r="H2303" s="398">
        <f t="shared" ref="H2303:H2316" si="570">F2303*E2303</f>
        <v>0</v>
      </c>
      <c r="I2303" s="399"/>
      <c r="J2303" s="362" t="s">
        <v>10</v>
      </c>
      <c r="K2303" s="362" t="s">
        <v>128</v>
      </c>
      <c r="L2303" s="362" t="s">
        <v>62</v>
      </c>
      <c r="M2303" s="362"/>
      <c r="N2303" s="579"/>
      <c r="O2303" s="635"/>
      <c r="P2303" s="636"/>
    </row>
    <row r="2304" spans="1:16" s="372" customFormat="1" ht="14" outlineLevel="2">
      <c r="A2304" s="405" t="s">
        <v>8</v>
      </c>
      <c r="B2304" s="415" t="s">
        <v>1264</v>
      </c>
      <c r="C2304" s="397" t="s">
        <v>1257</v>
      </c>
      <c r="D2304" s="398"/>
      <c r="E2304" s="398"/>
      <c r="F2304" s="398"/>
      <c r="G2304" s="398">
        <f t="shared" si="569"/>
        <v>0</v>
      </c>
      <c r="H2304" s="398">
        <f t="shared" si="570"/>
        <v>0</v>
      </c>
      <c r="I2304" s="399"/>
      <c r="J2304" s="362" t="s">
        <v>10</v>
      </c>
      <c r="K2304" s="362" t="s">
        <v>128</v>
      </c>
      <c r="L2304" s="362" t="s">
        <v>62</v>
      </c>
      <c r="M2304" s="362"/>
      <c r="N2304" s="579"/>
      <c r="O2304" s="635"/>
      <c r="P2304" s="636"/>
    </row>
    <row r="2305" spans="1:16" s="372" customFormat="1" ht="14" outlineLevel="2">
      <c r="A2305" s="405" t="s">
        <v>8</v>
      </c>
      <c r="B2305" s="415" t="s">
        <v>1265</v>
      </c>
      <c r="C2305" s="397" t="s">
        <v>1257</v>
      </c>
      <c r="D2305" s="398"/>
      <c r="E2305" s="398"/>
      <c r="F2305" s="398"/>
      <c r="G2305" s="398">
        <f t="shared" si="569"/>
        <v>0</v>
      </c>
      <c r="H2305" s="398">
        <f t="shared" si="570"/>
        <v>0</v>
      </c>
      <c r="I2305" s="399"/>
      <c r="J2305" s="362" t="s">
        <v>10</v>
      </c>
      <c r="K2305" s="362" t="s">
        <v>128</v>
      </c>
      <c r="L2305" s="362" t="s">
        <v>62</v>
      </c>
      <c r="M2305" s="362"/>
      <c r="N2305" s="579"/>
      <c r="O2305" s="635"/>
      <c r="P2305" s="636"/>
    </row>
    <row r="2306" spans="1:16" s="372" customFormat="1" ht="14" outlineLevel="2">
      <c r="A2306" s="405" t="s">
        <v>8</v>
      </c>
      <c r="B2306" s="415" t="s">
        <v>1266</v>
      </c>
      <c r="C2306" s="397" t="s">
        <v>1257</v>
      </c>
      <c r="D2306" s="398">
        <v>8</v>
      </c>
      <c r="E2306" s="398">
        <v>57</v>
      </c>
      <c r="F2306" s="320">
        <v>1050</v>
      </c>
      <c r="G2306" s="398">
        <f t="shared" si="569"/>
        <v>8400</v>
      </c>
      <c r="H2306" s="398">
        <f t="shared" si="570"/>
        <v>59850</v>
      </c>
      <c r="I2306" s="399"/>
      <c r="J2306" s="362" t="s">
        <v>10</v>
      </c>
      <c r="K2306" s="362" t="s">
        <v>128</v>
      </c>
      <c r="L2306" s="362" t="s">
        <v>62</v>
      </c>
      <c r="M2306" s="362"/>
      <c r="N2306" s="579"/>
      <c r="O2306" s="635"/>
      <c r="P2306" s="636"/>
    </row>
    <row r="2307" spans="1:16" s="372" customFormat="1" ht="14" outlineLevel="2">
      <c r="A2307" s="405" t="s">
        <v>8</v>
      </c>
      <c r="B2307" s="415" t="s">
        <v>1267</v>
      </c>
      <c r="C2307" s="397" t="s">
        <v>1257</v>
      </c>
      <c r="D2307" s="398"/>
      <c r="E2307" s="398"/>
      <c r="F2307" s="398"/>
      <c r="G2307" s="398">
        <f t="shared" si="569"/>
        <v>0</v>
      </c>
      <c r="H2307" s="398">
        <f t="shared" si="570"/>
        <v>0</v>
      </c>
      <c r="I2307" s="399"/>
      <c r="J2307" s="362" t="s">
        <v>10</v>
      </c>
      <c r="K2307" s="362" t="s">
        <v>128</v>
      </c>
      <c r="L2307" s="362" t="s">
        <v>62</v>
      </c>
      <c r="M2307" s="362"/>
      <c r="N2307" s="579"/>
      <c r="O2307" s="635"/>
      <c r="P2307" s="636"/>
    </row>
    <row r="2308" spans="1:16" s="372" customFormat="1" ht="14" outlineLevel="2">
      <c r="A2308" s="405" t="s">
        <v>8</v>
      </c>
      <c r="B2308" s="415" t="s">
        <v>1268</v>
      </c>
      <c r="C2308" s="397" t="s">
        <v>1257</v>
      </c>
      <c r="D2308" s="398"/>
      <c r="E2308" s="398"/>
      <c r="F2308" s="398"/>
      <c r="G2308" s="398">
        <f t="shared" si="569"/>
        <v>0</v>
      </c>
      <c r="H2308" s="398">
        <f t="shared" si="570"/>
        <v>0</v>
      </c>
      <c r="I2308" s="399"/>
      <c r="J2308" s="362" t="s">
        <v>10</v>
      </c>
      <c r="K2308" s="362" t="s">
        <v>128</v>
      </c>
      <c r="L2308" s="362" t="s">
        <v>62</v>
      </c>
      <c r="M2308" s="362"/>
      <c r="N2308" s="579"/>
      <c r="O2308" s="635"/>
      <c r="P2308" s="636"/>
    </row>
    <row r="2309" spans="1:16" s="372" customFormat="1" ht="14" outlineLevel="2">
      <c r="A2309" s="405" t="s">
        <v>8</v>
      </c>
      <c r="B2309" s="415" t="s">
        <v>1269</v>
      </c>
      <c r="C2309" s="397" t="s">
        <v>1257</v>
      </c>
      <c r="D2309" s="398"/>
      <c r="E2309" s="398"/>
      <c r="F2309" s="398"/>
      <c r="G2309" s="398">
        <f t="shared" si="569"/>
        <v>0</v>
      </c>
      <c r="H2309" s="398">
        <f t="shared" si="570"/>
        <v>0</v>
      </c>
      <c r="I2309" s="399"/>
      <c r="J2309" s="362" t="s">
        <v>10</v>
      </c>
      <c r="K2309" s="362" t="s">
        <v>128</v>
      </c>
      <c r="L2309" s="362" t="s">
        <v>62</v>
      </c>
      <c r="M2309" s="362"/>
      <c r="N2309" s="579"/>
      <c r="O2309" s="635"/>
      <c r="P2309" s="636"/>
    </row>
    <row r="2310" spans="1:16" s="372" customFormat="1" ht="14" outlineLevel="2">
      <c r="A2310" s="405" t="s">
        <v>8</v>
      </c>
      <c r="B2310" s="415" t="s">
        <v>1270</v>
      </c>
      <c r="C2310" s="397" t="s">
        <v>1257</v>
      </c>
      <c r="D2310" s="398"/>
      <c r="E2310" s="398"/>
      <c r="F2310" s="398"/>
      <c r="G2310" s="398">
        <f t="shared" si="569"/>
        <v>0</v>
      </c>
      <c r="H2310" s="398">
        <f t="shared" si="570"/>
        <v>0</v>
      </c>
      <c r="I2310" s="399"/>
      <c r="J2310" s="362" t="s">
        <v>10</v>
      </c>
      <c r="K2310" s="362" t="s">
        <v>128</v>
      </c>
      <c r="L2310" s="362" t="s">
        <v>62</v>
      </c>
      <c r="M2310" s="362"/>
      <c r="N2310" s="579"/>
      <c r="O2310" s="635"/>
      <c r="P2310" s="636"/>
    </row>
    <row r="2311" spans="1:16" s="372" customFormat="1" ht="14" outlineLevel="2">
      <c r="A2311" s="405"/>
      <c r="B2311" s="415" t="s">
        <v>1271</v>
      </c>
      <c r="C2311" s="397" t="s">
        <v>1257</v>
      </c>
      <c r="D2311" s="398"/>
      <c r="E2311" s="398"/>
      <c r="F2311" s="398"/>
      <c r="G2311" s="398">
        <f t="shared" si="569"/>
        <v>0</v>
      </c>
      <c r="H2311" s="398">
        <f t="shared" si="570"/>
        <v>0</v>
      </c>
      <c r="I2311" s="399"/>
      <c r="J2311" s="362" t="s">
        <v>10</v>
      </c>
      <c r="K2311" s="362" t="s">
        <v>128</v>
      </c>
      <c r="L2311" s="362" t="s">
        <v>62</v>
      </c>
      <c r="M2311" s="362"/>
      <c r="N2311" s="579"/>
      <c r="O2311" s="635"/>
      <c r="P2311" s="636"/>
    </row>
    <row r="2312" spans="1:16" s="372" customFormat="1" ht="14" outlineLevel="2">
      <c r="A2312" s="405" t="s">
        <v>8</v>
      </c>
      <c r="B2312" s="415" t="s">
        <v>1272</v>
      </c>
      <c r="C2312" s="397" t="s">
        <v>1257</v>
      </c>
      <c r="D2312" s="398"/>
      <c r="E2312" s="398"/>
      <c r="F2312" s="398"/>
      <c r="G2312" s="398">
        <f t="shared" si="569"/>
        <v>0</v>
      </c>
      <c r="H2312" s="398">
        <f t="shared" si="570"/>
        <v>0</v>
      </c>
      <c r="I2312" s="399"/>
      <c r="J2312" s="362" t="s">
        <v>10</v>
      </c>
      <c r="K2312" s="362" t="s">
        <v>128</v>
      </c>
      <c r="L2312" s="362" t="s">
        <v>62</v>
      </c>
      <c r="M2312" s="362"/>
      <c r="N2312" s="579"/>
      <c r="O2312" s="635"/>
      <c r="P2312" s="636"/>
    </row>
    <row r="2313" spans="1:16" s="372" customFormat="1" ht="14" outlineLevel="2">
      <c r="A2313" s="405" t="s">
        <v>8</v>
      </c>
      <c r="B2313" s="415" t="s">
        <v>1273</v>
      </c>
      <c r="C2313" s="397" t="s">
        <v>1257</v>
      </c>
      <c r="D2313" s="398"/>
      <c r="E2313" s="398"/>
      <c r="F2313" s="398"/>
      <c r="G2313" s="398">
        <f t="shared" si="569"/>
        <v>0</v>
      </c>
      <c r="H2313" s="398">
        <f t="shared" si="570"/>
        <v>0</v>
      </c>
      <c r="I2313" s="399"/>
      <c r="J2313" s="362" t="s">
        <v>10</v>
      </c>
      <c r="K2313" s="362" t="s">
        <v>128</v>
      </c>
      <c r="L2313" s="362" t="s">
        <v>62</v>
      </c>
      <c r="M2313" s="362"/>
      <c r="N2313" s="579"/>
      <c r="O2313" s="635"/>
      <c r="P2313" s="636"/>
    </row>
    <row r="2314" spans="1:16" s="372" customFormat="1" ht="14" outlineLevel="2">
      <c r="A2314" s="405" t="s">
        <v>8</v>
      </c>
      <c r="B2314" s="415" t="s">
        <v>1274</v>
      </c>
      <c r="C2314" s="397" t="s">
        <v>1257</v>
      </c>
      <c r="D2314" s="398"/>
      <c r="E2314" s="398"/>
      <c r="F2314" s="398"/>
      <c r="G2314" s="398">
        <f t="shared" si="569"/>
        <v>0</v>
      </c>
      <c r="H2314" s="398">
        <f t="shared" si="570"/>
        <v>0</v>
      </c>
      <c r="I2314" s="399"/>
      <c r="J2314" s="362" t="s">
        <v>10</v>
      </c>
      <c r="K2314" s="362" t="s">
        <v>128</v>
      </c>
      <c r="L2314" s="362" t="s">
        <v>62</v>
      </c>
      <c r="M2314" s="362"/>
      <c r="N2314" s="579"/>
      <c r="O2314" s="635"/>
      <c r="P2314" s="636"/>
    </row>
    <row r="2315" spans="1:16" s="372" customFormat="1" ht="14" outlineLevel="2">
      <c r="A2315" s="405" t="s">
        <v>8</v>
      </c>
      <c r="B2315" s="415" t="s">
        <v>1275</v>
      </c>
      <c r="C2315" s="397" t="s">
        <v>50</v>
      </c>
      <c r="D2315" s="398"/>
      <c r="E2315" s="398"/>
      <c r="F2315" s="398"/>
      <c r="G2315" s="398">
        <f t="shared" si="569"/>
        <v>0</v>
      </c>
      <c r="H2315" s="398">
        <f t="shared" si="570"/>
        <v>0</v>
      </c>
      <c r="I2315" s="399"/>
      <c r="J2315" s="362" t="s">
        <v>10</v>
      </c>
      <c r="K2315" s="362" t="s">
        <v>128</v>
      </c>
      <c r="L2315" s="362" t="s">
        <v>62</v>
      </c>
      <c r="M2315" s="362"/>
      <c r="N2315" s="579"/>
      <c r="O2315" s="635"/>
      <c r="P2315" s="636"/>
    </row>
    <row r="2316" spans="1:16" s="372" customFormat="1" ht="14" outlineLevel="2">
      <c r="A2316" s="405" t="s">
        <v>8</v>
      </c>
      <c r="B2316" s="415" t="s">
        <v>1276</v>
      </c>
      <c r="C2316" s="397" t="s">
        <v>50</v>
      </c>
      <c r="D2316" s="398"/>
      <c r="E2316" s="398"/>
      <c r="F2316" s="398"/>
      <c r="G2316" s="398">
        <f t="shared" si="569"/>
        <v>0</v>
      </c>
      <c r="H2316" s="398">
        <f t="shared" si="570"/>
        <v>0</v>
      </c>
      <c r="I2316" s="399"/>
      <c r="J2316" s="362" t="s">
        <v>10</v>
      </c>
      <c r="K2316" s="362" t="s">
        <v>128</v>
      </c>
      <c r="L2316" s="362" t="s">
        <v>62</v>
      </c>
      <c r="M2316" s="362"/>
      <c r="N2316" s="579"/>
      <c r="O2316" s="635"/>
      <c r="P2316" s="636"/>
    </row>
    <row r="2317" spans="1:16" s="385" customFormat="1" ht="14" outlineLevel="1">
      <c r="A2317" s="388">
        <v>8</v>
      </c>
      <c r="B2317" s="669" t="s">
        <v>1277</v>
      </c>
      <c r="C2317" s="403"/>
      <c r="D2317" s="391"/>
      <c r="E2317" s="391"/>
      <c r="F2317" s="409"/>
      <c r="G2317" s="391">
        <f>SUBTOTAL(9,G2318:G2327)</f>
        <v>0</v>
      </c>
      <c r="H2317" s="391">
        <f>SUBTOTAL(9,H2318:H2327)</f>
        <v>0</v>
      </c>
      <c r="I2317" s="392"/>
      <c r="J2317" s="362"/>
      <c r="K2317" s="362"/>
      <c r="L2317" s="362"/>
      <c r="M2317" s="383"/>
      <c r="N2317" s="579"/>
      <c r="O2317" s="635"/>
      <c r="P2317" s="636"/>
    </row>
    <row r="2318" spans="1:16" s="372" customFormat="1" ht="14" outlineLevel="2">
      <c r="A2318" s="405" t="s">
        <v>8</v>
      </c>
      <c r="B2318" s="415" t="s">
        <v>1263</v>
      </c>
      <c r="C2318" s="397" t="s">
        <v>477</v>
      </c>
      <c r="D2318" s="398"/>
      <c r="E2318" s="398"/>
      <c r="F2318" s="398"/>
      <c r="G2318" s="398">
        <f t="shared" ref="G2318:G2327" si="571">F2318*D2318</f>
        <v>0</v>
      </c>
      <c r="H2318" s="398">
        <f t="shared" ref="H2318:H2327" si="572">F2318*E2318</f>
        <v>0</v>
      </c>
      <c r="I2318" s="399"/>
      <c r="J2318" s="362" t="s">
        <v>10</v>
      </c>
      <c r="K2318" s="362" t="s">
        <v>128</v>
      </c>
      <c r="L2318" s="362" t="s">
        <v>62</v>
      </c>
      <c r="M2318" s="362"/>
      <c r="N2318" s="579"/>
      <c r="O2318" s="635"/>
      <c r="P2318" s="636"/>
    </row>
    <row r="2319" spans="1:16" s="372" customFormat="1" ht="14" outlineLevel="2">
      <c r="A2319" s="405" t="s">
        <v>8</v>
      </c>
      <c r="B2319" s="415" t="s">
        <v>1264</v>
      </c>
      <c r="C2319" s="397" t="s">
        <v>477</v>
      </c>
      <c r="D2319" s="398"/>
      <c r="E2319" s="398"/>
      <c r="F2319" s="398"/>
      <c r="G2319" s="398">
        <f t="shared" si="571"/>
        <v>0</v>
      </c>
      <c r="H2319" s="398">
        <f t="shared" si="572"/>
        <v>0</v>
      </c>
      <c r="I2319" s="399"/>
      <c r="J2319" s="362" t="s">
        <v>10</v>
      </c>
      <c r="K2319" s="362" t="s">
        <v>128</v>
      </c>
      <c r="L2319" s="362" t="s">
        <v>62</v>
      </c>
      <c r="M2319" s="362"/>
      <c r="N2319" s="579"/>
      <c r="O2319" s="635"/>
      <c r="P2319" s="636"/>
    </row>
    <row r="2320" spans="1:16" s="372" customFormat="1" ht="14" outlineLevel="2">
      <c r="A2320" s="405" t="s">
        <v>8</v>
      </c>
      <c r="B2320" s="415" t="s">
        <v>1265</v>
      </c>
      <c r="C2320" s="397" t="s">
        <v>477</v>
      </c>
      <c r="D2320" s="398"/>
      <c r="E2320" s="398"/>
      <c r="F2320" s="398"/>
      <c r="G2320" s="398">
        <f t="shared" si="571"/>
        <v>0</v>
      </c>
      <c r="H2320" s="398">
        <f t="shared" si="572"/>
        <v>0</v>
      </c>
      <c r="I2320" s="399"/>
      <c r="J2320" s="362" t="s">
        <v>10</v>
      </c>
      <c r="K2320" s="362" t="s">
        <v>128</v>
      </c>
      <c r="L2320" s="362" t="s">
        <v>62</v>
      </c>
      <c r="M2320" s="362"/>
      <c r="N2320" s="579"/>
      <c r="O2320" s="635"/>
      <c r="P2320" s="636"/>
    </row>
    <row r="2321" spans="1:16" s="372" customFormat="1" ht="14" outlineLevel="2">
      <c r="A2321" s="405" t="s">
        <v>8</v>
      </c>
      <c r="B2321" s="415" t="s">
        <v>1266</v>
      </c>
      <c r="C2321" s="397" t="s">
        <v>477</v>
      </c>
      <c r="D2321" s="398"/>
      <c r="E2321" s="398"/>
      <c r="F2321" s="398"/>
      <c r="G2321" s="398">
        <f t="shared" si="571"/>
        <v>0</v>
      </c>
      <c r="H2321" s="398">
        <f t="shared" si="572"/>
        <v>0</v>
      </c>
      <c r="I2321" s="399"/>
      <c r="J2321" s="362" t="s">
        <v>10</v>
      </c>
      <c r="K2321" s="362" t="s">
        <v>128</v>
      </c>
      <c r="L2321" s="362" t="s">
        <v>62</v>
      </c>
      <c r="M2321" s="362"/>
      <c r="N2321" s="579"/>
      <c r="O2321" s="635"/>
      <c r="P2321" s="636"/>
    </row>
    <row r="2322" spans="1:16" s="372" customFormat="1" ht="14" outlineLevel="2">
      <c r="A2322" s="405" t="s">
        <v>8</v>
      </c>
      <c r="B2322" s="415" t="s">
        <v>1267</v>
      </c>
      <c r="C2322" s="397" t="s">
        <v>477</v>
      </c>
      <c r="D2322" s="398"/>
      <c r="E2322" s="398"/>
      <c r="F2322" s="398"/>
      <c r="G2322" s="398">
        <f t="shared" si="571"/>
        <v>0</v>
      </c>
      <c r="H2322" s="398">
        <f t="shared" si="572"/>
        <v>0</v>
      </c>
      <c r="I2322" s="399"/>
      <c r="J2322" s="362" t="s">
        <v>10</v>
      </c>
      <c r="K2322" s="362" t="s">
        <v>128</v>
      </c>
      <c r="L2322" s="362" t="s">
        <v>62</v>
      </c>
      <c r="M2322" s="362"/>
      <c r="N2322" s="579"/>
      <c r="O2322" s="635"/>
      <c r="P2322" s="636"/>
    </row>
    <row r="2323" spans="1:16" s="372" customFormat="1" ht="14" outlineLevel="2">
      <c r="A2323" s="405" t="s">
        <v>8</v>
      </c>
      <c r="B2323" s="415" t="s">
        <v>1268</v>
      </c>
      <c r="C2323" s="397" t="s">
        <v>477</v>
      </c>
      <c r="D2323" s="398"/>
      <c r="E2323" s="398"/>
      <c r="F2323" s="398"/>
      <c r="G2323" s="398">
        <f t="shared" si="571"/>
        <v>0</v>
      </c>
      <c r="H2323" s="398">
        <f t="shared" si="572"/>
        <v>0</v>
      </c>
      <c r="I2323" s="399"/>
      <c r="J2323" s="362" t="s">
        <v>10</v>
      </c>
      <c r="K2323" s="362" t="s">
        <v>128</v>
      </c>
      <c r="L2323" s="362" t="s">
        <v>62</v>
      </c>
      <c r="M2323" s="362"/>
      <c r="N2323" s="579"/>
      <c r="O2323" s="635"/>
      <c r="P2323" s="636"/>
    </row>
    <row r="2324" spans="1:16" s="372" customFormat="1" ht="14" outlineLevel="2">
      <c r="A2324" s="405" t="s">
        <v>8</v>
      </c>
      <c r="B2324" s="415" t="s">
        <v>1269</v>
      </c>
      <c r="C2324" s="397" t="s">
        <v>477</v>
      </c>
      <c r="D2324" s="398"/>
      <c r="E2324" s="398"/>
      <c r="F2324" s="398"/>
      <c r="G2324" s="398">
        <f t="shared" si="571"/>
        <v>0</v>
      </c>
      <c r="H2324" s="398">
        <f t="shared" si="572"/>
        <v>0</v>
      </c>
      <c r="I2324" s="399"/>
      <c r="J2324" s="362" t="s">
        <v>10</v>
      </c>
      <c r="K2324" s="362" t="s">
        <v>128</v>
      </c>
      <c r="L2324" s="362" t="s">
        <v>62</v>
      </c>
      <c r="M2324" s="362"/>
      <c r="N2324" s="579"/>
      <c r="O2324" s="635"/>
      <c r="P2324" s="636"/>
    </row>
    <row r="2325" spans="1:16" s="372" customFormat="1" ht="14" outlineLevel="2">
      <c r="A2325" s="405" t="s">
        <v>8</v>
      </c>
      <c r="B2325" s="415" t="s">
        <v>1270</v>
      </c>
      <c r="C2325" s="397" t="s">
        <v>477</v>
      </c>
      <c r="D2325" s="398"/>
      <c r="E2325" s="398"/>
      <c r="F2325" s="398"/>
      <c r="G2325" s="398">
        <f t="shared" si="571"/>
        <v>0</v>
      </c>
      <c r="H2325" s="398">
        <f t="shared" si="572"/>
        <v>0</v>
      </c>
      <c r="I2325" s="399"/>
      <c r="J2325" s="362" t="s">
        <v>10</v>
      </c>
      <c r="K2325" s="362" t="s">
        <v>128</v>
      </c>
      <c r="L2325" s="362" t="s">
        <v>62</v>
      </c>
      <c r="M2325" s="362"/>
      <c r="N2325" s="579"/>
      <c r="O2325" s="635"/>
      <c r="P2325" s="636"/>
    </row>
    <row r="2326" spans="1:16" s="372" customFormat="1" ht="14" outlineLevel="2">
      <c r="A2326" s="405"/>
      <c r="B2326" s="415" t="s">
        <v>1271</v>
      </c>
      <c r="C2326" s="397" t="s">
        <v>477</v>
      </c>
      <c r="D2326" s="398"/>
      <c r="E2326" s="398"/>
      <c r="F2326" s="398"/>
      <c r="G2326" s="398">
        <f t="shared" si="571"/>
        <v>0</v>
      </c>
      <c r="H2326" s="398">
        <f t="shared" si="572"/>
        <v>0</v>
      </c>
      <c r="I2326" s="399"/>
      <c r="J2326" s="362" t="s">
        <v>10</v>
      </c>
      <c r="K2326" s="362" t="s">
        <v>128</v>
      </c>
      <c r="L2326" s="362" t="s">
        <v>62</v>
      </c>
      <c r="M2326" s="362"/>
      <c r="N2326" s="579"/>
      <c r="O2326" s="635"/>
      <c r="P2326" s="636"/>
    </row>
    <row r="2327" spans="1:16" s="372" customFormat="1" ht="14" outlineLevel="2">
      <c r="A2327" s="405" t="s">
        <v>8</v>
      </c>
      <c r="B2327" s="415" t="s">
        <v>1272</v>
      </c>
      <c r="C2327" s="397" t="s">
        <v>477</v>
      </c>
      <c r="D2327" s="398"/>
      <c r="E2327" s="398"/>
      <c r="F2327" s="398"/>
      <c r="G2327" s="398">
        <f t="shared" si="571"/>
        <v>0</v>
      </c>
      <c r="H2327" s="398">
        <f t="shared" si="572"/>
        <v>0</v>
      </c>
      <c r="I2327" s="399"/>
      <c r="J2327" s="362" t="s">
        <v>10</v>
      </c>
      <c r="K2327" s="362" t="s">
        <v>128</v>
      </c>
      <c r="L2327" s="362" t="s">
        <v>62</v>
      </c>
      <c r="M2327" s="362"/>
      <c r="N2327" s="579"/>
      <c r="O2327" s="635"/>
      <c r="P2327" s="636"/>
    </row>
    <row r="2328" spans="1:16" s="385" customFormat="1" ht="14" outlineLevel="1">
      <c r="A2328" s="388">
        <v>9</v>
      </c>
      <c r="B2328" s="669" t="s">
        <v>1281</v>
      </c>
      <c r="C2328" s="403"/>
      <c r="D2328" s="391"/>
      <c r="E2328" s="391"/>
      <c r="F2328" s="409"/>
      <c r="G2328" s="391">
        <f>SUBTOTAL(9,G2329:G2339)</f>
        <v>0</v>
      </c>
      <c r="H2328" s="391">
        <f>SUBTOTAL(9,H2329:H2339)</f>
        <v>0</v>
      </c>
      <c r="I2328" s="392"/>
      <c r="J2328" s="362"/>
      <c r="K2328" s="362"/>
      <c r="L2328" s="362"/>
      <c r="M2328" s="383"/>
      <c r="N2328" s="579"/>
      <c r="O2328" s="635"/>
      <c r="P2328" s="636"/>
    </row>
    <row r="2329" spans="1:16" s="372" customFormat="1" ht="14" outlineLevel="2">
      <c r="A2329" s="405" t="s">
        <v>8</v>
      </c>
      <c r="B2329" s="415" t="s">
        <v>1278</v>
      </c>
      <c r="C2329" s="397" t="s">
        <v>477</v>
      </c>
      <c r="D2329" s="398"/>
      <c r="E2329" s="398"/>
      <c r="F2329" s="398"/>
      <c r="G2329" s="398">
        <f t="shared" ref="G2329:G2338" si="573">F2329*D2329</f>
        <v>0</v>
      </c>
      <c r="H2329" s="398">
        <f t="shared" ref="H2329:H2338" si="574">F2329*E2329</f>
        <v>0</v>
      </c>
      <c r="I2329" s="399"/>
      <c r="J2329" s="362" t="s">
        <v>10</v>
      </c>
      <c r="K2329" s="362" t="s">
        <v>128</v>
      </c>
      <c r="L2329" s="362" t="s">
        <v>62</v>
      </c>
      <c r="M2329" s="362"/>
      <c r="N2329" s="579"/>
      <c r="O2329" s="635"/>
      <c r="P2329" s="636"/>
    </row>
    <row r="2330" spans="1:16" s="372" customFormat="1" ht="14" outlineLevel="2">
      <c r="A2330" s="405" t="s">
        <v>8</v>
      </c>
      <c r="B2330" s="415" t="s">
        <v>1279</v>
      </c>
      <c r="C2330" s="397" t="s">
        <v>477</v>
      </c>
      <c r="D2330" s="398"/>
      <c r="E2330" s="398"/>
      <c r="F2330" s="398"/>
      <c r="G2330" s="398">
        <f t="shared" si="573"/>
        <v>0</v>
      </c>
      <c r="H2330" s="398">
        <f t="shared" si="574"/>
        <v>0</v>
      </c>
      <c r="I2330" s="399"/>
      <c r="J2330" s="362" t="s">
        <v>10</v>
      </c>
      <c r="K2330" s="362" t="s">
        <v>128</v>
      </c>
      <c r="L2330" s="362" t="s">
        <v>62</v>
      </c>
      <c r="M2330" s="362"/>
      <c r="N2330" s="579"/>
      <c r="O2330" s="635"/>
      <c r="P2330" s="636"/>
    </row>
    <row r="2331" spans="1:16" s="372" customFormat="1" ht="14" outlineLevel="2">
      <c r="A2331" s="405" t="s">
        <v>8</v>
      </c>
      <c r="B2331" s="415" t="s">
        <v>1280</v>
      </c>
      <c r="C2331" s="397" t="s">
        <v>477</v>
      </c>
      <c r="D2331" s="398"/>
      <c r="E2331" s="398"/>
      <c r="F2331" s="398"/>
      <c r="G2331" s="398">
        <f t="shared" si="573"/>
        <v>0</v>
      </c>
      <c r="H2331" s="398">
        <f t="shared" si="574"/>
        <v>0</v>
      </c>
      <c r="I2331" s="399"/>
      <c r="J2331" s="362" t="s">
        <v>10</v>
      </c>
      <c r="K2331" s="362" t="s">
        <v>128</v>
      </c>
      <c r="L2331" s="362" t="s">
        <v>62</v>
      </c>
      <c r="M2331" s="362"/>
      <c r="N2331" s="579"/>
      <c r="O2331" s="635"/>
      <c r="P2331" s="636"/>
    </row>
    <row r="2332" spans="1:16" s="372" customFormat="1" ht="14" outlineLevel="2">
      <c r="A2332" s="405" t="s">
        <v>8</v>
      </c>
      <c r="B2332" s="415" t="s">
        <v>1264</v>
      </c>
      <c r="C2332" s="397" t="s">
        <v>477</v>
      </c>
      <c r="D2332" s="398"/>
      <c r="E2332" s="398"/>
      <c r="F2332" s="398"/>
      <c r="G2332" s="398">
        <f t="shared" si="573"/>
        <v>0</v>
      </c>
      <c r="H2332" s="398">
        <f t="shared" si="574"/>
        <v>0</v>
      </c>
      <c r="I2332" s="399"/>
      <c r="J2332" s="362" t="s">
        <v>10</v>
      </c>
      <c r="K2332" s="362" t="s">
        <v>128</v>
      </c>
      <c r="L2332" s="362" t="s">
        <v>62</v>
      </c>
      <c r="M2332" s="362"/>
      <c r="N2332" s="579"/>
      <c r="O2332" s="635"/>
      <c r="P2332" s="636"/>
    </row>
    <row r="2333" spans="1:16" s="372" customFormat="1" ht="14" outlineLevel="2">
      <c r="A2333" s="405" t="s">
        <v>8</v>
      </c>
      <c r="B2333" s="415" t="s">
        <v>1265</v>
      </c>
      <c r="C2333" s="397" t="s">
        <v>477</v>
      </c>
      <c r="D2333" s="398"/>
      <c r="E2333" s="398"/>
      <c r="F2333" s="398"/>
      <c r="G2333" s="398">
        <f t="shared" si="573"/>
        <v>0</v>
      </c>
      <c r="H2333" s="398">
        <f t="shared" si="574"/>
        <v>0</v>
      </c>
      <c r="I2333" s="399"/>
      <c r="J2333" s="362" t="s">
        <v>10</v>
      </c>
      <c r="K2333" s="362" t="s">
        <v>128</v>
      </c>
      <c r="L2333" s="362" t="s">
        <v>62</v>
      </c>
      <c r="M2333" s="362"/>
      <c r="N2333" s="579"/>
      <c r="O2333" s="635"/>
      <c r="P2333" s="636"/>
    </row>
    <row r="2334" spans="1:16" s="372" customFormat="1" ht="14" outlineLevel="2">
      <c r="A2334" s="405" t="s">
        <v>8</v>
      </c>
      <c r="B2334" s="415" t="s">
        <v>1266</v>
      </c>
      <c r="C2334" s="397" t="s">
        <v>477</v>
      </c>
      <c r="D2334" s="398"/>
      <c r="E2334" s="398"/>
      <c r="F2334" s="398"/>
      <c r="G2334" s="398">
        <f t="shared" si="573"/>
        <v>0</v>
      </c>
      <c r="H2334" s="398">
        <f t="shared" si="574"/>
        <v>0</v>
      </c>
      <c r="I2334" s="399"/>
      <c r="J2334" s="362" t="s">
        <v>10</v>
      </c>
      <c r="K2334" s="362" t="s">
        <v>128</v>
      </c>
      <c r="L2334" s="362" t="s">
        <v>62</v>
      </c>
      <c r="M2334" s="362"/>
      <c r="N2334" s="579"/>
      <c r="O2334" s="635"/>
      <c r="P2334" s="636"/>
    </row>
    <row r="2335" spans="1:16" s="372" customFormat="1" ht="14" outlineLevel="2">
      <c r="A2335" s="405" t="s">
        <v>8</v>
      </c>
      <c r="B2335" s="415" t="s">
        <v>1268</v>
      </c>
      <c r="C2335" s="397" t="s">
        <v>477</v>
      </c>
      <c r="D2335" s="398"/>
      <c r="E2335" s="398"/>
      <c r="F2335" s="398"/>
      <c r="G2335" s="398">
        <f t="shared" si="573"/>
        <v>0</v>
      </c>
      <c r="H2335" s="398">
        <f t="shared" si="574"/>
        <v>0</v>
      </c>
      <c r="I2335" s="399"/>
      <c r="J2335" s="362" t="s">
        <v>10</v>
      </c>
      <c r="K2335" s="362" t="s">
        <v>128</v>
      </c>
      <c r="L2335" s="362" t="s">
        <v>62</v>
      </c>
      <c r="M2335" s="362"/>
      <c r="N2335" s="579"/>
      <c r="O2335" s="635"/>
      <c r="P2335" s="636"/>
    </row>
    <row r="2336" spans="1:16" s="372" customFormat="1" ht="14" outlineLevel="2">
      <c r="A2336" s="405" t="s">
        <v>8</v>
      </c>
      <c r="B2336" s="415" t="s">
        <v>1269</v>
      </c>
      <c r="C2336" s="397" t="s">
        <v>477</v>
      </c>
      <c r="D2336" s="398"/>
      <c r="E2336" s="398"/>
      <c r="F2336" s="398"/>
      <c r="G2336" s="398">
        <f t="shared" si="573"/>
        <v>0</v>
      </c>
      <c r="H2336" s="398">
        <f t="shared" si="574"/>
        <v>0</v>
      </c>
      <c r="I2336" s="399"/>
      <c r="J2336" s="362" t="s">
        <v>10</v>
      </c>
      <c r="K2336" s="362" t="s">
        <v>128</v>
      </c>
      <c r="L2336" s="362" t="s">
        <v>62</v>
      </c>
      <c r="M2336" s="362"/>
      <c r="N2336" s="579"/>
      <c r="O2336" s="635"/>
      <c r="P2336" s="636"/>
    </row>
    <row r="2337" spans="1:16" s="372" customFormat="1" ht="14" outlineLevel="2">
      <c r="A2337" s="405"/>
      <c r="B2337" s="415" t="s">
        <v>1270</v>
      </c>
      <c r="C2337" s="397" t="s">
        <v>477</v>
      </c>
      <c r="D2337" s="398"/>
      <c r="E2337" s="398"/>
      <c r="F2337" s="398"/>
      <c r="G2337" s="398">
        <f t="shared" si="573"/>
        <v>0</v>
      </c>
      <c r="H2337" s="398">
        <f t="shared" si="574"/>
        <v>0</v>
      </c>
      <c r="I2337" s="399"/>
      <c r="J2337" s="362" t="s">
        <v>10</v>
      </c>
      <c r="K2337" s="362" t="s">
        <v>128</v>
      </c>
      <c r="L2337" s="362" t="s">
        <v>62</v>
      </c>
      <c r="M2337" s="362"/>
      <c r="N2337" s="579"/>
      <c r="O2337" s="635"/>
      <c r="P2337" s="636"/>
    </row>
    <row r="2338" spans="1:16" s="372" customFormat="1" ht="14" outlineLevel="2">
      <c r="A2338" s="405" t="s">
        <v>8</v>
      </c>
      <c r="B2338" s="415" t="s">
        <v>1271</v>
      </c>
      <c r="C2338" s="397" t="s">
        <v>477</v>
      </c>
      <c r="D2338" s="398"/>
      <c r="E2338" s="398"/>
      <c r="F2338" s="398"/>
      <c r="G2338" s="398">
        <f t="shared" si="573"/>
        <v>0</v>
      </c>
      <c r="H2338" s="398">
        <f t="shared" si="574"/>
        <v>0</v>
      </c>
      <c r="I2338" s="399"/>
      <c r="J2338" s="362" t="s">
        <v>10</v>
      </c>
      <c r="K2338" s="362" t="s">
        <v>128</v>
      </c>
      <c r="L2338" s="362" t="s">
        <v>62</v>
      </c>
      <c r="M2338" s="362"/>
      <c r="N2338" s="579"/>
      <c r="O2338" s="635"/>
      <c r="P2338" s="636"/>
    </row>
    <row r="2339" spans="1:16" s="372" customFormat="1" ht="14" outlineLevel="2">
      <c r="A2339" s="405" t="s">
        <v>8</v>
      </c>
      <c r="B2339" s="415" t="s">
        <v>1272</v>
      </c>
      <c r="C2339" s="397" t="s">
        <v>477</v>
      </c>
      <c r="D2339" s="398"/>
      <c r="E2339" s="398"/>
      <c r="F2339" s="398"/>
      <c r="G2339" s="398">
        <f t="shared" ref="G2339" si="575">F2339*D2339</f>
        <v>0</v>
      </c>
      <c r="H2339" s="398">
        <f t="shared" ref="H2339" si="576">F2339*E2339</f>
        <v>0</v>
      </c>
      <c r="I2339" s="399"/>
      <c r="J2339" s="362" t="s">
        <v>10</v>
      </c>
      <c r="K2339" s="362" t="s">
        <v>128</v>
      </c>
      <c r="L2339" s="362" t="s">
        <v>62</v>
      </c>
      <c r="M2339" s="362"/>
      <c r="N2339" s="579"/>
      <c r="O2339" s="635"/>
      <c r="P2339" s="636"/>
    </row>
    <row r="2340" spans="1:16" s="385" customFormat="1" ht="14" outlineLevel="1">
      <c r="A2340" s="388">
        <v>10</v>
      </c>
      <c r="B2340" s="669" t="s">
        <v>1282</v>
      </c>
      <c r="C2340" s="403"/>
      <c r="D2340" s="391"/>
      <c r="E2340" s="391"/>
      <c r="F2340" s="409"/>
      <c r="G2340" s="391">
        <f>SUBTOTAL(9,G2341:G2345)</f>
        <v>23741.398060941829</v>
      </c>
      <c r="H2340" s="391">
        <f>SUBTOTAL(9,H2341:H2345)</f>
        <v>27352.006094182827</v>
      </c>
      <c r="I2340" s="392"/>
      <c r="J2340" s="362"/>
      <c r="K2340" s="362"/>
      <c r="L2340" s="362"/>
      <c r="M2340" s="383"/>
      <c r="N2340" s="579"/>
      <c r="O2340" s="635"/>
      <c r="P2340" s="636"/>
    </row>
    <row r="2341" spans="1:16" s="372" customFormat="1" ht="14" outlineLevel="2">
      <c r="A2341" s="405" t="s">
        <v>8</v>
      </c>
      <c r="B2341" s="704" t="s">
        <v>1432</v>
      </c>
      <c r="C2341" s="397" t="s">
        <v>477</v>
      </c>
      <c r="D2341" s="320">
        <v>2</v>
      </c>
      <c r="E2341" s="320">
        <v>4</v>
      </c>
      <c r="F2341" s="320">
        <v>101</v>
      </c>
      <c r="G2341" s="398">
        <f t="shared" ref="G2341:G2345" si="577">F2341*D2341</f>
        <v>202</v>
      </c>
      <c r="H2341" s="398">
        <f t="shared" ref="H2341:H2345" si="578">F2341*E2341</f>
        <v>404</v>
      </c>
      <c r="I2341" s="399"/>
      <c r="J2341" s="362" t="s">
        <v>10</v>
      </c>
      <c r="K2341" s="362" t="s">
        <v>128</v>
      </c>
      <c r="L2341" s="362" t="s">
        <v>62</v>
      </c>
      <c r="M2341" s="362"/>
      <c r="N2341" s="579"/>
      <c r="O2341" s="635"/>
      <c r="P2341" s="636"/>
    </row>
    <row r="2342" spans="1:16" s="372" customFormat="1" ht="14" outlineLevel="2">
      <c r="A2342" s="405" t="s">
        <v>8</v>
      </c>
      <c r="B2342" s="704" t="s">
        <v>1433</v>
      </c>
      <c r="C2342" s="397" t="s">
        <v>477</v>
      </c>
      <c r="D2342" s="320">
        <v>11</v>
      </c>
      <c r="E2342" s="320">
        <v>13</v>
      </c>
      <c r="F2342" s="320">
        <v>103.01939058171745</v>
      </c>
      <c r="G2342" s="398">
        <f t="shared" si="577"/>
        <v>1133.213296398892</v>
      </c>
      <c r="H2342" s="398">
        <f t="shared" si="578"/>
        <v>1339.2520775623268</v>
      </c>
      <c r="I2342" s="399"/>
      <c r="J2342" s="362" t="s">
        <v>10</v>
      </c>
      <c r="K2342" s="362" t="s">
        <v>128</v>
      </c>
      <c r="L2342" s="362" t="s">
        <v>62</v>
      </c>
      <c r="M2342" s="362"/>
      <c r="N2342" s="579"/>
      <c r="O2342" s="635"/>
      <c r="P2342" s="636"/>
    </row>
    <row r="2343" spans="1:16" s="372" customFormat="1" ht="14" outlineLevel="2">
      <c r="A2343" s="405" t="s">
        <v>8</v>
      </c>
      <c r="B2343" s="704" t="s">
        <v>1434</v>
      </c>
      <c r="C2343" s="397" t="s">
        <v>477</v>
      </c>
      <c r="D2343" s="320">
        <v>15</v>
      </c>
      <c r="E2343" s="320">
        <v>22</v>
      </c>
      <c r="F2343" s="320">
        <v>107.17008310249308</v>
      </c>
      <c r="G2343" s="398">
        <f t="shared" si="577"/>
        <v>1607.5512465373963</v>
      </c>
      <c r="H2343" s="398">
        <f t="shared" si="578"/>
        <v>2357.7418282548479</v>
      </c>
      <c r="I2343" s="399"/>
      <c r="J2343" s="362" t="s">
        <v>10</v>
      </c>
      <c r="K2343" s="362" t="s">
        <v>128</v>
      </c>
      <c r="L2343" s="362" t="s">
        <v>62</v>
      </c>
      <c r="M2343" s="362"/>
      <c r="N2343" s="579"/>
      <c r="O2343" s="635"/>
      <c r="P2343" s="636"/>
    </row>
    <row r="2344" spans="1:16" s="372" customFormat="1" ht="14" outlineLevel="2">
      <c r="A2344" s="405" t="s">
        <v>8</v>
      </c>
      <c r="B2344" s="704" t="s">
        <v>1435</v>
      </c>
      <c r="C2344" s="397" t="s">
        <v>477</v>
      </c>
      <c r="D2344" s="320">
        <v>60</v>
      </c>
      <c r="E2344" s="320">
        <v>58</v>
      </c>
      <c r="F2344" s="320">
        <v>125.63185595567867</v>
      </c>
      <c r="G2344" s="398">
        <f t="shared" si="577"/>
        <v>7537.9113573407203</v>
      </c>
      <c r="H2344" s="398">
        <f t="shared" si="578"/>
        <v>7286.6476454293634</v>
      </c>
      <c r="I2344" s="399"/>
      <c r="J2344" s="362" t="s">
        <v>10</v>
      </c>
      <c r="K2344" s="362" t="s">
        <v>128</v>
      </c>
      <c r="L2344" s="362" t="s">
        <v>62</v>
      </c>
      <c r="M2344" s="362"/>
      <c r="N2344" s="579"/>
      <c r="O2344" s="635"/>
      <c r="P2344" s="636"/>
    </row>
    <row r="2345" spans="1:16" s="372" customFormat="1" ht="14" outlineLevel="2">
      <c r="A2345" s="405" t="s">
        <v>8</v>
      </c>
      <c r="B2345" s="704" t="s">
        <v>1436</v>
      </c>
      <c r="C2345" s="397" t="s">
        <v>477</v>
      </c>
      <c r="D2345" s="320">
        <v>103</v>
      </c>
      <c r="E2345" s="320">
        <v>124</v>
      </c>
      <c r="F2345" s="320">
        <v>128.74487534626039</v>
      </c>
      <c r="G2345" s="398">
        <f t="shared" si="577"/>
        <v>13260.72216066482</v>
      </c>
      <c r="H2345" s="398">
        <f t="shared" si="578"/>
        <v>15964.364542936288</v>
      </c>
      <c r="I2345" s="399"/>
      <c r="J2345" s="362" t="s">
        <v>10</v>
      </c>
      <c r="K2345" s="362" t="s">
        <v>128</v>
      </c>
      <c r="L2345" s="362" t="s">
        <v>62</v>
      </c>
      <c r="M2345" s="362"/>
      <c r="N2345" s="579"/>
      <c r="O2345" s="635"/>
      <c r="P2345" s="636"/>
    </row>
    <row r="2346" spans="1:16" s="385" customFormat="1" ht="14" outlineLevel="1">
      <c r="A2346" s="388">
        <v>11</v>
      </c>
      <c r="B2346" s="669" t="s">
        <v>1283</v>
      </c>
      <c r="C2346" s="403"/>
      <c r="D2346" s="391"/>
      <c r="E2346" s="391"/>
      <c r="F2346" s="409"/>
      <c r="G2346" s="391">
        <f>SUBTOTAL(9,G2347:G2357)</f>
        <v>0</v>
      </c>
      <c r="H2346" s="391">
        <f>SUBTOTAL(9,H2347:H2357)</f>
        <v>0</v>
      </c>
      <c r="I2346" s="392"/>
      <c r="J2346" s="362"/>
      <c r="K2346" s="362"/>
      <c r="L2346" s="362"/>
      <c r="M2346" s="383"/>
      <c r="N2346" s="579"/>
      <c r="O2346" s="635"/>
      <c r="P2346" s="636"/>
    </row>
    <row r="2347" spans="1:16" s="372" customFormat="1" ht="14" outlineLevel="2">
      <c r="A2347" s="405" t="s">
        <v>8</v>
      </c>
      <c r="B2347" s="415" t="s">
        <v>1278</v>
      </c>
      <c r="C2347" s="397" t="s">
        <v>477</v>
      </c>
      <c r="D2347" s="398"/>
      <c r="E2347" s="398"/>
      <c r="F2347" s="398"/>
      <c r="G2347" s="398">
        <f t="shared" ref="G2347:G2357" si="579">F2347*D2347</f>
        <v>0</v>
      </c>
      <c r="H2347" s="398">
        <f t="shared" ref="H2347:H2357" si="580">F2347*E2347</f>
        <v>0</v>
      </c>
      <c r="I2347" s="399"/>
      <c r="J2347" s="362" t="s">
        <v>10</v>
      </c>
      <c r="K2347" s="362" t="s">
        <v>128</v>
      </c>
      <c r="L2347" s="362" t="s">
        <v>62</v>
      </c>
      <c r="M2347" s="362"/>
      <c r="N2347" s="579"/>
      <c r="O2347" s="635"/>
      <c r="P2347" s="636"/>
    </row>
    <row r="2348" spans="1:16" s="372" customFormat="1" ht="14" outlineLevel="2">
      <c r="A2348" s="405" t="s">
        <v>8</v>
      </c>
      <c r="B2348" s="415" t="s">
        <v>1279</v>
      </c>
      <c r="C2348" s="397" t="s">
        <v>477</v>
      </c>
      <c r="D2348" s="398"/>
      <c r="E2348" s="398"/>
      <c r="F2348" s="398"/>
      <c r="G2348" s="398">
        <f t="shared" si="579"/>
        <v>0</v>
      </c>
      <c r="H2348" s="398">
        <f t="shared" si="580"/>
        <v>0</v>
      </c>
      <c r="I2348" s="399"/>
      <c r="J2348" s="362" t="s">
        <v>10</v>
      </c>
      <c r="K2348" s="362" t="s">
        <v>128</v>
      </c>
      <c r="L2348" s="362" t="s">
        <v>62</v>
      </c>
      <c r="M2348" s="362"/>
      <c r="N2348" s="579"/>
      <c r="O2348" s="635"/>
      <c r="P2348" s="636"/>
    </row>
    <row r="2349" spans="1:16" s="372" customFormat="1" ht="14" outlineLevel="2">
      <c r="A2349" s="405" t="s">
        <v>8</v>
      </c>
      <c r="B2349" s="415" t="s">
        <v>1280</v>
      </c>
      <c r="C2349" s="397" t="s">
        <v>477</v>
      </c>
      <c r="D2349" s="398"/>
      <c r="E2349" s="398"/>
      <c r="F2349" s="398"/>
      <c r="G2349" s="398">
        <f t="shared" si="579"/>
        <v>0</v>
      </c>
      <c r="H2349" s="398">
        <f t="shared" si="580"/>
        <v>0</v>
      </c>
      <c r="I2349" s="399"/>
      <c r="J2349" s="362" t="s">
        <v>10</v>
      </c>
      <c r="K2349" s="362" t="s">
        <v>128</v>
      </c>
      <c r="L2349" s="362" t="s">
        <v>62</v>
      </c>
      <c r="M2349" s="362"/>
      <c r="N2349" s="579"/>
      <c r="O2349" s="635"/>
      <c r="P2349" s="636"/>
    </row>
    <row r="2350" spans="1:16" s="372" customFormat="1" ht="14" outlineLevel="2">
      <c r="A2350" s="405" t="s">
        <v>8</v>
      </c>
      <c r="B2350" s="415" t="s">
        <v>1264</v>
      </c>
      <c r="C2350" s="397" t="s">
        <v>477</v>
      </c>
      <c r="D2350" s="398"/>
      <c r="E2350" s="398"/>
      <c r="F2350" s="398"/>
      <c r="G2350" s="398">
        <f t="shared" si="579"/>
        <v>0</v>
      </c>
      <c r="H2350" s="398">
        <f t="shared" si="580"/>
        <v>0</v>
      </c>
      <c r="I2350" s="399"/>
      <c r="J2350" s="362" t="s">
        <v>10</v>
      </c>
      <c r="K2350" s="362" t="s">
        <v>128</v>
      </c>
      <c r="L2350" s="362" t="s">
        <v>62</v>
      </c>
      <c r="M2350" s="362"/>
      <c r="N2350" s="579"/>
      <c r="O2350" s="635"/>
      <c r="P2350" s="636"/>
    </row>
    <row r="2351" spans="1:16" s="372" customFormat="1" ht="14" outlineLevel="2">
      <c r="A2351" s="405" t="s">
        <v>8</v>
      </c>
      <c r="B2351" s="415" t="s">
        <v>1265</v>
      </c>
      <c r="C2351" s="397" t="s">
        <v>477</v>
      </c>
      <c r="D2351" s="398"/>
      <c r="E2351" s="398"/>
      <c r="F2351" s="398"/>
      <c r="G2351" s="398">
        <f t="shared" si="579"/>
        <v>0</v>
      </c>
      <c r="H2351" s="398">
        <f t="shared" si="580"/>
        <v>0</v>
      </c>
      <c r="I2351" s="399"/>
      <c r="J2351" s="362" t="s">
        <v>10</v>
      </c>
      <c r="K2351" s="362" t="s">
        <v>128</v>
      </c>
      <c r="L2351" s="362" t="s">
        <v>62</v>
      </c>
      <c r="M2351" s="362"/>
      <c r="N2351" s="579"/>
      <c r="O2351" s="635"/>
      <c r="P2351" s="636"/>
    </row>
    <row r="2352" spans="1:16" s="372" customFormat="1" ht="14" outlineLevel="2">
      <c r="A2352" s="405" t="s">
        <v>8</v>
      </c>
      <c r="B2352" s="415" t="s">
        <v>1266</v>
      </c>
      <c r="C2352" s="397" t="s">
        <v>477</v>
      </c>
      <c r="D2352" s="398"/>
      <c r="E2352" s="398"/>
      <c r="F2352" s="398"/>
      <c r="G2352" s="398">
        <f t="shared" si="579"/>
        <v>0</v>
      </c>
      <c r="H2352" s="398">
        <f t="shared" si="580"/>
        <v>0</v>
      </c>
      <c r="I2352" s="399"/>
      <c r="J2352" s="362" t="s">
        <v>10</v>
      </c>
      <c r="K2352" s="362" t="s">
        <v>128</v>
      </c>
      <c r="L2352" s="362" t="s">
        <v>62</v>
      </c>
      <c r="M2352" s="362"/>
      <c r="N2352" s="579"/>
      <c r="O2352" s="635"/>
      <c r="P2352" s="636"/>
    </row>
    <row r="2353" spans="1:17" s="372" customFormat="1" ht="14" outlineLevel="2">
      <c r="A2353" s="405" t="s">
        <v>8</v>
      </c>
      <c r="B2353" s="415" t="s">
        <v>1268</v>
      </c>
      <c r="C2353" s="397" t="s">
        <v>477</v>
      </c>
      <c r="D2353" s="398"/>
      <c r="E2353" s="398"/>
      <c r="F2353" s="398"/>
      <c r="G2353" s="398">
        <f t="shared" si="579"/>
        <v>0</v>
      </c>
      <c r="H2353" s="398">
        <f t="shared" si="580"/>
        <v>0</v>
      </c>
      <c r="I2353" s="399"/>
      <c r="J2353" s="362" t="s">
        <v>10</v>
      </c>
      <c r="K2353" s="362" t="s">
        <v>128</v>
      </c>
      <c r="L2353" s="362" t="s">
        <v>62</v>
      </c>
      <c r="M2353" s="362"/>
      <c r="N2353" s="579"/>
      <c r="O2353" s="635"/>
      <c r="P2353" s="636"/>
    </row>
    <row r="2354" spans="1:17" s="372" customFormat="1" ht="14" outlineLevel="2">
      <c r="A2354" s="405" t="s">
        <v>8</v>
      </c>
      <c r="B2354" s="415" t="s">
        <v>1269</v>
      </c>
      <c r="C2354" s="397" t="s">
        <v>477</v>
      </c>
      <c r="D2354" s="398"/>
      <c r="E2354" s="398"/>
      <c r="F2354" s="398"/>
      <c r="G2354" s="398">
        <f t="shared" si="579"/>
        <v>0</v>
      </c>
      <c r="H2354" s="398">
        <f t="shared" si="580"/>
        <v>0</v>
      </c>
      <c r="I2354" s="399"/>
      <c r="J2354" s="362" t="s">
        <v>10</v>
      </c>
      <c r="K2354" s="362" t="s">
        <v>128</v>
      </c>
      <c r="L2354" s="362" t="s">
        <v>62</v>
      </c>
      <c r="M2354" s="362"/>
      <c r="N2354" s="579"/>
      <c r="O2354" s="635"/>
      <c r="P2354" s="636"/>
    </row>
    <row r="2355" spans="1:17" s="372" customFormat="1" ht="14" outlineLevel="2">
      <c r="A2355" s="405"/>
      <c r="B2355" s="415" t="s">
        <v>1270</v>
      </c>
      <c r="C2355" s="397" t="s">
        <v>477</v>
      </c>
      <c r="D2355" s="398"/>
      <c r="E2355" s="398"/>
      <c r="F2355" s="398"/>
      <c r="G2355" s="398">
        <f t="shared" si="579"/>
        <v>0</v>
      </c>
      <c r="H2355" s="398">
        <f t="shared" si="580"/>
        <v>0</v>
      </c>
      <c r="I2355" s="399"/>
      <c r="J2355" s="362" t="s">
        <v>10</v>
      </c>
      <c r="K2355" s="362" t="s">
        <v>128</v>
      </c>
      <c r="L2355" s="362" t="s">
        <v>62</v>
      </c>
      <c r="M2355" s="362"/>
      <c r="N2355" s="579"/>
      <c r="O2355" s="635"/>
      <c r="P2355" s="636"/>
    </row>
    <row r="2356" spans="1:17" s="372" customFormat="1" ht="14" outlineLevel="2">
      <c r="A2356" s="405" t="s">
        <v>8</v>
      </c>
      <c r="B2356" s="415" t="s">
        <v>1271</v>
      </c>
      <c r="C2356" s="397" t="s">
        <v>477</v>
      </c>
      <c r="D2356" s="398"/>
      <c r="E2356" s="398"/>
      <c r="F2356" s="398"/>
      <c r="G2356" s="398">
        <f t="shared" si="579"/>
        <v>0</v>
      </c>
      <c r="H2356" s="398">
        <f t="shared" si="580"/>
        <v>0</v>
      </c>
      <c r="I2356" s="399"/>
      <c r="J2356" s="362" t="s">
        <v>10</v>
      </c>
      <c r="K2356" s="362" t="s">
        <v>128</v>
      </c>
      <c r="L2356" s="362" t="s">
        <v>62</v>
      </c>
      <c r="M2356" s="362"/>
      <c r="N2356" s="579"/>
      <c r="O2356" s="635"/>
      <c r="P2356" s="636"/>
    </row>
    <row r="2357" spans="1:17" s="372" customFormat="1" ht="14" outlineLevel="2">
      <c r="A2357" s="405" t="s">
        <v>8</v>
      </c>
      <c r="B2357" s="415" t="s">
        <v>1272</v>
      </c>
      <c r="C2357" s="397" t="s">
        <v>477</v>
      </c>
      <c r="D2357" s="398"/>
      <c r="E2357" s="398"/>
      <c r="F2357" s="398"/>
      <c r="G2357" s="398">
        <f t="shared" si="579"/>
        <v>0</v>
      </c>
      <c r="H2357" s="398">
        <f t="shared" si="580"/>
        <v>0</v>
      </c>
      <c r="I2357" s="399"/>
      <c r="J2357" s="362" t="s">
        <v>10</v>
      </c>
      <c r="K2357" s="362" t="s">
        <v>128</v>
      </c>
      <c r="L2357" s="362" t="s">
        <v>62</v>
      </c>
      <c r="M2357" s="362"/>
      <c r="N2357" s="579"/>
      <c r="O2357" s="635"/>
      <c r="P2357" s="636"/>
    </row>
    <row r="2358" spans="1:17" s="413" customFormat="1" ht="14">
      <c r="A2358" s="452" t="s">
        <v>12</v>
      </c>
      <c r="B2358" s="453" t="s">
        <v>71</v>
      </c>
      <c r="C2358" s="454"/>
      <c r="D2358" s="455"/>
      <c r="E2358" s="455"/>
      <c r="F2358" s="456"/>
      <c r="G2358" s="642">
        <f>SUBTOTAL(9,G2359:G2363)</f>
        <v>0</v>
      </c>
      <c r="H2358" s="642">
        <f>SUBTOTAL(9,H2359:H2363)</f>
        <v>0</v>
      </c>
      <c r="I2358" s="455"/>
      <c r="J2358" s="411"/>
      <c r="K2358" s="424"/>
      <c r="L2358" s="424"/>
      <c r="M2358" s="410"/>
      <c r="N2358" s="643"/>
      <c r="O2358" s="463"/>
      <c r="P2358" s="464"/>
    </row>
    <row r="2359" spans="1:17" s="413" customFormat="1" ht="14" outlineLevel="1">
      <c r="A2359" s="388">
        <v>1</v>
      </c>
      <c r="B2359" s="644" t="s">
        <v>16</v>
      </c>
      <c r="C2359" s="549"/>
      <c r="D2359" s="479"/>
      <c r="E2359" s="479"/>
      <c r="F2359" s="409"/>
      <c r="G2359" s="479">
        <f>SUBTOTAL(9,G2360:G2361)</f>
        <v>0</v>
      </c>
      <c r="H2359" s="479">
        <f>SUBTOTAL(9,H2360:H2361)</f>
        <v>0</v>
      </c>
      <c r="I2359" s="645"/>
      <c r="J2359" s="411"/>
      <c r="K2359" s="412"/>
      <c r="L2359" s="416"/>
      <c r="M2359" s="460"/>
      <c r="N2359" s="463"/>
      <c r="O2359" s="470"/>
      <c r="P2359" s="414"/>
    </row>
    <row r="2360" spans="1:17" s="416" customFormat="1" ht="14" outlineLevel="2">
      <c r="A2360" s="388" t="s">
        <v>8</v>
      </c>
      <c r="B2360" s="646" t="s">
        <v>163</v>
      </c>
      <c r="C2360" s="397" t="s">
        <v>105</v>
      </c>
      <c r="D2360" s="398"/>
      <c r="E2360" s="398"/>
      <c r="F2360" s="398"/>
      <c r="G2360" s="398">
        <f t="shared" ref="G2360:G2361" si="581">F2360*D2360</f>
        <v>0</v>
      </c>
      <c r="H2360" s="398">
        <f t="shared" ref="H2360:H2361" si="582">F2360*E2360</f>
        <v>0</v>
      </c>
      <c r="I2360" s="399"/>
      <c r="J2360" s="362" t="s">
        <v>10</v>
      </c>
      <c r="K2360" s="411" t="s">
        <v>129</v>
      </c>
      <c r="L2360" s="411" t="s">
        <v>62</v>
      </c>
      <c r="M2360" s="460"/>
      <c r="N2360" s="463"/>
      <c r="O2360" s="470"/>
      <c r="P2360" s="417"/>
    </row>
    <row r="2361" spans="1:17" s="416" customFormat="1" ht="14" outlineLevel="2">
      <c r="A2361" s="388" t="s">
        <v>8</v>
      </c>
      <c r="B2361" s="646" t="s">
        <v>164</v>
      </c>
      <c r="C2361" s="397" t="s">
        <v>105</v>
      </c>
      <c r="D2361" s="398"/>
      <c r="E2361" s="398"/>
      <c r="F2361" s="398"/>
      <c r="G2361" s="398">
        <f t="shared" si="581"/>
        <v>0</v>
      </c>
      <c r="H2361" s="398">
        <f t="shared" si="582"/>
        <v>0</v>
      </c>
      <c r="I2361" s="399"/>
      <c r="J2361" s="362" t="s">
        <v>10</v>
      </c>
      <c r="K2361" s="411" t="s">
        <v>129</v>
      </c>
      <c r="L2361" s="411" t="s">
        <v>62</v>
      </c>
      <c r="M2361" s="460"/>
      <c r="N2361" s="463"/>
      <c r="O2361" s="470"/>
      <c r="P2361" s="417"/>
    </row>
    <row r="2362" spans="1:17" s="416" customFormat="1" ht="14" outlineLevel="1">
      <c r="A2362" s="388">
        <v>2</v>
      </c>
      <c r="B2362" s="644" t="s">
        <v>109</v>
      </c>
      <c r="C2362" s="549"/>
      <c r="D2362" s="479"/>
      <c r="E2362" s="479"/>
      <c r="F2362" s="409"/>
      <c r="G2362" s="479">
        <f>SUBTOTAL(9,G2363:G2363)</f>
        <v>0</v>
      </c>
      <c r="H2362" s="479">
        <f>SUBTOTAL(9,H2363:H2363)</f>
        <v>0</v>
      </c>
      <c r="I2362" s="645"/>
      <c r="J2362" s="411"/>
      <c r="K2362" s="411"/>
      <c r="M2362" s="460"/>
      <c r="N2362" s="463"/>
      <c r="O2362" s="470"/>
      <c r="P2362" s="417"/>
    </row>
    <row r="2363" spans="1:17" s="416" customFormat="1" ht="14" outlineLevel="2">
      <c r="A2363" s="405" t="s">
        <v>8</v>
      </c>
      <c r="B2363" s="646" t="s">
        <v>247</v>
      </c>
      <c r="C2363" s="397" t="s">
        <v>30</v>
      </c>
      <c r="D2363" s="398"/>
      <c r="E2363" s="398"/>
      <c r="F2363" s="398"/>
      <c r="G2363" s="398">
        <f>F2363*D2363</f>
        <v>0</v>
      </c>
      <c r="H2363" s="398">
        <f>F2363*E2363</f>
        <v>0</v>
      </c>
      <c r="I2363" s="399"/>
      <c r="J2363" s="362" t="s">
        <v>10</v>
      </c>
      <c r="K2363" s="411" t="s">
        <v>259</v>
      </c>
      <c r="L2363" s="411" t="s">
        <v>62</v>
      </c>
      <c r="M2363" s="460"/>
      <c r="N2363" s="463"/>
      <c r="O2363" s="470"/>
      <c r="P2363" s="417"/>
    </row>
    <row r="2364" spans="1:17" s="413" customFormat="1" ht="14">
      <c r="A2364" s="550" t="s">
        <v>19</v>
      </c>
      <c r="B2364" s="551" t="s">
        <v>63</v>
      </c>
      <c r="C2364" s="552"/>
      <c r="D2364" s="553"/>
      <c r="E2364" s="553"/>
      <c r="F2364" s="554"/>
      <c r="G2364" s="553">
        <f>SUBTOTAL(9,G2365:G2451)</f>
        <v>503193</v>
      </c>
      <c r="H2364" s="647">
        <f>SUBTOTAL(9,H2365:H2451)</f>
        <v>387511.53846153844</v>
      </c>
      <c r="I2364" s="553"/>
      <c r="J2364" s="411"/>
      <c r="K2364" s="648"/>
      <c r="L2364" s="648"/>
      <c r="M2364" s="424"/>
      <c r="N2364" s="643"/>
      <c r="O2364" s="463"/>
      <c r="P2364" s="464"/>
    </row>
    <row r="2365" spans="1:17" s="416" customFormat="1" ht="14" outlineLevel="1">
      <c r="A2365" s="388">
        <v>1</v>
      </c>
      <c r="B2365" s="350" t="s">
        <v>1437</v>
      </c>
      <c r="C2365" s="549"/>
      <c r="D2365" s="479"/>
      <c r="E2365" s="479"/>
      <c r="F2365" s="479"/>
      <c r="G2365" s="479">
        <f>SUBTOTAL(9,G2366:G2383)</f>
        <v>249552.30769230769</v>
      </c>
      <c r="H2365" s="479">
        <f>SUBTOTAL(9,H2366:H2383)</f>
        <v>157775.23076923075</v>
      </c>
      <c r="I2365" s="399"/>
      <c r="J2365" s="411"/>
      <c r="K2365" s="411"/>
      <c r="L2365" s="411"/>
      <c r="M2365" s="411"/>
      <c r="N2365" s="416" t="s">
        <v>127</v>
      </c>
      <c r="P2365" s="417"/>
      <c r="Q2365" s="556" t="s">
        <v>165</v>
      </c>
    </row>
    <row r="2366" spans="1:17" s="416" customFormat="1" ht="14" outlineLevel="2">
      <c r="A2366" s="388">
        <v>1.1000000000000001</v>
      </c>
      <c r="B2366" s="350" t="s">
        <v>64</v>
      </c>
      <c r="C2366" s="399"/>
      <c r="D2366" s="397"/>
      <c r="E2366" s="397"/>
      <c r="F2366" s="397"/>
      <c r="G2366" s="398">
        <f>F2366*D2366</f>
        <v>0</v>
      </c>
      <c r="H2366" s="398">
        <f>F2366*E2366</f>
        <v>0</v>
      </c>
      <c r="I2366" s="399"/>
      <c r="J2366" s="411"/>
      <c r="K2366" s="411"/>
      <c r="L2366" s="411"/>
      <c r="M2366" s="411"/>
      <c r="N2366" s="416" t="s">
        <v>127</v>
      </c>
      <c r="P2366" s="417"/>
      <c r="Q2366" s="556" t="s">
        <v>165</v>
      </c>
    </row>
    <row r="2367" spans="1:17" s="416" customFormat="1" ht="14" outlineLevel="3">
      <c r="A2367" s="400" t="s">
        <v>8</v>
      </c>
      <c r="B2367" s="548" t="s">
        <v>178</v>
      </c>
      <c r="C2367" s="397" t="s">
        <v>25</v>
      </c>
      <c r="D2367" s="398"/>
      <c r="E2367" s="398"/>
      <c r="F2367" s="398"/>
      <c r="G2367" s="398">
        <f t="shared" ref="G2367:G2368" si="583">F2367*D2367</f>
        <v>0</v>
      </c>
      <c r="H2367" s="398">
        <f t="shared" ref="H2367:H2368" si="584">F2367*E2367</f>
        <v>0</v>
      </c>
      <c r="I2367" s="399"/>
      <c r="J2367" s="362" t="s">
        <v>10</v>
      </c>
      <c r="K2367" s="411" t="s">
        <v>127</v>
      </c>
      <c r="L2367" s="411"/>
      <c r="M2367" s="411" t="s">
        <v>165</v>
      </c>
      <c r="N2367" s="460" t="s">
        <v>127</v>
      </c>
      <c r="P2367" s="417"/>
      <c r="Q2367" s="556" t="s">
        <v>165</v>
      </c>
    </row>
    <row r="2368" spans="1:17" s="416" customFormat="1" ht="14" outlineLevel="3">
      <c r="A2368" s="400" t="s">
        <v>8</v>
      </c>
      <c r="B2368" s="415" t="s">
        <v>146</v>
      </c>
      <c r="C2368" s="397" t="s">
        <v>25</v>
      </c>
      <c r="D2368" s="398"/>
      <c r="E2368" s="398"/>
      <c r="F2368" s="398"/>
      <c r="G2368" s="398">
        <f t="shared" si="583"/>
        <v>0</v>
      </c>
      <c r="H2368" s="398">
        <f t="shared" si="584"/>
        <v>0</v>
      </c>
      <c r="I2368" s="399"/>
      <c r="J2368" s="362" t="s">
        <v>10</v>
      </c>
      <c r="K2368" s="411" t="s">
        <v>127</v>
      </c>
      <c r="L2368" s="411"/>
      <c r="M2368" s="411" t="s">
        <v>165</v>
      </c>
      <c r="N2368" s="460" t="s">
        <v>127</v>
      </c>
      <c r="P2368" s="417"/>
      <c r="Q2368" s="556" t="s">
        <v>165</v>
      </c>
    </row>
    <row r="2369" spans="1:17" s="416" customFormat="1" ht="14" outlineLevel="3">
      <c r="A2369" s="400" t="s">
        <v>8</v>
      </c>
      <c r="B2369" s="350" t="s">
        <v>67</v>
      </c>
      <c r="C2369" s="399"/>
      <c r="D2369" s="397"/>
      <c r="E2369" s="397"/>
      <c r="F2369" s="397"/>
      <c r="G2369" s="398"/>
      <c r="H2369" s="398">
        <f>F2369*E2369</f>
        <v>0</v>
      </c>
      <c r="I2369" s="399"/>
      <c r="J2369" s="411"/>
      <c r="K2369" s="411"/>
      <c r="L2369" s="411"/>
      <c r="M2369" s="411"/>
      <c r="N2369" s="416" t="s">
        <v>127</v>
      </c>
      <c r="P2369" s="417"/>
      <c r="Q2369" s="556" t="s">
        <v>165</v>
      </c>
    </row>
    <row r="2370" spans="1:17" s="416" customFormat="1" ht="14" outlineLevel="3">
      <c r="A2370" s="388" t="s">
        <v>8</v>
      </c>
      <c r="B2370" s="548" t="s">
        <v>179</v>
      </c>
      <c r="C2370" s="397" t="s">
        <v>25</v>
      </c>
      <c r="D2370" s="398"/>
      <c r="E2370" s="398"/>
      <c r="F2370" s="398"/>
      <c r="G2370" s="398">
        <f>F2370*D2370</f>
        <v>0</v>
      </c>
      <c r="H2370" s="398">
        <f>F2370*E2370</f>
        <v>0</v>
      </c>
      <c r="I2370" s="399"/>
      <c r="J2370" s="362" t="s">
        <v>10</v>
      </c>
      <c r="K2370" s="411" t="s">
        <v>127</v>
      </c>
      <c r="L2370" s="411"/>
      <c r="M2370" s="411" t="s">
        <v>165</v>
      </c>
      <c r="N2370" s="460" t="s">
        <v>127</v>
      </c>
      <c r="P2370" s="417"/>
      <c r="Q2370" s="556" t="s">
        <v>165</v>
      </c>
    </row>
    <row r="2371" spans="1:17" s="416" customFormat="1" ht="14" outlineLevel="2">
      <c r="A2371" s="383">
        <v>1.2</v>
      </c>
      <c r="B2371" s="350" t="s">
        <v>68</v>
      </c>
      <c r="C2371" s="399"/>
      <c r="D2371" s="397"/>
      <c r="E2371" s="397"/>
      <c r="F2371" s="397"/>
      <c r="G2371" s="398">
        <f>F2371*D2371</f>
        <v>0</v>
      </c>
      <c r="H2371" s="398">
        <f>F2371*E2371</f>
        <v>0</v>
      </c>
      <c r="I2371" s="399"/>
      <c r="J2371" s="411"/>
      <c r="K2371" s="411"/>
      <c r="L2371" s="411"/>
      <c r="M2371" s="411"/>
      <c r="N2371" s="416" t="s">
        <v>127</v>
      </c>
      <c r="P2371" s="417"/>
      <c r="Q2371" s="556" t="s">
        <v>165</v>
      </c>
    </row>
    <row r="2372" spans="1:17" s="416" customFormat="1" ht="14" outlineLevel="3">
      <c r="A2372" s="400" t="s">
        <v>8</v>
      </c>
      <c r="B2372" s="415" t="s">
        <v>147</v>
      </c>
      <c r="C2372" s="397" t="s">
        <v>25</v>
      </c>
      <c r="D2372" s="398"/>
      <c r="E2372" s="398"/>
      <c r="F2372" s="398"/>
      <c r="G2372" s="398">
        <f>F2372*D2372</f>
        <v>0</v>
      </c>
      <c r="H2372" s="398">
        <f>F2372*E2372</f>
        <v>0</v>
      </c>
      <c r="I2372" s="399"/>
      <c r="J2372" s="411"/>
      <c r="K2372" s="411"/>
      <c r="L2372" s="411"/>
      <c r="M2372" s="411"/>
      <c r="N2372" s="416" t="s">
        <v>127</v>
      </c>
      <c r="P2372" s="417"/>
      <c r="Q2372" s="556" t="s">
        <v>165</v>
      </c>
    </row>
    <row r="2373" spans="1:17" s="416" customFormat="1" ht="14" outlineLevel="3">
      <c r="A2373" s="400" t="s">
        <v>8</v>
      </c>
      <c r="B2373" s="548" t="s">
        <v>180</v>
      </c>
      <c r="C2373" s="397" t="s">
        <v>25</v>
      </c>
      <c r="D2373" s="398"/>
      <c r="E2373" s="398"/>
      <c r="F2373" s="398"/>
      <c r="G2373" s="398">
        <f t="shared" ref="G2373:G2378" si="585">F2373*D2373</f>
        <v>0</v>
      </c>
      <c r="H2373" s="398">
        <f t="shared" ref="H2373:H2378" si="586">F2373*E2373</f>
        <v>0</v>
      </c>
      <c r="I2373" s="399"/>
      <c r="J2373" s="362" t="s">
        <v>10</v>
      </c>
      <c r="K2373" s="411" t="s">
        <v>127</v>
      </c>
      <c r="L2373" s="411"/>
      <c r="M2373" s="411" t="s">
        <v>165</v>
      </c>
      <c r="N2373" s="460" t="s">
        <v>127</v>
      </c>
      <c r="P2373" s="417"/>
      <c r="Q2373" s="556" t="s">
        <v>165</v>
      </c>
    </row>
    <row r="2374" spans="1:17" s="416" customFormat="1" ht="14" outlineLevel="3">
      <c r="A2374" s="400" t="s">
        <v>8</v>
      </c>
      <c r="B2374" s="548" t="s">
        <v>949</v>
      </c>
      <c r="C2374" s="397" t="s">
        <v>25</v>
      </c>
      <c r="D2374" s="320">
        <v>228</v>
      </c>
      <c r="E2374" s="320">
        <v>132</v>
      </c>
      <c r="F2374" s="320">
        <v>423</v>
      </c>
      <c r="G2374" s="398">
        <f t="shared" si="585"/>
        <v>96444</v>
      </c>
      <c r="H2374" s="398">
        <f t="shared" si="586"/>
        <v>55836</v>
      </c>
      <c r="I2374" s="399"/>
      <c r="J2374" s="362" t="s">
        <v>10</v>
      </c>
      <c r="K2374" s="411" t="s">
        <v>127</v>
      </c>
      <c r="L2374" s="411"/>
      <c r="M2374" s="411" t="s">
        <v>165</v>
      </c>
      <c r="N2374" s="460" t="s">
        <v>127</v>
      </c>
      <c r="P2374" s="417"/>
      <c r="Q2374" s="556" t="s">
        <v>165</v>
      </c>
    </row>
    <row r="2375" spans="1:17" s="416" customFormat="1" ht="14" outlineLevel="3">
      <c r="A2375" s="400" t="s">
        <v>8</v>
      </c>
      <c r="B2375" s="548" t="s">
        <v>181</v>
      </c>
      <c r="C2375" s="397" t="s">
        <v>25</v>
      </c>
      <c r="D2375" s="398"/>
      <c r="E2375" s="398"/>
      <c r="F2375" s="398"/>
      <c r="G2375" s="398">
        <f t="shared" si="585"/>
        <v>0</v>
      </c>
      <c r="H2375" s="398">
        <f t="shared" si="586"/>
        <v>0</v>
      </c>
      <c r="I2375" s="399"/>
      <c r="J2375" s="362" t="s">
        <v>10</v>
      </c>
      <c r="K2375" s="411" t="s">
        <v>127</v>
      </c>
      <c r="L2375" s="411"/>
      <c r="M2375" s="411" t="s">
        <v>165</v>
      </c>
      <c r="N2375" s="460" t="s">
        <v>127</v>
      </c>
      <c r="P2375" s="417"/>
      <c r="Q2375" s="556" t="s">
        <v>165</v>
      </c>
    </row>
    <row r="2376" spans="1:17" s="416" customFormat="1" ht="14" outlineLevel="3">
      <c r="A2376" s="400" t="s">
        <v>8</v>
      </c>
      <c r="B2376" s="548" t="s">
        <v>182</v>
      </c>
      <c r="C2376" s="397" t="s">
        <v>25</v>
      </c>
      <c r="D2376" s="398"/>
      <c r="E2376" s="398"/>
      <c r="F2376" s="398"/>
      <c r="G2376" s="398">
        <f t="shared" si="585"/>
        <v>0</v>
      </c>
      <c r="H2376" s="398">
        <f t="shared" si="586"/>
        <v>0</v>
      </c>
      <c r="I2376" s="399"/>
      <c r="J2376" s="362" t="s">
        <v>10</v>
      </c>
      <c r="K2376" s="411" t="s">
        <v>127</v>
      </c>
      <c r="L2376" s="411"/>
      <c r="M2376" s="411" t="s">
        <v>165</v>
      </c>
      <c r="N2376" s="460" t="s">
        <v>127</v>
      </c>
      <c r="P2376" s="417"/>
      <c r="Q2376" s="556" t="s">
        <v>165</v>
      </c>
    </row>
    <row r="2377" spans="1:17" s="416" customFormat="1" ht="14" outlineLevel="3">
      <c r="A2377" s="400" t="s">
        <v>8</v>
      </c>
      <c r="B2377" s="548" t="s">
        <v>183</v>
      </c>
      <c r="C2377" s="397" t="s">
        <v>25</v>
      </c>
      <c r="D2377" s="398"/>
      <c r="E2377" s="398"/>
      <c r="F2377" s="398"/>
      <c r="G2377" s="398">
        <f t="shared" si="585"/>
        <v>0</v>
      </c>
      <c r="H2377" s="398">
        <f t="shared" si="586"/>
        <v>0</v>
      </c>
      <c r="I2377" s="399"/>
      <c r="J2377" s="362" t="s">
        <v>10</v>
      </c>
      <c r="K2377" s="411" t="s">
        <v>127</v>
      </c>
      <c r="L2377" s="411"/>
      <c r="M2377" s="411" t="s">
        <v>165</v>
      </c>
      <c r="N2377" s="460"/>
      <c r="P2377" s="417"/>
      <c r="Q2377" s="556" t="s">
        <v>165</v>
      </c>
    </row>
    <row r="2378" spans="1:17" s="416" customFormat="1" ht="14" outlineLevel="3">
      <c r="A2378" s="400" t="s">
        <v>8</v>
      </c>
      <c r="B2378" s="548" t="s">
        <v>184</v>
      </c>
      <c r="C2378" s="397" t="s">
        <v>25</v>
      </c>
      <c r="D2378" s="398"/>
      <c r="E2378" s="398"/>
      <c r="F2378" s="398"/>
      <c r="G2378" s="398">
        <f t="shared" si="585"/>
        <v>0</v>
      </c>
      <c r="H2378" s="398">
        <f t="shared" si="586"/>
        <v>0</v>
      </c>
      <c r="I2378" s="399"/>
      <c r="J2378" s="362" t="s">
        <v>10</v>
      </c>
      <c r="K2378" s="411" t="s">
        <v>127</v>
      </c>
      <c r="L2378" s="411"/>
      <c r="M2378" s="411" t="s">
        <v>165</v>
      </c>
      <c r="N2378" s="460" t="s">
        <v>132</v>
      </c>
      <c r="P2378" s="417"/>
      <c r="Q2378" s="556" t="s">
        <v>165</v>
      </c>
    </row>
    <row r="2379" spans="1:17" s="416" customFormat="1" ht="14" outlineLevel="2">
      <c r="A2379" s="388">
        <v>1.3</v>
      </c>
      <c r="B2379" s="350" t="s">
        <v>69</v>
      </c>
      <c r="C2379" s="399"/>
      <c r="D2379" s="397"/>
      <c r="E2379" s="397"/>
      <c r="F2379" s="397"/>
      <c r="G2379" s="398">
        <f>F2379*D2379</f>
        <v>0</v>
      </c>
      <c r="H2379" s="398">
        <f>F2379*E2379</f>
        <v>0</v>
      </c>
      <c r="I2379" s="399"/>
      <c r="J2379" s="411"/>
      <c r="K2379" s="411"/>
      <c r="L2379" s="411"/>
      <c r="M2379" s="411"/>
      <c r="N2379" s="416" t="s">
        <v>132</v>
      </c>
      <c r="P2379" s="417"/>
      <c r="Q2379" s="556" t="s">
        <v>165</v>
      </c>
    </row>
    <row r="2380" spans="1:17" s="416" customFormat="1" ht="14" outlineLevel="3">
      <c r="A2380" s="400" t="s">
        <v>8</v>
      </c>
      <c r="B2380" s="415" t="s">
        <v>51</v>
      </c>
      <c r="C2380" s="397" t="s">
        <v>50</v>
      </c>
      <c r="D2380" s="320">
        <v>3507.6923076923076</v>
      </c>
      <c r="E2380" s="320">
        <v>2030.7692307692307</v>
      </c>
      <c r="F2380" s="320">
        <v>38</v>
      </c>
      <c r="G2380" s="398">
        <f t="shared" ref="G2380:G2381" si="587">F2380*D2380</f>
        <v>133292.30769230769</v>
      </c>
      <c r="H2380" s="398">
        <f t="shared" ref="H2380:H2381" si="588">F2380*E2380</f>
        <v>77169.230769230766</v>
      </c>
      <c r="I2380" s="399"/>
      <c r="J2380" s="362" t="s">
        <v>10</v>
      </c>
      <c r="K2380" s="411" t="s">
        <v>127</v>
      </c>
      <c r="L2380" s="411"/>
      <c r="M2380" s="411" t="s">
        <v>165</v>
      </c>
      <c r="N2380" s="460" t="s">
        <v>132</v>
      </c>
      <c r="P2380" s="417"/>
      <c r="Q2380" s="556" t="s">
        <v>165</v>
      </c>
    </row>
    <row r="2381" spans="1:17" s="416" customFormat="1" ht="14" outlineLevel="3">
      <c r="A2381" s="400" t="s">
        <v>8</v>
      </c>
      <c r="B2381" s="415" t="s">
        <v>52</v>
      </c>
      <c r="C2381" s="397" t="s">
        <v>50</v>
      </c>
      <c r="D2381" s="398"/>
      <c r="E2381" s="398"/>
      <c r="F2381" s="398"/>
      <c r="G2381" s="398">
        <f t="shared" si="587"/>
        <v>0</v>
      </c>
      <c r="H2381" s="398">
        <f t="shared" si="588"/>
        <v>0</v>
      </c>
      <c r="I2381" s="399"/>
      <c r="J2381" s="362" t="s">
        <v>10</v>
      </c>
      <c r="K2381" s="411" t="s">
        <v>127</v>
      </c>
      <c r="L2381" s="411"/>
      <c r="M2381" s="411" t="s">
        <v>165</v>
      </c>
      <c r="N2381" s="460" t="s">
        <v>132</v>
      </c>
      <c r="P2381" s="417"/>
      <c r="Q2381" s="556" t="s">
        <v>165</v>
      </c>
    </row>
    <row r="2382" spans="1:17" s="416" customFormat="1" ht="14" outlineLevel="2">
      <c r="A2382" s="388">
        <v>1.4</v>
      </c>
      <c r="B2382" s="350" t="s">
        <v>1438</v>
      </c>
      <c r="C2382" s="399"/>
      <c r="D2382" s="397"/>
      <c r="E2382" s="397"/>
      <c r="F2382" s="397"/>
      <c r="G2382" s="398">
        <f>F2382*D2382</f>
        <v>0</v>
      </c>
      <c r="H2382" s="398">
        <f>F2382*E2382</f>
        <v>0</v>
      </c>
      <c r="I2382" s="399"/>
      <c r="J2382" s="411"/>
      <c r="K2382" s="411"/>
      <c r="L2382" s="411"/>
      <c r="M2382" s="411"/>
      <c r="N2382" s="416" t="s">
        <v>127</v>
      </c>
      <c r="P2382" s="417"/>
      <c r="Q2382" s="556" t="s">
        <v>165</v>
      </c>
    </row>
    <row r="2383" spans="1:17" s="416" customFormat="1" ht="14" outlineLevel="3">
      <c r="A2383" s="400" t="s">
        <v>8</v>
      </c>
      <c r="B2383" s="548" t="s">
        <v>1439</v>
      </c>
      <c r="C2383" s="397" t="s">
        <v>908</v>
      </c>
      <c r="D2383" s="320">
        <v>8</v>
      </c>
      <c r="E2383" s="320">
        <v>10</v>
      </c>
      <c r="F2383" s="320">
        <v>2477</v>
      </c>
      <c r="G2383" s="398">
        <f t="shared" ref="G2383" si="589">F2383*D2383</f>
        <v>19816</v>
      </c>
      <c r="H2383" s="398">
        <f t="shared" ref="H2383" si="590">F2383*E2383</f>
        <v>24770</v>
      </c>
      <c r="I2383" s="399"/>
      <c r="J2383" s="362" t="s">
        <v>10</v>
      </c>
      <c r="K2383" s="411" t="s">
        <v>127</v>
      </c>
      <c r="L2383" s="411"/>
      <c r="M2383" s="411" t="s">
        <v>165</v>
      </c>
      <c r="N2383" s="460" t="s">
        <v>127</v>
      </c>
      <c r="P2383" s="417"/>
      <c r="Q2383" s="556" t="s">
        <v>165</v>
      </c>
    </row>
    <row r="2384" spans="1:17" s="413" customFormat="1" ht="14" outlineLevel="1">
      <c r="A2384" s="466">
        <v>2</v>
      </c>
      <c r="B2384" s="350" t="s">
        <v>1440</v>
      </c>
      <c r="C2384" s="549"/>
      <c r="D2384" s="479"/>
      <c r="E2384" s="479"/>
      <c r="F2384" s="479"/>
      <c r="G2384" s="479">
        <f>SUBTOTAL(9,G2386:G2402)</f>
        <v>32243.692307692309</v>
      </c>
      <c r="H2384" s="391">
        <f>SUBTOTAL(9,H2386:H2402)</f>
        <v>229736.30769230769</v>
      </c>
      <c r="I2384" s="392"/>
      <c r="J2384" s="411"/>
      <c r="K2384" s="649"/>
      <c r="L2384" s="411"/>
      <c r="M2384" s="412"/>
      <c r="N2384" s="413" t="s">
        <v>132</v>
      </c>
      <c r="P2384" s="414"/>
      <c r="Q2384" s="556" t="s">
        <v>165</v>
      </c>
    </row>
    <row r="2385" spans="1:17" s="416" customFormat="1" ht="14" outlineLevel="2">
      <c r="A2385" s="400">
        <v>2.1</v>
      </c>
      <c r="B2385" s="350" t="s">
        <v>65</v>
      </c>
      <c r="C2385" s="399"/>
      <c r="D2385" s="397"/>
      <c r="E2385" s="397"/>
      <c r="F2385" s="397"/>
      <c r="G2385" s="398"/>
      <c r="H2385" s="398"/>
      <c r="I2385" s="399"/>
      <c r="J2385" s="411"/>
      <c r="K2385" s="649"/>
      <c r="L2385" s="411"/>
      <c r="M2385" s="411"/>
      <c r="N2385" s="416" t="s">
        <v>132</v>
      </c>
      <c r="P2385" s="417"/>
      <c r="Q2385" s="556" t="s">
        <v>165</v>
      </c>
    </row>
    <row r="2386" spans="1:17" s="416" customFormat="1" ht="14" outlineLevel="3">
      <c r="A2386" s="400"/>
      <c r="B2386" s="650" t="s">
        <v>66</v>
      </c>
      <c r="C2386" s="399"/>
      <c r="D2386" s="397"/>
      <c r="E2386" s="397"/>
      <c r="F2386" s="397"/>
      <c r="G2386" s="398"/>
      <c r="H2386" s="398"/>
      <c r="I2386" s="399"/>
      <c r="J2386" s="411"/>
      <c r="K2386" s="649"/>
      <c r="L2386" s="411"/>
      <c r="M2386" s="411"/>
      <c r="N2386" s="416" t="s">
        <v>132</v>
      </c>
      <c r="P2386" s="417"/>
      <c r="Q2386" s="556" t="s">
        <v>165</v>
      </c>
    </row>
    <row r="2387" spans="1:17" s="416" customFormat="1" ht="14" outlineLevel="3">
      <c r="A2387" s="400"/>
      <c r="B2387" s="548" t="s">
        <v>178</v>
      </c>
      <c r="C2387" s="397" t="s">
        <v>25</v>
      </c>
      <c r="D2387" s="398"/>
      <c r="E2387" s="398"/>
      <c r="F2387" s="398"/>
      <c r="G2387" s="398">
        <f t="shared" ref="G2387:G2389" si="591">F2387*D2387</f>
        <v>0</v>
      </c>
      <c r="H2387" s="398">
        <f t="shared" ref="H2387:H2389" si="592">F2387*E2387</f>
        <v>0</v>
      </c>
      <c r="I2387" s="399"/>
      <c r="J2387" s="362" t="s">
        <v>10</v>
      </c>
      <c r="K2387" s="411" t="s">
        <v>128</v>
      </c>
      <c r="L2387" s="411"/>
      <c r="M2387" s="411" t="s">
        <v>165</v>
      </c>
      <c r="N2387" s="460" t="s">
        <v>132</v>
      </c>
      <c r="P2387" s="417"/>
      <c r="Q2387" s="556" t="s">
        <v>165</v>
      </c>
    </row>
    <row r="2388" spans="1:17" s="416" customFormat="1" ht="14" outlineLevel="3">
      <c r="A2388" s="400"/>
      <c r="B2388" s="548" t="s">
        <v>189</v>
      </c>
      <c r="C2388" s="397" t="s">
        <v>25</v>
      </c>
      <c r="D2388" s="398"/>
      <c r="E2388" s="398"/>
      <c r="F2388" s="398"/>
      <c r="G2388" s="398">
        <f t="shared" si="591"/>
        <v>0</v>
      </c>
      <c r="H2388" s="398">
        <f t="shared" si="592"/>
        <v>0</v>
      </c>
      <c r="I2388" s="399"/>
      <c r="J2388" s="362" t="s">
        <v>10</v>
      </c>
      <c r="K2388" s="411" t="s">
        <v>128</v>
      </c>
      <c r="L2388" s="411"/>
      <c r="M2388" s="411"/>
      <c r="N2388" s="460" t="s">
        <v>132</v>
      </c>
      <c r="P2388" s="417"/>
      <c r="Q2388" s="556" t="s">
        <v>165</v>
      </c>
    </row>
    <row r="2389" spans="1:17" s="416" customFormat="1" ht="14" outlineLevel="3">
      <c r="A2389" s="400"/>
      <c r="B2389" s="415" t="s">
        <v>146</v>
      </c>
      <c r="C2389" s="397" t="s">
        <v>25</v>
      </c>
      <c r="D2389" s="398"/>
      <c r="E2389" s="398"/>
      <c r="F2389" s="397"/>
      <c r="G2389" s="398">
        <f t="shared" si="591"/>
        <v>0</v>
      </c>
      <c r="H2389" s="398">
        <f t="shared" si="592"/>
        <v>0</v>
      </c>
      <c r="I2389" s="399"/>
      <c r="J2389" s="362" t="s">
        <v>10</v>
      </c>
      <c r="K2389" s="411" t="s">
        <v>128</v>
      </c>
      <c r="L2389" s="411"/>
      <c r="M2389" s="411" t="s">
        <v>165</v>
      </c>
      <c r="N2389" s="460" t="s">
        <v>132</v>
      </c>
      <c r="P2389" s="417"/>
      <c r="Q2389" s="556" t="s">
        <v>165</v>
      </c>
    </row>
    <row r="2390" spans="1:17" s="416" customFormat="1" ht="14" outlineLevel="3">
      <c r="A2390" s="400"/>
      <c r="B2390" s="650" t="s">
        <v>67</v>
      </c>
      <c r="C2390" s="399"/>
      <c r="D2390" s="397"/>
      <c r="E2390" s="397"/>
      <c r="F2390" s="397"/>
      <c r="G2390" s="398"/>
      <c r="H2390" s="398"/>
      <c r="I2390" s="399"/>
      <c r="J2390" s="411"/>
      <c r="K2390" s="649"/>
      <c r="L2390" s="411"/>
      <c r="M2390" s="411"/>
      <c r="N2390" s="416" t="s">
        <v>132</v>
      </c>
      <c r="P2390" s="417"/>
      <c r="Q2390" s="556" t="s">
        <v>165</v>
      </c>
    </row>
    <row r="2391" spans="1:17" s="416" customFormat="1" ht="14" outlineLevel="3">
      <c r="A2391" s="400"/>
      <c r="B2391" s="548" t="s">
        <v>179</v>
      </c>
      <c r="C2391" s="397" t="s">
        <v>25</v>
      </c>
      <c r="D2391" s="398"/>
      <c r="E2391" s="398"/>
      <c r="F2391" s="398"/>
      <c r="G2391" s="398">
        <f>F2391*D2391</f>
        <v>0</v>
      </c>
      <c r="H2391" s="398">
        <f>F2391*E2391</f>
        <v>0</v>
      </c>
      <c r="I2391" s="399"/>
      <c r="J2391" s="362" t="s">
        <v>10</v>
      </c>
      <c r="K2391" s="411" t="s">
        <v>128</v>
      </c>
      <c r="L2391" s="411"/>
      <c r="M2391" s="411" t="s">
        <v>165</v>
      </c>
      <c r="N2391" s="460"/>
      <c r="P2391" s="417"/>
      <c r="Q2391" s="556" t="s">
        <v>165</v>
      </c>
    </row>
    <row r="2392" spans="1:17" s="416" customFormat="1" ht="14" outlineLevel="2">
      <c r="A2392" s="400">
        <v>2.2000000000000002</v>
      </c>
      <c r="B2392" s="350" t="s">
        <v>68</v>
      </c>
      <c r="C2392" s="392"/>
      <c r="D2392" s="397"/>
      <c r="E2392" s="397"/>
      <c r="F2392" s="397"/>
      <c r="G2392" s="398"/>
      <c r="H2392" s="398"/>
      <c r="I2392" s="399"/>
      <c r="J2392" s="411"/>
      <c r="K2392" s="649"/>
      <c r="L2392" s="411"/>
      <c r="M2392" s="411"/>
      <c r="N2392" s="416" t="s">
        <v>213</v>
      </c>
      <c r="P2392" s="417"/>
      <c r="Q2392" s="556" t="s">
        <v>165</v>
      </c>
    </row>
    <row r="2393" spans="1:17" s="416" customFormat="1" ht="14" outlineLevel="3">
      <c r="A2393" s="400"/>
      <c r="B2393" s="548" t="s">
        <v>190</v>
      </c>
      <c r="C2393" s="397" t="s">
        <v>25</v>
      </c>
      <c r="D2393" s="398"/>
      <c r="E2393" s="398"/>
      <c r="F2393" s="398"/>
      <c r="G2393" s="398">
        <f t="shared" ref="G2393:G2399" si="593">F2393*D2393</f>
        <v>0</v>
      </c>
      <c r="H2393" s="398">
        <f t="shared" ref="H2393:H2399" si="594">F2393*E2393</f>
        <v>0</v>
      </c>
      <c r="I2393" s="399"/>
      <c r="J2393" s="362" t="s">
        <v>10</v>
      </c>
      <c r="K2393" s="411" t="s">
        <v>128</v>
      </c>
      <c r="L2393" s="411"/>
      <c r="M2393" s="411"/>
      <c r="N2393" s="460" t="s">
        <v>213</v>
      </c>
      <c r="P2393" s="417"/>
      <c r="Q2393" s="556" t="s">
        <v>165</v>
      </c>
    </row>
    <row r="2394" spans="1:17" s="416" customFormat="1" ht="14" outlineLevel="3">
      <c r="A2394" s="400"/>
      <c r="B2394" s="548" t="s">
        <v>180</v>
      </c>
      <c r="C2394" s="397" t="s">
        <v>25</v>
      </c>
      <c r="D2394" s="398"/>
      <c r="E2394" s="398"/>
      <c r="F2394" s="398"/>
      <c r="G2394" s="398">
        <f t="shared" si="593"/>
        <v>0</v>
      </c>
      <c r="H2394" s="398">
        <f t="shared" si="594"/>
        <v>0</v>
      </c>
      <c r="I2394" s="399"/>
      <c r="J2394" s="362" t="s">
        <v>10</v>
      </c>
      <c r="K2394" s="411" t="s">
        <v>128</v>
      </c>
      <c r="L2394" s="411"/>
      <c r="M2394" s="411" t="s">
        <v>165</v>
      </c>
      <c r="N2394" s="460" t="s">
        <v>213</v>
      </c>
      <c r="P2394" s="417"/>
      <c r="Q2394" s="556" t="s">
        <v>165</v>
      </c>
    </row>
    <row r="2395" spans="1:17" s="416" customFormat="1" ht="14" outlineLevel="3">
      <c r="A2395" s="400"/>
      <c r="B2395" s="548" t="s">
        <v>949</v>
      </c>
      <c r="C2395" s="397" t="s">
        <v>25</v>
      </c>
      <c r="D2395" s="320">
        <v>32</v>
      </c>
      <c r="E2395" s="320">
        <v>228</v>
      </c>
      <c r="F2395" s="320">
        <v>423</v>
      </c>
      <c r="G2395" s="398">
        <f t="shared" si="593"/>
        <v>13536</v>
      </c>
      <c r="H2395" s="398">
        <f t="shared" si="594"/>
        <v>96444</v>
      </c>
      <c r="I2395" s="399"/>
      <c r="J2395" s="362" t="s">
        <v>10</v>
      </c>
      <c r="K2395" s="411" t="s">
        <v>128</v>
      </c>
      <c r="L2395" s="411"/>
      <c r="M2395" s="411" t="s">
        <v>165</v>
      </c>
      <c r="N2395" s="460" t="s">
        <v>213</v>
      </c>
      <c r="P2395" s="417"/>
      <c r="Q2395" s="556" t="s">
        <v>165</v>
      </c>
    </row>
    <row r="2396" spans="1:17" s="416" customFormat="1" ht="14" outlineLevel="3">
      <c r="A2396" s="400"/>
      <c r="B2396" s="548" t="s">
        <v>181</v>
      </c>
      <c r="C2396" s="397" t="s">
        <v>25</v>
      </c>
      <c r="D2396" s="398"/>
      <c r="E2396" s="398"/>
      <c r="F2396" s="398"/>
      <c r="G2396" s="398">
        <f t="shared" si="593"/>
        <v>0</v>
      </c>
      <c r="H2396" s="398">
        <f t="shared" si="594"/>
        <v>0</v>
      </c>
      <c r="I2396" s="399"/>
      <c r="J2396" s="362" t="s">
        <v>10</v>
      </c>
      <c r="K2396" s="411" t="s">
        <v>128</v>
      </c>
      <c r="L2396" s="411"/>
      <c r="M2396" s="411" t="s">
        <v>165</v>
      </c>
      <c r="N2396" s="460" t="s">
        <v>213</v>
      </c>
      <c r="P2396" s="417"/>
      <c r="Q2396" s="556" t="s">
        <v>165</v>
      </c>
    </row>
    <row r="2397" spans="1:17" s="416" customFormat="1" ht="14" outlineLevel="3">
      <c r="A2397" s="400"/>
      <c r="B2397" s="548" t="s">
        <v>182</v>
      </c>
      <c r="C2397" s="397" t="s">
        <v>25</v>
      </c>
      <c r="D2397" s="398"/>
      <c r="E2397" s="398"/>
      <c r="F2397" s="398"/>
      <c r="G2397" s="398">
        <f t="shared" si="593"/>
        <v>0</v>
      </c>
      <c r="H2397" s="398">
        <f t="shared" si="594"/>
        <v>0</v>
      </c>
      <c r="I2397" s="399"/>
      <c r="J2397" s="362" t="s">
        <v>10</v>
      </c>
      <c r="K2397" s="411" t="s">
        <v>128</v>
      </c>
      <c r="L2397" s="411"/>
      <c r="M2397" s="411" t="s">
        <v>165</v>
      </c>
      <c r="N2397" s="460"/>
      <c r="P2397" s="417"/>
      <c r="Q2397" s="556" t="s">
        <v>165</v>
      </c>
    </row>
    <row r="2398" spans="1:17" s="416" customFormat="1" ht="14" outlineLevel="3">
      <c r="A2398" s="400"/>
      <c r="B2398" s="548" t="s">
        <v>183</v>
      </c>
      <c r="C2398" s="397" t="s">
        <v>25</v>
      </c>
      <c r="D2398" s="398"/>
      <c r="E2398" s="398"/>
      <c r="F2398" s="398"/>
      <c r="G2398" s="398">
        <f t="shared" si="593"/>
        <v>0</v>
      </c>
      <c r="H2398" s="398">
        <f t="shared" si="594"/>
        <v>0</v>
      </c>
      <c r="I2398" s="399"/>
      <c r="J2398" s="362" t="s">
        <v>10</v>
      </c>
      <c r="K2398" s="411" t="s">
        <v>128</v>
      </c>
      <c r="L2398" s="411"/>
      <c r="M2398" s="411" t="s">
        <v>165</v>
      </c>
      <c r="N2398" s="460" t="s">
        <v>132</v>
      </c>
      <c r="P2398" s="417"/>
      <c r="Q2398" s="556" t="s">
        <v>165</v>
      </c>
    </row>
    <row r="2399" spans="1:17" s="416" customFormat="1" ht="14" outlineLevel="3">
      <c r="A2399" s="400"/>
      <c r="B2399" s="548" t="s">
        <v>184</v>
      </c>
      <c r="C2399" s="397" t="s">
        <v>25</v>
      </c>
      <c r="D2399" s="398"/>
      <c r="E2399" s="398"/>
      <c r="F2399" s="398"/>
      <c r="G2399" s="398">
        <f t="shared" si="593"/>
        <v>0</v>
      </c>
      <c r="H2399" s="398">
        <f t="shared" si="594"/>
        <v>0</v>
      </c>
      <c r="I2399" s="399"/>
      <c r="J2399" s="362" t="s">
        <v>10</v>
      </c>
      <c r="K2399" s="411" t="s">
        <v>128</v>
      </c>
      <c r="L2399" s="411"/>
      <c r="M2399" s="411" t="s">
        <v>165</v>
      </c>
      <c r="N2399" s="460" t="s">
        <v>132</v>
      </c>
      <c r="P2399" s="417"/>
      <c r="Q2399" s="556" t="s">
        <v>165</v>
      </c>
    </row>
    <row r="2400" spans="1:17" s="416" customFormat="1" ht="14" outlineLevel="2">
      <c r="A2400" s="400">
        <v>2.2999999999999998</v>
      </c>
      <c r="B2400" s="350" t="s">
        <v>69</v>
      </c>
      <c r="C2400" s="392"/>
      <c r="D2400" s="397"/>
      <c r="E2400" s="397"/>
      <c r="F2400" s="397"/>
      <c r="G2400" s="398"/>
      <c r="H2400" s="398"/>
      <c r="I2400" s="399"/>
      <c r="J2400" s="411"/>
      <c r="K2400" s="649"/>
      <c r="L2400" s="411"/>
      <c r="M2400" s="411"/>
      <c r="P2400" s="417"/>
      <c r="Q2400" s="556" t="s">
        <v>165</v>
      </c>
    </row>
    <row r="2401" spans="1:17" s="416" customFormat="1" ht="14" outlineLevel="3">
      <c r="A2401" s="400"/>
      <c r="B2401" s="415" t="s">
        <v>51</v>
      </c>
      <c r="C2401" s="397" t="s">
        <v>50</v>
      </c>
      <c r="D2401" s="320">
        <v>492.30769230769232</v>
      </c>
      <c r="E2401" s="320">
        <v>3507.6923076923076</v>
      </c>
      <c r="F2401" s="320">
        <v>38</v>
      </c>
      <c r="G2401" s="398">
        <f t="shared" ref="G2401:G2402" si="595">F2401*D2401</f>
        <v>18707.692307692309</v>
      </c>
      <c r="H2401" s="398">
        <f t="shared" ref="H2401:H2402" si="596">F2401*E2401</f>
        <v>133292.30769230769</v>
      </c>
      <c r="I2401" s="399"/>
      <c r="J2401" s="362" t="s">
        <v>10</v>
      </c>
      <c r="K2401" s="411" t="s">
        <v>128</v>
      </c>
      <c r="L2401" s="411"/>
      <c r="M2401" s="411" t="s">
        <v>165</v>
      </c>
      <c r="N2401" s="460" t="s">
        <v>93</v>
      </c>
      <c r="P2401" s="417"/>
      <c r="Q2401" s="556" t="s">
        <v>165</v>
      </c>
    </row>
    <row r="2402" spans="1:17" s="416" customFormat="1" ht="14" outlineLevel="3">
      <c r="A2402" s="400"/>
      <c r="B2402" s="415" t="s">
        <v>52</v>
      </c>
      <c r="C2402" s="397" t="s">
        <v>50</v>
      </c>
      <c r="D2402" s="398"/>
      <c r="E2402" s="398"/>
      <c r="F2402" s="398"/>
      <c r="G2402" s="398">
        <f t="shared" si="595"/>
        <v>0</v>
      </c>
      <c r="H2402" s="398">
        <f t="shared" si="596"/>
        <v>0</v>
      </c>
      <c r="I2402" s="399"/>
      <c r="J2402" s="362" t="s">
        <v>10</v>
      </c>
      <c r="K2402" s="411" t="s">
        <v>128</v>
      </c>
      <c r="L2402" s="411"/>
      <c r="M2402" s="411" t="s">
        <v>165</v>
      </c>
      <c r="N2402" s="460" t="s">
        <v>93</v>
      </c>
      <c r="P2402" s="417"/>
      <c r="Q2402" s="556" t="s">
        <v>165</v>
      </c>
    </row>
    <row r="2403" spans="1:17" s="416" customFormat="1" ht="14" outlineLevel="1">
      <c r="A2403" s="388">
        <v>3</v>
      </c>
      <c r="B2403" s="350" t="s">
        <v>1441</v>
      </c>
      <c r="C2403" s="549"/>
      <c r="D2403" s="479"/>
      <c r="E2403" s="479"/>
      <c r="F2403" s="479"/>
      <c r="G2403" s="479">
        <f>SUBTOTAL(9,G2404:G2419)</f>
        <v>136797</v>
      </c>
      <c r="H2403" s="391">
        <f>+SUBTOTAL(9,H2404:H2419)</f>
        <v>0</v>
      </c>
      <c r="I2403" s="399"/>
      <c r="J2403" s="411"/>
      <c r="K2403" s="411"/>
      <c r="L2403" s="411"/>
      <c r="M2403" s="411"/>
      <c r="N2403" s="416" t="s">
        <v>93</v>
      </c>
      <c r="P2403" s="417"/>
      <c r="Q2403" s="556" t="s">
        <v>165</v>
      </c>
    </row>
    <row r="2404" spans="1:17" s="416" customFormat="1" ht="14" outlineLevel="2">
      <c r="A2404" s="388"/>
      <c r="B2404" s="650" t="s">
        <v>66</v>
      </c>
      <c r="C2404" s="399"/>
      <c r="D2404" s="397"/>
      <c r="E2404" s="397"/>
      <c r="F2404" s="397"/>
      <c r="G2404" s="398"/>
      <c r="H2404" s="398"/>
      <c r="I2404" s="399"/>
      <c r="J2404" s="411"/>
      <c r="K2404" s="411"/>
      <c r="L2404" s="411"/>
      <c r="M2404" s="411"/>
      <c r="N2404" s="416" t="s">
        <v>93</v>
      </c>
      <c r="P2404" s="417"/>
      <c r="Q2404" s="556" t="s">
        <v>165</v>
      </c>
    </row>
    <row r="2405" spans="1:17" s="416" customFormat="1" ht="14" outlineLevel="3">
      <c r="A2405" s="388"/>
      <c r="B2405" s="415" t="s">
        <v>317</v>
      </c>
      <c r="C2405" s="399" t="s">
        <v>25</v>
      </c>
      <c r="D2405" s="398"/>
      <c r="E2405" s="398"/>
      <c r="F2405" s="398"/>
      <c r="G2405" s="398">
        <f t="shared" ref="G2405:G2406" si="597">F2405*D2405</f>
        <v>0</v>
      </c>
      <c r="H2405" s="398">
        <f t="shared" ref="H2405:H2406" si="598">F2405*E2405</f>
        <v>0</v>
      </c>
      <c r="I2405" s="399"/>
      <c r="J2405" s="362" t="s">
        <v>10</v>
      </c>
      <c r="K2405" s="411" t="s">
        <v>124</v>
      </c>
      <c r="L2405" s="411"/>
      <c r="M2405" s="411" t="s">
        <v>165</v>
      </c>
      <c r="N2405" s="460" t="s">
        <v>93</v>
      </c>
      <c r="P2405" s="417"/>
      <c r="Q2405" s="556" t="s">
        <v>165</v>
      </c>
    </row>
    <row r="2406" spans="1:17" s="416" customFormat="1" ht="14" outlineLevel="3">
      <c r="A2406" s="388"/>
      <c r="B2406" s="415" t="s">
        <v>146</v>
      </c>
      <c r="C2406" s="399" t="s">
        <v>25</v>
      </c>
      <c r="D2406" s="398"/>
      <c r="E2406" s="398"/>
      <c r="F2406" s="398"/>
      <c r="G2406" s="398">
        <f t="shared" si="597"/>
        <v>0</v>
      </c>
      <c r="H2406" s="398">
        <f t="shared" si="598"/>
        <v>0</v>
      </c>
      <c r="I2406" s="399"/>
      <c r="J2406" s="362" t="s">
        <v>10</v>
      </c>
      <c r="K2406" s="411" t="s">
        <v>124</v>
      </c>
      <c r="L2406" s="411"/>
      <c r="M2406" s="411" t="s">
        <v>165</v>
      </c>
      <c r="N2406" s="460" t="s">
        <v>93</v>
      </c>
      <c r="P2406" s="417"/>
      <c r="Q2406" s="556" t="s">
        <v>165</v>
      </c>
    </row>
    <row r="2407" spans="1:17" s="416" customFormat="1" ht="14" outlineLevel="3">
      <c r="A2407" s="388"/>
      <c r="B2407" s="650" t="s">
        <v>67</v>
      </c>
      <c r="C2407" s="399"/>
      <c r="D2407" s="397"/>
      <c r="E2407" s="397"/>
      <c r="F2407" s="397"/>
      <c r="G2407" s="398"/>
      <c r="H2407" s="398"/>
      <c r="I2407" s="399"/>
      <c r="J2407" s="411"/>
      <c r="K2407" s="411"/>
      <c r="L2407" s="411"/>
      <c r="M2407" s="411"/>
      <c r="N2407" s="416" t="s">
        <v>93</v>
      </c>
      <c r="P2407" s="417"/>
      <c r="Q2407" s="556" t="s">
        <v>165</v>
      </c>
    </row>
    <row r="2408" spans="1:17" s="416" customFormat="1" ht="14" outlineLevel="3">
      <c r="A2408" s="388"/>
      <c r="B2408" s="415" t="s">
        <v>326</v>
      </c>
      <c r="C2408" s="399" t="s">
        <v>25</v>
      </c>
      <c r="D2408" s="320">
        <v>39</v>
      </c>
      <c r="E2408" s="398"/>
      <c r="F2408" s="320">
        <v>2500</v>
      </c>
      <c r="G2408" s="398">
        <f>F2408*D2408</f>
        <v>97500</v>
      </c>
      <c r="H2408" s="398">
        <f>F2408*E2408</f>
        <v>0</v>
      </c>
      <c r="I2408" s="399"/>
      <c r="J2408" s="362" t="s">
        <v>10</v>
      </c>
      <c r="K2408" s="411" t="s">
        <v>124</v>
      </c>
      <c r="L2408" s="411"/>
      <c r="M2408" s="411" t="s">
        <v>165</v>
      </c>
      <c r="N2408" s="460" t="s">
        <v>93</v>
      </c>
      <c r="P2408" s="417"/>
      <c r="Q2408" s="556" t="s">
        <v>165</v>
      </c>
    </row>
    <row r="2409" spans="1:17" s="416" customFormat="1" ht="14" outlineLevel="2">
      <c r="A2409" s="388"/>
      <c r="B2409" s="350" t="s">
        <v>68</v>
      </c>
      <c r="C2409" s="392"/>
      <c r="D2409" s="397"/>
      <c r="E2409" s="397"/>
      <c r="F2409" s="397"/>
      <c r="G2409" s="398"/>
      <c r="H2409" s="398"/>
      <c r="I2409" s="399"/>
      <c r="J2409" s="411"/>
      <c r="K2409" s="411"/>
      <c r="L2409" s="411"/>
      <c r="M2409" s="411"/>
      <c r="N2409" s="416" t="s">
        <v>93</v>
      </c>
      <c r="P2409" s="417"/>
      <c r="Q2409" s="556" t="s">
        <v>165</v>
      </c>
    </row>
    <row r="2410" spans="1:17" s="416" customFormat="1" ht="13.15" customHeight="1" outlineLevel="3">
      <c r="A2410" s="388"/>
      <c r="B2410" s="415" t="s">
        <v>170</v>
      </c>
      <c r="C2410" s="399" t="s">
        <v>25</v>
      </c>
      <c r="D2410" s="398"/>
      <c r="E2410" s="398"/>
      <c r="F2410" s="398"/>
      <c r="G2410" s="398">
        <f t="shared" ref="G2410:G2416" si="599">F2410*D2410</f>
        <v>0</v>
      </c>
      <c r="H2410" s="398">
        <f t="shared" ref="H2410:H2416" si="600">F2410*E2410</f>
        <v>0</v>
      </c>
      <c r="I2410" s="399"/>
      <c r="J2410" s="362" t="s">
        <v>10</v>
      </c>
      <c r="K2410" s="411" t="s">
        <v>124</v>
      </c>
      <c r="L2410" s="411"/>
      <c r="M2410" s="411"/>
      <c r="N2410" s="460" t="s">
        <v>93</v>
      </c>
      <c r="P2410" s="417"/>
      <c r="Q2410" s="556" t="s">
        <v>165</v>
      </c>
    </row>
    <row r="2411" spans="1:17" s="416" customFormat="1" ht="14" outlineLevel="3">
      <c r="A2411" s="388"/>
      <c r="B2411" s="415" t="s">
        <v>285</v>
      </c>
      <c r="C2411" s="399" t="s">
        <v>25</v>
      </c>
      <c r="D2411" s="398"/>
      <c r="E2411" s="398"/>
      <c r="F2411" s="398"/>
      <c r="G2411" s="398">
        <f t="shared" si="599"/>
        <v>0</v>
      </c>
      <c r="H2411" s="398">
        <f t="shared" si="600"/>
        <v>0</v>
      </c>
      <c r="I2411" s="399"/>
      <c r="J2411" s="362" t="s">
        <v>10</v>
      </c>
      <c r="K2411" s="411" t="s">
        <v>124</v>
      </c>
      <c r="L2411" s="411"/>
      <c r="M2411" s="411"/>
      <c r="N2411" s="460"/>
      <c r="P2411" s="417"/>
      <c r="Q2411" s="556" t="s">
        <v>165</v>
      </c>
    </row>
    <row r="2412" spans="1:17" s="416" customFormat="1" ht="14" outlineLevel="3">
      <c r="A2412" s="388"/>
      <c r="B2412" s="415" t="s">
        <v>933</v>
      </c>
      <c r="C2412" s="399" t="s">
        <v>25</v>
      </c>
      <c r="D2412" s="320">
        <v>39</v>
      </c>
      <c r="E2412" s="398"/>
      <c r="F2412" s="320">
        <v>423</v>
      </c>
      <c r="G2412" s="398">
        <f t="shared" si="599"/>
        <v>16497</v>
      </c>
      <c r="H2412" s="398">
        <f t="shared" si="600"/>
        <v>0</v>
      </c>
      <c r="I2412" s="399"/>
      <c r="J2412" s="362" t="s">
        <v>10</v>
      </c>
      <c r="K2412" s="411" t="s">
        <v>124</v>
      </c>
      <c r="L2412" s="411"/>
      <c r="M2412" s="411" t="s">
        <v>165</v>
      </c>
      <c r="N2412" s="460"/>
      <c r="P2412" s="417"/>
      <c r="Q2412" s="556" t="s">
        <v>165</v>
      </c>
    </row>
    <row r="2413" spans="1:17" s="416" customFormat="1" ht="14" outlineLevel="3">
      <c r="A2413" s="388"/>
      <c r="B2413" s="415" t="s">
        <v>319</v>
      </c>
      <c r="C2413" s="399" t="s">
        <v>25</v>
      </c>
      <c r="D2413" s="398"/>
      <c r="E2413" s="398"/>
      <c r="F2413" s="398"/>
      <c r="G2413" s="398">
        <f t="shared" si="599"/>
        <v>0</v>
      </c>
      <c r="H2413" s="398">
        <f t="shared" si="600"/>
        <v>0</v>
      </c>
      <c r="I2413" s="399"/>
      <c r="J2413" s="362" t="s">
        <v>10</v>
      </c>
      <c r="K2413" s="411" t="s">
        <v>124</v>
      </c>
      <c r="L2413" s="411"/>
      <c r="M2413" s="411" t="s">
        <v>165</v>
      </c>
      <c r="N2413" s="460"/>
      <c r="P2413" s="417"/>
      <c r="Q2413" s="556" t="s">
        <v>165</v>
      </c>
    </row>
    <row r="2414" spans="1:17" s="416" customFormat="1" ht="13.15" customHeight="1" outlineLevel="3">
      <c r="A2414" s="388"/>
      <c r="B2414" s="415" t="s">
        <v>287</v>
      </c>
      <c r="C2414" s="399" t="s">
        <v>25</v>
      </c>
      <c r="D2414" s="398"/>
      <c r="E2414" s="398"/>
      <c r="F2414" s="398"/>
      <c r="G2414" s="398">
        <f t="shared" si="599"/>
        <v>0</v>
      </c>
      <c r="H2414" s="398">
        <f t="shared" si="600"/>
        <v>0</v>
      </c>
      <c r="I2414" s="399"/>
      <c r="J2414" s="362" t="s">
        <v>10</v>
      </c>
      <c r="K2414" s="411" t="s">
        <v>124</v>
      </c>
      <c r="L2414" s="411"/>
      <c r="M2414" s="411"/>
      <c r="N2414" s="460"/>
      <c r="P2414" s="417"/>
      <c r="Q2414" s="556" t="s">
        <v>165</v>
      </c>
    </row>
    <row r="2415" spans="1:17" s="416" customFormat="1" ht="14" outlineLevel="3">
      <c r="A2415" s="388"/>
      <c r="B2415" s="415" t="s">
        <v>288</v>
      </c>
      <c r="C2415" s="399" t="s">
        <v>25</v>
      </c>
      <c r="D2415" s="398"/>
      <c r="E2415" s="398"/>
      <c r="F2415" s="398"/>
      <c r="G2415" s="398">
        <f t="shared" si="599"/>
        <v>0</v>
      </c>
      <c r="H2415" s="398">
        <f t="shared" si="600"/>
        <v>0</v>
      </c>
      <c r="I2415" s="399"/>
      <c r="J2415" s="362" t="s">
        <v>10</v>
      </c>
      <c r="K2415" s="411" t="s">
        <v>124</v>
      </c>
      <c r="L2415" s="411"/>
      <c r="M2415" s="411"/>
      <c r="N2415" s="460"/>
      <c r="P2415" s="417"/>
      <c r="Q2415" s="556" t="s">
        <v>165</v>
      </c>
    </row>
    <row r="2416" spans="1:17" s="416" customFormat="1" ht="14" outlineLevel="3">
      <c r="A2416" s="388"/>
      <c r="B2416" s="415" t="s">
        <v>289</v>
      </c>
      <c r="C2416" s="399" t="s">
        <v>25</v>
      </c>
      <c r="D2416" s="398"/>
      <c r="E2416" s="398"/>
      <c r="F2416" s="398"/>
      <c r="G2416" s="398">
        <f t="shared" si="599"/>
        <v>0</v>
      </c>
      <c r="H2416" s="398">
        <f t="shared" si="600"/>
        <v>0</v>
      </c>
      <c r="I2416" s="399"/>
      <c r="J2416" s="362" t="s">
        <v>10</v>
      </c>
      <c r="K2416" s="411" t="s">
        <v>124</v>
      </c>
      <c r="L2416" s="411"/>
      <c r="M2416" s="411"/>
      <c r="N2416" s="460"/>
      <c r="P2416" s="417"/>
      <c r="Q2416" s="556" t="s">
        <v>165</v>
      </c>
    </row>
    <row r="2417" spans="1:17" s="416" customFormat="1" ht="14" outlineLevel="3">
      <c r="A2417" s="388"/>
      <c r="B2417" s="350" t="s">
        <v>69</v>
      </c>
      <c r="C2417" s="392"/>
      <c r="D2417" s="397"/>
      <c r="E2417" s="397"/>
      <c r="F2417" s="397"/>
      <c r="G2417" s="398"/>
      <c r="H2417" s="398"/>
      <c r="I2417" s="399"/>
      <c r="J2417" s="411"/>
      <c r="K2417" s="411"/>
      <c r="L2417" s="411"/>
      <c r="M2417" s="411"/>
      <c r="P2417" s="417"/>
      <c r="Q2417" s="556" t="s">
        <v>165</v>
      </c>
    </row>
    <row r="2418" spans="1:17" s="416" customFormat="1" ht="14" outlineLevel="3">
      <c r="A2418" s="405"/>
      <c r="B2418" s="415" t="s">
        <v>51</v>
      </c>
      <c r="C2418" s="399" t="s">
        <v>50</v>
      </c>
      <c r="D2418" s="320">
        <v>600</v>
      </c>
      <c r="E2418" s="398"/>
      <c r="F2418" s="320">
        <v>38</v>
      </c>
      <c r="G2418" s="398">
        <f t="shared" ref="G2418:G2419" si="601">F2418*D2418</f>
        <v>22800</v>
      </c>
      <c r="H2418" s="398">
        <f t="shared" ref="H2418:H2419" si="602">F2418*E2418</f>
        <v>0</v>
      </c>
      <c r="I2418" s="399"/>
      <c r="J2418" s="362" t="s">
        <v>10</v>
      </c>
      <c r="K2418" s="411" t="s">
        <v>124</v>
      </c>
      <c r="L2418" s="411"/>
      <c r="M2418" s="411"/>
      <c r="N2418" s="460"/>
      <c r="P2418" s="417"/>
      <c r="Q2418" s="556" t="s">
        <v>165</v>
      </c>
    </row>
    <row r="2419" spans="1:17" s="416" customFormat="1" ht="14" outlineLevel="3">
      <c r="A2419" s="405"/>
      <c r="B2419" s="415" t="s">
        <v>52</v>
      </c>
      <c r="C2419" s="399" t="s">
        <v>50</v>
      </c>
      <c r="D2419" s="398"/>
      <c r="E2419" s="398"/>
      <c r="F2419" s="398"/>
      <c r="G2419" s="398">
        <f t="shared" si="601"/>
        <v>0</v>
      </c>
      <c r="H2419" s="398">
        <f t="shared" si="602"/>
        <v>0</v>
      </c>
      <c r="I2419" s="399"/>
      <c r="J2419" s="362" t="s">
        <v>10</v>
      </c>
      <c r="K2419" s="411" t="s">
        <v>124</v>
      </c>
      <c r="L2419" s="411"/>
      <c r="M2419" s="411" t="s">
        <v>165</v>
      </c>
      <c r="N2419" s="460"/>
      <c r="P2419" s="417"/>
      <c r="Q2419" s="556" t="s">
        <v>165</v>
      </c>
    </row>
    <row r="2420" spans="1:17" s="416" customFormat="1" ht="14" outlineLevel="1">
      <c r="A2420" s="388">
        <v>4</v>
      </c>
      <c r="B2420" s="350" t="s">
        <v>327</v>
      </c>
      <c r="C2420" s="399"/>
      <c r="D2420" s="372"/>
      <c r="E2420" s="391"/>
      <c r="F2420" s="399"/>
      <c r="G2420" s="391">
        <f>SUBTOTAL(9,G2422:G2442)</f>
        <v>84600</v>
      </c>
      <c r="H2420" s="391">
        <f>SUBTOTAL(9,H2422:H2442)</f>
        <v>0</v>
      </c>
      <c r="I2420" s="399"/>
      <c r="J2420" s="411"/>
      <c r="K2420" s="411"/>
      <c r="L2420" s="411"/>
      <c r="M2420" s="411"/>
      <c r="P2420" s="417"/>
      <c r="Q2420" s="556" t="s">
        <v>165</v>
      </c>
    </row>
    <row r="2421" spans="1:17" s="416" customFormat="1" ht="14" outlineLevel="2">
      <c r="A2421" s="388"/>
      <c r="B2421" s="350" t="s">
        <v>65</v>
      </c>
      <c r="C2421" s="399"/>
      <c r="D2421" s="397"/>
      <c r="E2421" s="397"/>
      <c r="F2421" s="397"/>
      <c r="G2421" s="398"/>
      <c r="H2421" s="398"/>
      <c r="I2421" s="399"/>
      <c r="J2421" s="411"/>
      <c r="K2421" s="411"/>
      <c r="L2421" s="411"/>
      <c r="M2421" s="411"/>
      <c r="P2421" s="417"/>
      <c r="Q2421" s="556" t="s">
        <v>165</v>
      </c>
    </row>
    <row r="2422" spans="1:17" s="416" customFormat="1" ht="14" outlineLevel="2">
      <c r="A2422" s="388"/>
      <c r="B2422" s="650" t="s">
        <v>66</v>
      </c>
      <c r="C2422" s="399"/>
      <c r="D2422" s="398"/>
      <c r="E2422" s="398"/>
      <c r="F2422" s="398"/>
      <c r="G2422" s="398"/>
      <c r="H2422" s="398"/>
      <c r="I2422" s="399"/>
      <c r="J2422" s="411"/>
      <c r="K2422" s="411"/>
      <c r="L2422" s="411"/>
      <c r="M2422" s="411"/>
      <c r="P2422" s="417"/>
      <c r="Q2422" s="556" t="s">
        <v>165</v>
      </c>
    </row>
    <row r="2423" spans="1:17" s="416" customFormat="1" ht="14" outlineLevel="2">
      <c r="A2423" s="388"/>
      <c r="B2423" s="415" t="s">
        <v>283</v>
      </c>
      <c r="C2423" s="399" t="s">
        <v>25</v>
      </c>
      <c r="D2423" s="398"/>
      <c r="E2423" s="398"/>
      <c r="F2423" s="398"/>
      <c r="G2423" s="398">
        <f t="shared" ref="G2423:G2427" si="603">F2423*D2423</f>
        <v>0</v>
      </c>
      <c r="H2423" s="398">
        <f t="shared" ref="H2423:H2427" si="604">F2423*E2423</f>
        <v>0</v>
      </c>
      <c r="I2423" s="399"/>
      <c r="J2423" s="362" t="s">
        <v>10</v>
      </c>
      <c r="K2423" s="411" t="s">
        <v>213</v>
      </c>
      <c r="L2423" s="411"/>
      <c r="M2423" s="411" t="s">
        <v>165</v>
      </c>
      <c r="N2423" s="460"/>
      <c r="P2423" s="417"/>
      <c r="Q2423" s="556" t="s">
        <v>165</v>
      </c>
    </row>
    <row r="2424" spans="1:17" s="416" customFormat="1" ht="14" outlineLevel="2">
      <c r="A2424" s="388"/>
      <c r="B2424" s="415" t="s">
        <v>317</v>
      </c>
      <c r="C2424" s="399" t="s">
        <v>25</v>
      </c>
      <c r="D2424" s="398"/>
      <c r="E2424" s="398"/>
      <c r="F2424" s="397"/>
      <c r="G2424" s="398">
        <f t="shared" si="603"/>
        <v>0</v>
      </c>
      <c r="H2424" s="398">
        <f t="shared" si="604"/>
        <v>0</v>
      </c>
      <c r="I2424" s="399"/>
      <c r="J2424" s="362" t="s">
        <v>10</v>
      </c>
      <c r="K2424" s="411" t="s">
        <v>213</v>
      </c>
      <c r="L2424" s="411"/>
      <c r="M2424" s="411" t="s">
        <v>165</v>
      </c>
      <c r="N2424" s="460"/>
      <c r="P2424" s="417"/>
      <c r="Q2424" s="556" t="s">
        <v>165</v>
      </c>
    </row>
    <row r="2425" spans="1:17" s="416" customFormat="1" ht="14" outlineLevel="2">
      <c r="A2425" s="388"/>
      <c r="B2425" s="415" t="s">
        <v>328</v>
      </c>
      <c r="C2425" s="399" t="s">
        <v>25</v>
      </c>
      <c r="D2425" s="398"/>
      <c r="E2425" s="398"/>
      <c r="F2425" s="398"/>
      <c r="G2425" s="398">
        <f t="shared" si="603"/>
        <v>0</v>
      </c>
      <c r="H2425" s="398">
        <f t="shared" si="604"/>
        <v>0</v>
      </c>
      <c r="I2425" s="399"/>
      <c r="J2425" s="362" t="s">
        <v>10</v>
      </c>
      <c r="K2425" s="411" t="s">
        <v>213</v>
      </c>
      <c r="L2425" s="411"/>
      <c r="M2425" s="411" t="s">
        <v>165</v>
      </c>
      <c r="N2425" s="460"/>
      <c r="P2425" s="417"/>
      <c r="Q2425" s="556" t="s">
        <v>165</v>
      </c>
    </row>
    <row r="2426" spans="1:17" s="657" customFormat="1" ht="14" outlineLevel="2">
      <c r="A2426" s="550"/>
      <c r="B2426" s="651" t="s">
        <v>329</v>
      </c>
      <c r="C2426" s="652" t="s">
        <v>25</v>
      </c>
      <c r="D2426" s="653"/>
      <c r="E2426" s="653"/>
      <c r="F2426" s="654"/>
      <c r="G2426" s="398">
        <f t="shared" si="603"/>
        <v>0</v>
      </c>
      <c r="H2426" s="398">
        <f t="shared" si="604"/>
        <v>0</v>
      </c>
      <c r="I2426" s="652"/>
      <c r="J2426" s="362" t="s">
        <v>10</v>
      </c>
      <c r="K2426" s="655" t="s">
        <v>213</v>
      </c>
      <c r="L2426" s="655"/>
      <c r="M2426" s="655" t="s">
        <v>165</v>
      </c>
      <c r="N2426" s="656"/>
      <c r="P2426" s="417"/>
      <c r="Q2426" s="658" t="s">
        <v>165</v>
      </c>
    </row>
    <row r="2427" spans="1:17" s="657" customFormat="1" ht="13.15" customHeight="1" outlineLevel="2">
      <c r="A2427" s="550"/>
      <c r="B2427" s="651" t="s">
        <v>330</v>
      </c>
      <c r="C2427" s="652" t="s">
        <v>25</v>
      </c>
      <c r="D2427" s="653"/>
      <c r="E2427" s="653"/>
      <c r="F2427" s="659"/>
      <c r="G2427" s="398">
        <f t="shared" si="603"/>
        <v>0</v>
      </c>
      <c r="H2427" s="398">
        <f t="shared" si="604"/>
        <v>0</v>
      </c>
      <c r="I2427" s="652"/>
      <c r="J2427" s="362" t="s">
        <v>10</v>
      </c>
      <c r="K2427" s="655" t="s">
        <v>213</v>
      </c>
      <c r="L2427" s="655"/>
      <c r="M2427" s="655" t="s">
        <v>165</v>
      </c>
      <c r="N2427" s="656"/>
      <c r="P2427" s="417"/>
      <c r="Q2427" s="658" t="s">
        <v>165</v>
      </c>
    </row>
    <row r="2428" spans="1:17" s="416" customFormat="1" ht="14" outlineLevel="2">
      <c r="A2428" s="388"/>
      <c r="B2428" s="650" t="s">
        <v>67</v>
      </c>
      <c r="C2428" s="399"/>
      <c r="D2428" s="398"/>
      <c r="E2428" s="398"/>
      <c r="F2428" s="398"/>
      <c r="G2428" s="398"/>
      <c r="H2428" s="398"/>
      <c r="I2428" s="399"/>
      <c r="J2428" s="411"/>
      <c r="K2428" s="660"/>
      <c r="L2428" s="411"/>
      <c r="M2428" s="411"/>
      <c r="P2428" s="417"/>
      <c r="Q2428" s="556" t="s">
        <v>165</v>
      </c>
    </row>
    <row r="2429" spans="1:17" s="416" customFormat="1" ht="14" outlineLevel="2">
      <c r="A2429" s="388"/>
      <c r="B2429" s="415" t="s">
        <v>326</v>
      </c>
      <c r="C2429" s="399" t="s">
        <v>25</v>
      </c>
      <c r="D2429" s="398"/>
      <c r="E2429" s="398"/>
      <c r="F2429" s="398"/>
      <c r="G2429" s="398">
        <f>F2429*D2429</f>
        <v>0</v>
      </c>
      <c r="H2429" s="398">
        <f>F2429*E2429</f>
        <v>0</v>
      </c>
      <c r="I2429" s="399"/>
      <c r="J2429" s="362" t="s">
        <v>10</v>
      </c>
      <c r="K2429" s="411" t="s">
        <v>213</v>
      </c>
      <c r="L2429" s="411"/>
      <c r="M2429" s="411" t="s">
        <v>165</v>
      </c>
      <c r="N2429" s="460"/>
      <c r="P2429" s="417"/>
      <c r="Q2429" s="556" t="s">
        <v>165</v>
      </c>
    </row>
    <row r="2430" spans="1:17" s="416" customFormat="1" ht="14" outlineLevel="2">
      <c r="A2430" s="388"/>
      <c r="B2430" s="350" t="s">
        <v>68</v>
      </c>
      <c r="C2430" s="392"/>
      <c r="D2430" s="398"/>
      <c r="E2430" s="398"/>
      <c r="F2430" s="398"/>
      <c r="G2430" s="398"/>
      <c r="H2430" s="398"/>
      <c r="I2430" s="399"/>
      <c r="J2430" s="411"/>
      <c r="K2430" s="660"/>
      <c r="L2430" s="411"/>
      <c r="M2430" s="411"/>
      <c r="P2430" s="417"/>
      <c r="Q2430" s="556" t="s">
        <v>165</v>
      </c>
    </row>
    <row r="2431" spans="1:17" s="416" customFormat="1" ht="13.15" customHeight="1" outlineLevel="2">
      <c r="A2431" s="388"/>
      <c r="B2431" s="415" t="s">
        <v>170</v>
      </c>
      <c r="C2431" s="399" t="s">
        <v>25</v>
      </c>
      <c r="D2431" s="398"/>
      <c r="E2431" s="398"/>
      <c r="F2431" s="398"/>
      <c r="G2431" s="398">
        <f t="shared" ref="G2431:G2439" si="605">F2431*D2431</f>
        <v>0</v>
      </c>
      <c r="H2431" s="398">
        <f t="shared" ref="H2431:H2439" si="606">F2431*E2431</f>
        <v>0</v>
      </c>
      <c r="I2431" s="399"/>
      <c r="J2431" s="362" t="s">
        <v>10</v>
      </c>
      <c r="K2431" s="411" t="s">
        <v>213</v>
      </c>
      <c r="L2431" s="411"/>
      <c r="M2431" s="411"/>
      <c r="N2431" s="460"/>
      <c r="P2431" s="417"/>
      <c r="Q2431" s="556" t="s">
        <v>165</v>
      </c>
    </row>
    <row r="2432" spans="1:17" s="416" customFormat="1" ht="14" outlineLevel="2">
      <c r="A2432" s="388"/>
      <c r="B2432" s="415" t="s">
        <v>285</v>
      </c>
      <c r="C2432" s="399" t="s">
        <v>25</v>
      </c>
      <c r="D2432" s="398"/>
      <c r="E2432" s="398"/>
      <c r="F2432" s="398"/>
      <c r="G2432" s="398">
        <f t="shared" si="605"/>
        <v>0</v>
      </c>
      <c r="H2432" s="398">
        <f t="shared" si="606"/>
        <v>0</v>
      </c>
      <c r="I2432" s="399"/>
      <c r="J2432" s="362" t="s">
        <v>10</v>
      </c>
      <c r="K2432" s="411" t="s">
        <v>213</v>
      </c>
      <c r="L2432" s="411"/>
      <c r="M2432" s="411"/>
      <c r="N2432" s="460"/>
      <c r="P2432" s="417"/>
      <c r="Q2432" s="556" t="s">
        <v>165</v>
      </c>
    </row>
    <row r="2433" spans="1:17" s="416" customFormat="1" ht="14" outlineLevel="2">
      <c r="A2433" s="388"/>
      <c r="B2433" s="415" t="s">
        <v>933</v>
      </c>
      <c r="C2433" s="399" t="s">
        <v>25</v>
      </c>
      <c r="D2433" s="320">
        <v>200</v>
      </c>
      <c r="E2433" s="398"/>
      <c r="F2433" s="320">
        <v>423</v>
      </c>
      <c r="G2433" s="398">
        <f t="shared" si="605"/>
        <v>84600</v>
      </c>
      <c r="H2433" s="398">
        <f t="shared" si="606"/>
        <v>0</v>
      </c>
      <c r="I2433" s="399"/>
      <c r="J2433" s="362" t="s">
        <v>10</v>
      </c>
      <c r="K2433" s="411" t="s">
        <v>213</v>
      </c>
      <c r="L2433" s="411"/>
      <c r="M2433" s="411" t="s">
        <v>165</v>
      </c>
      <c r="N2433" s="460"/>
      <c r="P2433" s="417"/>
      <c r="Q2433" s="556" t="s">
        <v>165</v>
      </c>
    </row>
    <row r="2434" spans="1:17" s="416" customFormat="1" ht="14" outlineLevel="2">
      <c r="A2434" s="388"/>
      <c r="B2434" s="415" t="s">
        <v>286</v>
      </c>
      <c r="C2434" s="399" t="s">
        <v>25</v>
      </c>
      <c r="D2434" s="398"/>
      <c r="E2434" s="398"/>
      <c r="F2434" s="397"/>
      <c r="G2434" s="398">
        <f t="shared" si="605"/>
        <v>0</v>
      </c>
      <c r="H2434" s="398">
        <f t="shared" si="606"/>
        <v>0</v>
      </c>
      <c r="I2434" s="399"/>
      <c r="J2434" s="362" t="s">
        <v>10</v>
      </c>
      <c r="K2434" s="411" t="s">
        <v>213</v>
      </c>
      <c r="L2434" s="411"/>
      <c r="M2434" s="411" t="s">
        <v>165</v>
      </c>
      <c r="N2434" s="460"/>
      <c r="P2434" s="417"/>
      <c r="Q2434" s="556" t="s">
        <v>165</v>
      </c>
    </row>
    <row r="2435" spans="1:17" s="416" customFormat="1" ht="14" outlineLevel="2">
      <c r="A2435" s="388"/>
      <c r="B2435" s="415" t="s">
        <v>331</v>
      </c>
      <c r="C2435" s="399" t="s">
        <v>25</v>
      </c>
      <c r="D2435" s="398"/>
      <c r="E2435" s="398"/>
      <c r="F2435" s="398"/>
      <c r="G2435" s="398">
        <f t="shared" si="605"/>
        <v>0</v>
      </c>
      <c r="H2435" s="398">
        <f t="shared" si="606"/>
        <v>0</v>
      </c>
      <c r="I2435" s="399"/>
      <c r="J2435" s="362" t="s">
        <v>10</v>
      </c>
      <c r="K2435" s="411" t="s">
        <v>213</v>
      </c>
      <c r="L2435" s="411"/>
      <c r="M2435" s="411" t="s">
        <v>165</v>
      </c>
      <c r="N2435" s="460"/>
      <c r="P2435" s="417"/>
      <c r="Q2435" s="556" t="s">
        <v>165</v>
      </c>
    </row>
    <row r="2436" spans="1:17" s="416" customFormat="1" ht="14" outlineLevel="2">
      <c r="A2436" s="388"/>
      <c r="B2436" s="415" t="s">
        <v>332</v>
      </c>
      <c r="C2436" s="399" t="s">
        <v>25</v>
      </c>
      <c r="D2436" s="398"/>
      <c r="E2436" s="398"/>
      <c r="F2436" s="398"/>
      <c r="G2436" s="398">
        <f t="shared" si="605"/>
        <v>0</v>
      </c>
      <c r="H2436" s="398">
        <f t="shared" si="606"/>
        <v>0</v>
      </c>
      <c r="I2436" s="399"/>
      <c r="J2436" s="362" t="s">
        <v>10</v>
      </c>
      <c r="K2436" s="411" t="s">
        <v>213</v>
      </c>
      <c r="L2436" s="411"/>
      <c r="M2436" s="411" t="s">
        <v>165</v>
      </c>
      <c r="N2436" s="460"/>
      <c r="P2436" s="417"/>
      <c r="Q2436" s="556" t="s">
        <v>165</v>
      </c>
    </row>
    <row r="2437" spans="1:17" s="416" customFormat="1" ht="14" outlineLevel="2">
      <c r="A2437" s="388"/>
      <c r="B2437" s="415" t="s">
        <v>287</v>
      </c>
      <c r="C2437" s="399" t="s">
        <v>25</v>
      </c>
      <c r="D2437" s="398"/>
      <c r="E2437" s="398"/>
      <c r="F2437" s="398"/>
      <c r="G2437" s="398">
        <f t="shared" si="605"/>
        <v>0</v>
      </c>
      <c r="H2437" s="398">
        <f t="shared" si="606"/>
        <v>0</v>
      </c>
      <c r="I2437" s="399"/>
      <c r="J2437" s="362" t="s">
        <v>10</v>
      </c>
      <c r="K2437" s="411" t="s">
        <v>213</v>
      </c>
      <c r="L2437" s="411"/>
      <c r="M2437" s="411"/>
      <c r="N2437" s="460"/>
      <c r="P2437" s="417"/>
      <c r="Q2437" s="556"/>
    </row>
    <row r="2438" spans="1:17" s="416" customFormat="1" ht="14" outlineLevel="2">
      <c r="A2438" s="388"/>
      <c r="B2438" s="415" t="s">
        <v>288</v>
      </c>
      <c r="C2438" s="399" t="s">
        <v>25</v>
      </c>
      <c r="D2438" s="398"/>
      <c r="E2438" s="398"/>
      <c r="F2438" s="398"/>
      <c r="G2438" s="398">
        <f t="shared" si="605"/>
        <v>0</v>
      </c>
      <c r="H2438" s="398">
        <f t="shared" si="606"/>
        <v>0</v>
      </c>
      <c r="I2438" s="399"/>
      <c r="J2438" s="362" t="s">
        <v>10</v>
      </c>
      <c r="K2438" s="411" t="s">
        <v>213</v>
      </c>
      <c r="L2438" s="411"/>
      <c r="M2438" s="411"/>
      <c r="N2438" s="460"/>
      <c r="P2438" s="417"/>
      <c r="Q2438" s="556"/>
    </row>
    <row r="2439" spans="1:17" s="416" customFormat="1" ht="14" outlineLevel="2">
      <c r="A2439" s="388"/>
      <c r="B2439" s="415" t="s">
        <v>289</v>
      </c>
      <c r="C2439" s="399" t="s">
        <v>25</v>
      </c>
      <c r="D2439" s="398"/>
      <c r="E2439" s="398"/>
      <c r="F2439" s="398"/>
      <c r="G2439" s="398">
        <f t="shared" si="605"/>
        <v>0</v>
      </c>
      <c r="H2439" s="398">
        <f t="shared" si="606"/>
        <v>0</v>
      </c>
      <c r="I2439" s="399"/>
      <c r="J2439" s="362" t="s">
        <v>10</v>
      </c>
      <c r="K2439" s="411" t="s">
        <v>213</v>
      </c>
      <c r="L2439" s="411"/>
      <c r="M2439" s="411"/>
      <c r="N2439" s="460"/>
      <c r="P2439" s="417"/>
      <c r="Q2439" s="556"/>
    </row>
    <row r="2440" spans="1:17" s="416" customFormat="1" ht="14" outlineLevel="2">
      <c r="A2440" s="388"/>
      <c r="B2440" s="350" t="s">
        <v>69</v>
      </c>
      <c r="C2440" s="392"/>
      <c r="D2440" s="398"/>
      <c r="E2440" s="398"/>
      <c r="F2440" s="398"/>
      <c r="G2440" s="398"/>
      <c r="H2440" s="398"/>
      <c r="I2440" s="399"/>
      <c r="J2440" s="411"/>
      <c r="K2440" s="660"/>
      <c r="L2440" s="411"/>
      <c r="M2440" s="411"/>
      <c r="P2440" s="417"/>
      <c r="Q2440" s="556"/>
    </row>
    <row r="2441" spans="1:17" s="416" customFormat="1" ht="14" outlineLevel="2">
      <c r="A2441" s="405"/>
      <c r="B2441" s="415" t="s">
        <v>51</v>
      </c>
      <c r="C2441" s="399" t="s">
        <v>50</v>
      </c>
      <c r="D2441" s="398"/>
      <c r="E2441" s="398"/>
      <c r="F2441" s="398"/>
      <c r="G2441" s="398">
        <f t="shared" ref="G2441:G2442" si="607">F2441*D2441</f>
        <v>0</v>
      </c>
      <c r="H2441" s="398">
        <f t="shared" ref="H2441:H2442" si="608">F2441*E2441</f>
        <v>0</v>
      </c>
      <c r="I2441" s="399"/>
      <c r="J2441" s="362" t="s">
        <v>10</v>
      </c>
      <c r="K2441" s="411" t="s">
        <v>213</v>
      </c>
      <c r="L2441" s="411"/>
      <c r="M2441" s="411"/>
      <c r="N2441" s="460"/>
      <c r="P2441" s="417"/>
      <c r="Q2441" s="556"/>
    </row>
    <row r="2442" spans="1:17" s="416" customFormat="1" ht="14" outlineLevel="2">
      <c r="A2442" s="405"/>
      <c r="B2442" s="415" t="s">
        <v>52</v>
      </c>
      <c r="C2442" s="399" t="s">
        <v>50</v>
      </c>
      <c r="D2442" s="398"/>
      <c r="E2442" s="398"/>
      <c r="F2442" s="398"/>
      <c r="G2442" s="398">
        <f t="shared" si="607"/>
        <v>0</v>
      </c>
      <c r="H2442" s="398">
        <f t="shared" si="608"/>
        <v>0</v>
      </c>
      <c r="I2442" s="399"/>
      <c r="J2442" s="362" t="s">
        <v>10</v>
      </c>
      <c r="K2442" s="411" t="s">
        <v>213</v>
      </c>
      <c r="L2442" s="411"/>
      <c r="M2442" s="411" t="s">
        <v>165</v>
      </c>
      <c r="N2442" s="460"/>
      <c r="P2442" s="417"/>
      <c r="Q2442" s="556"/>
    </row>
    <row r="2443" spans="1:17" s="416" customFormat="1" ht="14" outlineLevel="1">
      <c r="A2443" s="388">
        <v>5</v>
      </c>
      <c r="B2443" s="350" t="s">
        <v>333</v>
      </c>
      <c r="C2443" s="399"/>
      <c r="D2443" s="398"/>
      <c r="E2443" s="398"/>
      <c r="F2443" s="398"/>
      <c r="G2443" s="391">
        <f>+SUBTOTAL(9,G2444:G2451)</f>
        <v>0</v>
      </c>
      <c r="H2443" s="391">
        <f>+SUBTOTAL(9,H2444:H2451)</f>
        <v>0</v>
      </c>
      <c r="I2443" s="399"/>
      <c r="J2443" s="411"/>
      <c r="K2443" s="660"/>
      <c r="L2443" s="411"/>
      <c r="M2443" s="411"/>
      <c r="P2443" s="417"/>
    </row>
    <row r="2444" spans="1:17" s="416" customFormat="1" ht="14" outlineLevel="3">
      <c r="A2444" s="405"/>
      <c r="B2444" s="650" t="s">
        <v>66</v>
      </c>
      <c r="C2444" s="399"/>
      <c r="D2444" s="398"/>
      <c r="E2444" s="398"/>
      <c r="F2444" s="398"/>
      <c r="G2444" s="398"/>
      <c r="H2444" s="398"/>
      <c r="I2444" s="399"/>
      <c r="J2444" s="411"/>
      <c r="K2444" s="660"/>
      <c r="L2444" s="411"/>
      <c r="M2444" s="411"/>
      <c r="P2444" s="417"/>
    </row>
    <row r="2445" spans="1:17" s="416" customFormat="1" ht="14" outlineLevel="3">
      <c r="A2445" s="405"/>
      <c r="B2445" s="415" t="s">
        <v>283</v>
      </c>
      <c r="C2445" s="399" t="s">
        <v>25</v>
      </c>
      <c r="D2445" s="398"/>
      <c r="E2445" s="398"/>
      <c r="F2445" s="398"/>
      <c r="G2445" s="398">
        <f t="shared" ref="G2445:G2451" si="609">F2445*D2445</f>
        <v>0</v>
      </c>
      <c r="H2445" s="398">
        <f t="shared" ref="H2445:H2451" si="610">F2445*E2445</f>
        <v>0</v>
      </c>
      <c r="I2445" s="399"/>
      <c r="J2445" s="362" t="s">
        <v>10</v>
      </c>
      <c r="K2445" s="411" t="s">
        <v>259</v>
      </c>
      <c r="L2445" s="411"/>
      <c r="M2445" s="411" t="s">
        <v>165</v>
      </c>
      <c r="N2445" s="460"/>
      <c r="P2445" s="417"/>
    </row>
    <row r="2446" spans="1:17" s="416" customFormat="1" ht="14" outlineLevel="3">
      <c r="A2446" s="405"/>
      <c r="B2446" s="415" t="s">
        <v>317</v>
      </c>
      <c r="C2446" s="399" t="s">
        <v>25</v>
      </c>
      <c r="D2446" s="398"/>
      <c r="E2446" s="398"/>
      <c r="F2446" s="398"/>
      <c r="G2446" s="398">
        <f t="shared" si="609"/>
        <v>0</v>
      </c>
      <c r="H2446" s="398">
        <f t="shared" si="610"/>
        <v>0</v>
      </c>
      <c r="I2446" s="399"/>
      <c r="J2446" s="362" t="s">
        <v>10</v>
      </c>
      <c r="K2446" s="411" t="s">
        <v>259</v>
      </c>
      <c r="L2446" s="411"/>
      <c r="M2446" s="411" t="s">
        <v>165</v>
      </c>
      <c r="N2446" s="460"/>
      <c r="P2446" s="417"/>
    </row>
    <row r="2447" spans="1:17" s="416" customFormat="1" ht="14" outlineLevel="3">
      <c r="A2447" s="405"/>
      <c r="B2447" s="415" t="s">
        <v>325</v>
      </c>
      <c r="C2447" s="399" t="s">
        <v>25</v>
      </c>
      <c r="D2447" s="398"/>
      <c r="E2447" s="398"/>
      <c r="F2447" s="398"/>
      <c r="G2447" s="398">
        <f t="shared" si="609"/>
        <v>0</v>
      </c>
      <c r="H2447" s="398">
        <f t="shared" si="610"/>
        <v>0</v>
      </c>
      <c r="I2447" s="399"/>
      <c r="J2447" s="362" t="s">
        <v>10</v>
      </c>
      <c r="K2447" s="411" t="s">
        <v>259</v>
      </c>
      <c r="L2447" s="411"/>
      <c r="M2447" s="411" t="s">
        <v>165</v>
      </c>
      <c r="N2447" s="460"/>
      <c r="P2447" s="417"/>
    </row>
    <row r="2448" spans="1:17" s="416" customFormat="1" ht="14" outlineLevel="3">
      <c r="A2448" s="405"/>
      <c r="B2448" s="415" t="s">
        <v>334</v>
      </c>
      <c r="C2448" s="399" t="s">
        <v>25</v>
      </c>
      <c r="D2448" s="398"/>
      <c r="E2448" s="398"/>
      <c r="F2448" s="398"/>
      <c r="G2448" s="398">
        <f t="shared" si="609"/>
        <v>0</v>
      </c>
      <c r="H2448" s="398">
        <f t="shared" si="610"/>
        <v>0</v>
      </c>
      <c r="I2448" s="399"/>
      <c r="J2448" s="362" t="s">
        <v>10</v>
      </c>
      <c r="K2448" s="411" t="s">
        <v>259</v>
      </c>
      <c r="L2448" s="411"/>
      <c r="M2448" s="411" t="s">
        <v>165</v>
      </c>
      <c r="N2448" s="460"/>
      <c r="P2448" s="417"/>
    </row>
    <row r="2449" spans="1:16" s="416" customFormat="1" ht="14" outlineLevel="3">
      <c r="A2449" s="405"/>
      <c r="B2449" s="415" t="s">
        <v>146</v>
      </c>
      <c r="C2449" s="399" t="s">
        <v>25</v>
      </c>
      <c r="D2449" s="398"/>
      <c r="E2449" s="398"/>
      <c r="F2449" s="398"/>
      <c r="G2449" s="398">
        <f t="shared" si="609"/>
        <v>0</v>
      </c>
      <c r="H2449" s="398">
        <f t="shared" si="610"/>
        <v>0</v>
      </c>
      <c r="I2449" s="399"/>
      <c r="J2449" s="362" t="s">
        <v>10</v>
      </c>
      <c r="K2449" s="411" t="s">
        <v>259</v>
      </c>
      <c r="L2449" s="411"/>
      <c r="M2449" s="411" t="s">
        <v>165</v>
      </c>
      <c r="N2449" s="460"/>
      <c r="P2449" s="417"/>
    </row>
    <row r="2450" spans="1:16" s="416" customFormat="1" ht="14" outlineLevel="3">
      <c r="A2450" s="405"/>
      <c r="B2450" s="415" t="s">
        <v>335</v>
      </c>
      <c r="C2450" s="399" t="s">
        <v>25</v>
      </c>
      <c r="D2450" s="398"/>
      <c r="E2450" s="398"/>
      <c r="F2450" s="398"/>
      <c r="G2450" s="398">
        <f t="shared" si="609"/>
        <v>0</v>
      </c>
      <c r="H2450" s="398">
        <f t="shared" si="610"/>
        <v>0</v>
      </c>
      <c r="I2450" s="399"/>
      <c r="J2450" s="362" t="s">
        <v>10</v>
      </c>
      <c r="K2450" s="411" t="s">
        <v>259</v>
      </c>
      <c r="L2450" s="411"/>
      <c r="M2450" s="411" t="s">
        <v>165</v>
      </c>
      <c r="N2450" s="460"/>
      <c r="P2450" s="417"/>
    </row>
    <row r="2451" spans="1:16" s="416" customFormat="1" ht="14" outlineLevel="3">
      <c r="A2451" s="405"/>
      <c r="B2451" s="415" t="s">
        <v>336</v>
      </c>
      <c r="C2451" s="399" t="s">
        <v>25</v>
      </c>
      <c r="D2451" s="398"/>
      <c r="E2451" s="398"/>
      <c r="F2451" s="398"/>
      <c r="G2451" s="398">
        <f t="shared" si="609"/>
        <v>0</v>
      </c>
      <c r="H2451" s="398">
        <f t="shared" si="610"/>
        <v>0</v>
      </c>
      <c r="I2451" s="399"/>
      <c r="J2451" s="362" t="s">
        <v>10</v>
      </c>
      <c r="K2451" s="411" t="s">
        <v>259</v>
      </c>
      <c r="L2451" s="411"/>
      <c r="M2451" s="411" t="s">
        <v>165</v>
      </c>
      <c r="N2451" s="460"/>
      <c r="P2451" s="417"/>
    </row>
    <row r="2452" spans="1:16" s="413" customFormat="1" ht="14">
      <c r="A2452" s="584" t="s">
        <v>26</v>
      </c>
      <c r="B2452" s="585" t="s">
        <v>70</v>
      </c>
      <c r="C2452" s="376"/>
      <c r="D2452" s="378"/>
      <c r="E2452" s="378"/>
      <c r="F2452" s="586"/>
      <c r="G2452" s="661">
        <f>SUBTOTAL(9,G2453:G2687)</f>
        <v>0</v>
      </c>
      <c r="H2452" s="661">
        <f>SUBTOTAL(9,H2453:H2687)</f>
        <v>0</v>
      </c>
      <c r="I2452" s="378"/>
      <c r="J2452" s="411"/>
      <c r="K2452" s="648"/>
      <c r="L2452" s="648"/>
      <c r="M2452" s="410"/>
      <c r="N2452" s="458"/>
      <c r="O2452" s="463"/>
      <c r="P2452" s="464"/>
    </row>
    <row r="2453" spans="1:16" s="616" customFormat="1" ht="14">
      <c r="A2453" s="693">
        <v>1</v>
      </c>
      <c r="B2453" s="694" t="s">
        <v>1120</v>
      </c>
      <c r="C2453" s="662"/>
      <c r="D2453" s="402"/>
      <c r="E2453" s="402"/>
      <c r="F2453" s="663"/>
      <c r="G2453" s="687">
        <f>SUBTOTAL(9,G2454:G2492)</f>
        <v>0</v>
      </c>
      <c r="H2453" s="687">
        <f>SUBTOTAL(9,H2454:H2492)</f>
        <v>0</v>
      </c>
      <c r="I2453" s="402"/>
      <c r="J2453" s="362" t="s">
        <v>6</v>
      </c>
      <c r="K2453" s="689"/>
      <c r="L2453" s="665"/>
      <c r="M2453" s="607"/>
      <c r="N2453" s="643"/>
      <c r="O2453" s="666"/>
      <c r="P2453" s="464"/>
    </row>
    <row r="2454" spans="1:16" s="616" customFormat="1" ht="14">
      <c r="A2454" s="693">
        <v>1.1000000000000001</v>
      </c>
      <c r="B2454" s="694" t="s">
        <v>1121</v>
      </c>
      <c r="C2454" s="597"/>
      <c r="D2454" s="597"/>
      <c r="E2454" s="597"/>
      <c r="F2454" s="597"/>
      <c r="G2454" s="687">
        <f>SUBTOTAL(9,G2455:G2469)</f>
        <v>0</v>
      </c>
      <c r="H2454" s="687">
        <f>SUBTOTAL(9,H2455:H2469)</f>
        <v>0</v>
      </c>
      <c r="I2454" s="597"/>
      <c r="J2454" s="362" t="s">
        <v>6</v>
      </c>
      <c r="K2454" s="689"/>
      <c r="L2454" s="597"/>
      <c r="M2454" s="597"/>
      <c r="N2454" s="643"/>
      <c r="O2454" s="666"/>
      <c r="P2454" s="464"/>
    </row>
    <row r="2455" spans="1:16" s="616" customFormat="1" ht="14">
      <c r="A2455" s="316" t="s">
        <v>695</v>
      </c>
      <c r="B2455" s="337" t="s">
        <v>1122</v>
      </c>
      <c r="C2455" s="597"/>
      <c r="D2455" s="597"/>
      <c r="E2455" s="597"/>
      <c r="F2455" s="597"/>
      <c r="G2455" s="688"/>
      <c r="H2455" s="688"/>
      <c r="I2455" s="597"/>
      <c r="J2455" s="362" t="s">
        <v>6</v>
      </c>
      <c r="K2455" s="690"/>
      <c r="L2455" s="597"/>
      <c r="M2455" s="597"/>
      <c r="N2455" s="643"/>
      <c r="O2455" s="666"/>
      <c r="P2455" s="464"/>
    </row>
    <row r="2456" spans="1:16" s="616" customFormat="1" ht="14">
      <c r="A2456" s="319" t="s">
        <v>8</v>
      </c>
      <c r="B2456" s="314" t="s">
        <v>1123</v>
      </c>
      <c r="C2456" s="318" t="s">
        <v>150</v>
      </c>
      <c r="D2456" s="402"/>
      <c r="E2456" s="402"/>
      <c r="F2456" s="663"/>
      <c r="G2456" s="10">
        <f t="shared" ref="G2456:H2457" si="611">D2456*$F2456</f>
        <v>0</v>
      </c>
      <c r="H2456" s="10">
        <f t="shared" si="611"/>
        <v>0</v>
      </c>
      <c r="I2456" s="402"/>
      <c r="J2456" s="362" t="s">
        <v>6</v>
      </c>
      <c r="K2456" s="691" t="s">
        <v>127</v>
      </c>
      <c r="L2456" s="665"/>
      <c r="M2456" s="607"/>
      <c r="N2456" s="643"/>
      <c r="O2456" s="666"/>
      <c r="P2456" s="464"/>
    </row>
    <row r="2457" spans="1:16" s="616" customFormat="1" ht="14">
      <c r="A2457" s="319" t="s">
        <v>8</v>
      </c>
      <c r="B2457" s="314" t="s">
        <v>1124</v>
      </c>
      <c r="C2457" s="320" t="s">
        <v>31</v>
      </c>
      <c r="D2457" s="402"/>
      <c r="E2457" s="402"/>
      <c r="F2457" s="667"/>
      <c r="G2457" s="10">
        <f t="shared" si="611"/>
        <v>0</v>
      </c>
      <c r="H2457" s="10">
        <f t="shared" si="611"/>
        <v>0</v>
      </c>
      <c r="I2457" s="402"/>
      <c r="J2457" s="362" t="s">
        <v>6</v>
      </c>
      <c r="K2457" s="691" t="s">
        <v>127</v>
      </c>
      <c r="L2457" s="591" t="s">
        <v>62</v>
      </c>
      <c r="M2457" s="607"/>
      <c r="N2457" s="643"/>
      <c r="O2457" s="666"/>
      <c r="P2457" s="464"/>
    </row>
    <row r="2458" spans="1:16" s="616" customFormat="1" ht="14">
      <c r="A2458" s="316" t="s">
        <v>699</v>
      </c>
      <c r="B2458" s="317" t="s">
        <v>1125</v>
      </c>
      <c r="C2458" s="320"/>
      <c r="D2458" s="402"/>
      <c r="E2458" s="402"/>
      <c r="F2458" s="667"/>
      <c r="G2458" s="688"/>
      <c r="H2458" s="688"/>
      <c r="I2458" s="402"/>
      <c r="J2458" s="362" t="s">
        <v>6</v>
      </c>
      <c r="K2458" s="691"/>
      <c r="L2458" s="591" t="s">
        <v>62</v>
      </c>
      <c r="M2458" s="607"/>
      <c r="N2458" s="643"/>
      <c r="O2458" s="666"/>
      <c r="P2458" s="464"/>
    </row>
    <row r="2459" spans="1:16" s="616" customFormat="1" ht="14">
      <c r="A2459" s="319" t="s">
        <v>8</v>
      </c>
      <c r="B2459" s="314" t="s">
        <v>1126</v>
      </c>
      <c r="C2459" s="318" t="s">
        <v>15</v>
      </c>
      <c r="D2459" s="402"/>
      <c r="E2459" s="402"/>
      <c r="F2459" s="663"/>
      <c r="G2459" s="10">
        <f t="shared" ref="G2459:H2459" si="612">D2459*$F2459</f>
        <v>0</v>
      </c>
      <c r="H2459" s="10">
        <f t="shared" si="612"/>
        <v>0</v>
      </c>
      <c r="I2459" s="402"/>
      <c r="J2459" s="362" t="s">
        <v>6</v>
      </c>
      <c r="K2459" s="691" t="s">
        <v>127</v>
      </c>
      <c r="L2459" s="665"/>
      <c r="M2459" s="607"/>
      <c r="N2459" s="643"/>
      <c r="O2459" s="666"/>
      <c r="P2459" s="464"/>
    </row>
    <row r="2460" spans="1:16" s="616" customFormat="1" ht="14">
      <c r="A2460" s="316" t="s">
        <v>702</v>
      </c>
      <c r="B2460" s="317" t="s">
        <v>1127</v>
      </c>
      <c r="C2460" s="320"/>
      <c r="D2460" s="402"/>
      <c r="E2460" s="402"/>
      <c r="F2460" s="667"/>
      <c r="G2460" s="688"/>
      <c r="H2460" s="688"/>
      <c r="I2460" s="402"/>
      <c r="J2460" s="362" t="s">
        <v>6</v>
      </c>
      <c r="K2460" s="691"/>
      <c r="L2460" s="591" t="s">
        <v>62</v>
      </c>
      <c r="M2460" s="607"/>
      <c r="N2460" s="643"/>
      <c r="O2460" s="666"/>
      <c r="P2460" s="464"/>
    </row>
    <row r="2461" spans="1:16" s="616" customFormat="1" ht="14">
      <c r="A2461" s="319" t="s">
        <v>8</v>
      </c>
      <c r="B2461" s="314" t="s">
        <v>1128</v>
      </c>
      <c r="C2461" s="318" t="s">
        <v>24</v>
      </c>
      <c r="D2461" s="402"/>
      <c r="E2461" s="402"/>
      <c r="F2461" s="663"/>
      <c r="G2461" s="10">
        <f t="shared" ref="G2461:H2461" si="613">D2461*$F2461</f>
        <v>0</v>
      </c>
      <c r="H2461" s="10">
        <f t="shared" si="613"/>
        <v>0</v>
      </c>
      <c r="I2461" s="402"/>
      <c r="J2461" s="362" t="s">
        <v>6</v>
      </c>
      <c r="K2461" s="691" t="s">
        <v>127</v>
      </c>
      <c r="L2461" s="665"/>
      <c r="M2461" s="607"/>
      <c r="N2461" s="643"/>
      <c r="O2461" s="666"/>
      <c r="P2461" s="464"/>
    </row>
    <row r="2462" spans="1:16" s="616" customFormat="1" ht="14">
      <c r="A2462" s="316" t="s">
        <v>705</v>
      </c>
      <c r="B2462" s="317" t="s">
        <v>1374</v>
      </c>
      <c r="C2462" s="320"/>
      <c r="D2462" s="402"/>
      <c r="E2462" s="402"/>
      <c r="F2462" s="667"/>
      <c r="G2462" s="688"/>
      <c r="H2462" s="688"/>
      <c r="I2462" s="402"/>
      <c r="J2462" s="362" t="s">
        <v>6</v>
      </c>
      <c r="K2462" s="691"/>
      <c r="L2462" s="591" t="s">
        <v>62</v>
      </c>
      <c r="M2462" s="607"/>
      <c r="N2462" s="643"/>
      <c r="O2462" s="666"/>
      <c r="P2462" s="464"/>
    </row>
    <row r="2463" spans="1:16" s="616" customFormat="1" ht="14">
      <c r="A2463" s="319" t="s">
        <v>8</v>
      </c>
      <c r="B2463" s="314" t="s">
        <v>1131</v>
      </c>
      <c r="C2463" s="318" t="s">
        <v>31</v>
      </c>
      <c r="D2463" s="402"/>
      <c r="E2463" s="402"/>
      <c r="F2463" s="663"/>
      <c r="G2463" s="10">
        <f t="shared" ref="G2463:H2464" si="614">D2463*$F2463</f>
        <v>0</v>
      </c>
      <c r="H2463" s="10">
        <f t="shared" si="614"/>
        <v>0</v>
      </c>
      <c r="I2463" s="402"/>
      <c r="J2463" s="362" t="s">
        <v>6</v>
      </c>
      <c r="K2463" s="691" t="s">
        <v>127</v>
      </c>
      <c r="L2463" s="665"/>
      <c r="M2463" s="607"/>
      <c r="N2463" s="643"/>
      <c r="O2463" s="666"/>
      <c r="P2463" s="464"/>
    </row>
    <row r="2464" spans="1:16" s="616" customFormat="1" ht="14">
      <c r="A2464" s="319" t="s">
        <v>8</v>
      </c>
      <c r="B2464" s="314" t="s">
        <v>1132</v>
      </c>
      <c r="C2464" s="318" t="s">
        <v>15</v>
      </c>
      <c r="D2464" s="402"/>
      <c r="E2464" s="402"/>
      <c r="F2464" s="663"/>
      <c r="G2464" s="10">
        <f t="shared" si="614"/>
        <v>0</v>
      </c>
      <c r="H2464" s="10">
        <f t="shared" si="614"/>
        <v>0</v>
      </c>
      <c r="I2464" s="402"/>
      <c r="J2464" s="362" t="s">
        <v>6</v>
      </c>
      <c r="K2464" s="691" t="s">
        <v>127</v>
      </c>
      <c r="L2464" s="665"/>
      <c r="M2464" s="607"/>
      <c r="N2464" s="643"/>
      <c r="O2464" s="666"/>
      <c r="P2464" s="464"/>
    </row>
    <row r="2465" spans="1:16" s="616" customFormat="1" ht="14">
      <c r="A2465" s="316" t="s">
        <v>712</v>
      </c>
      <c r="B2465" s="317" t="s">
        <v>1135</v>
      </c>
      <c r="C2465" s="320"/>
      <c r="D2465" s="402"/>
      <c r="E2465" s="402"/>
      <c r="F2465" s="667"/>
      <c r="G2465" s="688"/>
      <c r="H2465" s="688"/>
      <c r="I2465" s="402"/>
      <c r="J2465" s="362" t="s">
        <v>6</v>
      </c>
      <c r="K2465" s="691"/>
      <c r="L2465" s="591" t="s">
        <v>62</v>
      </c>
      <c r="M2465" s="607"/>
      <c r="N2465" s="643"/>
      <c r="O2465" s="666"/>
      <c r="P2465" s="464"/>
    </row>
    <row r="2466" spans="1:16" s="616" customFormat="1" ht="14">
      <c r="A2466" s="319" t="s">
        <v>8</v>
      </c>
      <c r="B2466" s="314" t="s">
        <v>1136</v>
      </c>
      <c r="C2466" s="320" t="s">
        <v>15</v>
      </c>
      <c r="D2466" s="402"/>
      <c r="E2466" s="402"/>
      <c r="F2466" s="667"/>
      <c r="G2466" s="10">
        <f t="shared" ref="G2466:H2469" si="615">D2466*$F2466</f>
        <v>0</v>
      </c>
      <c r="H2466" s="10">
        <f t="shared" si="615"/>
        <v>0</v>
      </c>
      <c r="I2466" s="402"/>
      <c r="J2466" s="362" t="s">
        <v>6</v>
      </c>
      <c r="K2466" s="691" t="s">
        <v>127</v>
      </c>
      <c r="L2466" s="591" t="s">
        <v>62</v>
      </c>
      <c r="M2466" s="607"/>
      <c r="N2466" s="643"/>
      <c r="O2466" s="666"/>
      <c r="P2466" s="464"/>
    </row>
    <row r="2467" spans="1:16" s="616" customFormat="1" ht="14">
      <c r="A2467" s="319" t="s">
        <v>8</v>
      </c>
      <c r="B2467" s="314" t="s">
        <v>1137</v>
      </c>
      <c r="C2467" s="320" t="s">
        <v>15</v>
      </c>
      <c r="D2467" s="402"/>
      <c r="E2467" s="402"/>
      <c r="F2467" s="668"/>
      <c r="G2467" s="10">
        <f t="shared" si="615"/>
        <v>0</v>
      </c>
      <c r="H2467" s="10">
        <f t="shared" si="615"/>
        <v>0</v>
      </c>
      <c r="I2467" s="402"/>
      <c r="J2467" s="362" t="s">
        <v>6</v>
      </c>
      <c r="K2467" s="691" t="s">
        <v>127</v>
      </c>
      <c r="L2467" s="591" t="s">
        <v>62</v>
      </c>
      <c r="M2467" s="607"/>
      <c r="N2467" s="643"/>
      <c r="O2467" s="666"/>
      <c r="P2467" s="464"/>
    </row>
    <row r="2468" spans="1:16" s="616" customFormat="1" ht="14">
      <c r="A2468" s="302" t="s">
        <v>8</v>
      </c>
      <c r="B2468" s="303" t="s">
        <v>1138</v>
      </c>
      <c r="C2468" s="318" t="s">
        <v>15</v>
      </c>
      <c r="D2468" s="402"/>
      <c r="E2468" s="402"/>
      <c r="F2468" s="663"/>
      <c r="G2468" s="10">
        <f t="shared" si="615"/>
        <v>0</v>
      </c>
      <c r="H2468" s="10">
        <f t="shared" si="615"/>
        <v>0</v>
      </c>
      <c r="I2468" s="402"/>
      <c r="J2468" s="362" t="s">
        <v>6</v>
      </c>
      <c r="K2468" s="691" t="s">
        <v>127</v>
      </c>
      <c r="L2468" s="665"/>
      <c r="M2468" s="607"/>
      <c r="N2468" s="643"/>
      <c r="O2468" s="666"/>
      <c r="P2468" s="464"/>
    </row>
    <row r="2469" spans="1:16" s="616" customFormat="1" ht="14">
      <c r="A2469" s="302" t="s">
        <v>8</v>
      </c>
      <c r="B2469" s="303" t="s">
        <v>1139</v>
      </c>
      <c r="C2469" s="320" t="s">
        <v>15</v>
      </c>
      <c r="D2469" s="402"/>
      <c r="E2469" s="402"/>
      <c r="F2469" s="663"/>
      <c r="G2469" s="10">
        <f t="shared" si="615"/>
        <v>0</v>
      </c>
      <c r="H2469" s="10">
        <f t="shared" si="615"/>
        <v>0</v>
      </c>
      <c r="I2469" s="402"/>
      <c r="J2469" s="362" t="s">
        <v>6</v>
      </c>
      <c r="K2469" s="691" t="s">
        <v>127</v>
      </c>
      <c r="L2469" s="591" t="s">
        <v>62</v>
      </c>
      <c r="M2469" s="607"/>
      <c r="N2469" s="643"/>
      <c r="O2469" s="666"/>
      <c r="P2469" s="464"/>
    </row>
    <row r="2470" spans="1:16" s="616" customFormat="1" ht="14">
      <c r="A2470" s="321" t="s">
        <v>655</v>
      </c>
      <c r="B2470" s="322" t="s">
        <v>1140</v>
      </c>
      <c r="C2470" s="320"/>
      <c r="D2470" s="402"/>
      <c r="E2470" s="402"/>
      <c r="F2470" s="663"/>
      <c r="G2470" s="687">
        <f>SUBTOTAL(9,G2471:G2492)</f>
        <v>0</v>
      </c>
      <c r="H2470" s="687">
        <f>SUBTOTAL(9,H2471:H2492)</f>
        <v>0</v>
      </c>
      <c r="I2470" s="402"/>
      <c r="J2470" s="362" t="s">
        <v>6</v>
      </c>
      <c r="K2470" s="692"/>
      <c r="L2470" s="591" t="s">
        <v>62</v>
      </c>
      <c r="M2470" s="607"/>
      <c r="N2470" s="643"/>
      <c r="O2470" s="666"/>
      <c r="P2470" s="464"/>
    </row>
    <row r="2471" spans="1:16" s="616" customFormat="1" ht="14">
      <c r="A2471" s="316" t="s">
        <v>723</v>
      </c>
      <c r="B2471" s="317" t="s">
        <v>1141</v>
      </c>
      <c r="C2471" s="318"/>
      <c r="D2471" s="402"/>
      <c r="E2471" s="402"/>
      <c r="F2471" s="663"/>
      <c r="G2471" s="688"/>
      <c r="H2471" s="688"/>
      <c r="I2471" s="402"/>
      <c r="J2471" s="362" t="s">
        <v>6</v>
      </c>
      <c r="K2471" s="691"/>
      <c r="L2471" s="665"/>
      <c r="M2471" s="607"/>
      <c r="N2471" s="643"/>
      <c r="O2471" s="666"/>
      <c r="P2471" s="464"/>
    </row>
    <row r="2472" spans="1:16" s="616" customFormat="1" ht="14">
      <c r="A2472" s="319" t="s">
        <v>8</v>
      </c>
      <c r="B2472" s="314" t="s">
        <v>1123</v>
      </c>
      <c r="C2472" s="320" t="s">
        <v>150</v>
      </c>
      <c r="D2472" s="402"/>
      <c r="E2472" s="402"/>
      <c r="F2472" s="667"/>
      <c r="G2472" s="10">
        <f t="shared" ref="G2472:H2473" si="616">D2472*$F2472</f>
        <v>0</v>
      </c>
      <c r="H2472" s="10">
        <f t="shared" si="616"/>
        <v>0</v>
      </c>
      <c r="I2472" s="402"/>
      <c r="J2472" s="362" t="s">
        <v>6</v>
      </c>
      <c r="K2472" s="691" t="s">
        <v>127</v>
      </c>
      <c r="L2472" s="591" t="s">
        <v>62</v>
      </c>
      <c r="M2472" s="607"/>
      <c r="N2472" s="643"/>
      <c r="O2472" s="666"/>
      <c r="P2472" s="464"/>
    </row>
    <row r="2473" spans="1:16" s="616" customFormat="1" ht="14">
      <c r="A2473" s="319" t="s">
        <v>8</v>
      </c>
      <c r="B2473" s="314" t="s">
        <v>1124</v>
      </c>
      <c r="C2473" s="320" t="s">
        <v>31</v>
      </c>
      <c r="D2473" s="402"/>
      <c r="E2473" s="402"/>
      <c r="F2473" s="667"/>
      <c r="G2473" s="10">
        <f t="shared" si="616"/>
        <v>0</v>
      </c>
      <c r="H2473" s="10">
        <f t="shared" si="616"/>
        <v>0</v>
      </c>
      <c r="I2473" s="402"/>
      <c r="J2473" s="362" t="s">
        <v>6</v>
      </c>
      <c r="K2473" s="691" t="s">
        <v>127</v>
      </c>
      <c r="L2473" s="591" t="s">
        <v>62</v>
      </c>
      <c r="M2473" s="607"/>
      <c r="N2473" s="643"/>
      <c r="O2473" s="666"/>
      <c r="P2473" s="464"/>
    </row>
    <row r="2474" spans="1:16" s="616" customFormat="1" ht="14">
      <c r="A2474" s="316" t="s">
        <v>724</v>
      </c>
      <c r="B2474" s="317" t="s">
        <v>1125</v>
      </c>
      <c r="C2474" s="304"/>
      <c r="D2474" s="402"/>
      <c r="E2474" s="402"/>
      <c r="F2474" s="667"/>
      <c r="G2474" s="688"/>
      <c r="H2474" s="688"/>
      <c r="I2474" s="402"/>
      <c r="J2474" s="362" t="s">
        <v>6</v>
      </c>
      <c r="K2474" s="691"/>
      <c r="L2474" s="591" t="s">
        <v>62</v>
      </c>
      <c r="M2474" s="607"/>
      <c r="N2474" s="643"/>
      <c r="O2474" s="666"/>
      <c r="P2474" s="464"/>
    </row>
    <row r="2475" spans="1:16" s="616" customFormat="1" ht="14">
      <c r="A2475" s="319" t="s">
        <v>8</v>
      </c>
      <c r="B2475" s="314" t="s">
        <v>1126</v>
      </c>
      <c r="C2475" s="304" t="s">
        <v>15</v>
      </c>
      <c r="D2475" s="402"/>
      <c r="E2475" s="402"/>
      <c r="F2475" s="667"/>
      <c r="G2475" s="10">
        <f t="shared" ref="G2475:H2475" si="617">D2475*$F2475</f>
        <v>0</v>
      </c>
      <c r="H2475" s="10">
        <f t="shared" si="617"/>
        <v>0</v>
      </c>
      <c r="I2475" s="402"/>
      <c r="J2475" s="362" t="s">
        <v>6</v>
      </c>
      <c r="K2475" s="691" t="s">
        <v>127</v>
      </c>
      <c r="L2475" s="591" t="s">
        <v>62</v>
      </c>
      <c r="M2475" s="607"/>
      <c r="N2475" s="643"/>
      <c r="O2475" s="666"/>
      <c r="P2475" s="464"/>
    </row>
    <row r="2476" spans="1:16" s="616" customFormat="1" ht="14">
      <c r="A2476" s="316" t="s">
        <v>725</v>
      </c>
      <c r="B2476" s="317" t="s">
        <v>1130</v>
      </c>
      <c r="C2476" s="323"/>
      <c r="D2476" s="323"/>
      <c r="E2476" s="323"/>
      <c r="F2476" s="323"/>
      <c r="G2476" s="688"/>
      <c r="H2476" s="688"/>
      <c r="I2476" s="323"/>
      <c r="J2476" s="362" t="s">
        <v>6</v>
      </c>
      <c r="K2476" s="691"/>
      <c r="L2476" s="323"/>
      <c r="M2476" s="323"/>
      <c r="N2476" s="643"/>
      <c r="O2476" s="666"/>
      <c r="P2476" s="464"/>
    </row>
    <row r="2477" spans="1:16" s="616" customFormat="1" ht="14">
      <c r="A2477" s="319" t="s">
        <v>8</v>
      </c>
      <c r="B2477" s="314" t="s">
        <v>1131</v>
      </c>
      <c r="C2477" s="318" t="s">
        <v>31</v>
      </c>
      <c r="D2477" s="402"/>
      <c r="E2477" s="402"/>
      <c r="F2477" s="663"/>
      <c r="G2477" s="10">
        <f t="shared" ref="G2477:H2479" si="618">D2477*$F2477</f>
        <v>0</v>
      </c>
      <c r="H2477" s="10">
        <f t="shared" si="618"/>
        <v>0</v>
      </c>
      <c r="I2477" s="402"/>
      <c r="J2477" s="362" t="s">
        <v>6</v>
      </c>
      <c r="K2477" s="691" t="s">
        <v>127</v>
      </c>
      <c r="L2477" s="665"/>
      <c r="M2477" s="607"/>
      <c r="N2477" s="643"/>
      <c r="O2477" s="666"/>
      <c r="P2477" s="464"/>
    </row>
    <row r="2478" spans="1:16" s="616" customFormat="1" ht="14">
      <c r="A2478" s="319" t="s">
        <v>8</v>
      </c>
      <c r="B2478" s="314" t="s">
        <v>1132</v>
      </c>
      <c r="C2478" s="320" t="s">
        <v>15</v>
      </c>
      <c r="D2478" s="402"/>
      <c r="E2478" s="402"/>
      <c r="F2478" s="667"/>
      <c r="G2478" s="10">
        <f t="shared" si="618"/>
        <v>0</v>
      </c>
      <c r="H2478" s="10">
        <f t="shared" si="618"/>
        <v>0</v>
      </c>
      <c r="I2478" s="402"/>
      <c r="J2478" s="362" t="s">
        <v>6</v>
      </c>
      <c r="K2478" s="691" t="s">
        <v>127</v>
      </c>
      <c r="L2478" s="591" t="s">
        <v>62</v>
      </c>
      <c r="M2478" s="607"/>
      <c r="N2478" s="643"/>
      <c r="O2478" s="666"/>
      <c r="P2478" s="464"/>
    </row>
    <row r="2479" spans="1:16" s="616" customFormat="1" ht="14">
      <c r="A2479" s="319" t="s">
        <v>8</v>
      </c>
      <c r="B2479" s="314" t="s">
        <v>1133</v>
      </c>
      <c r="C2479" s="320" t="s">
        <v>15</v>
      </c>
      <c r="D2479" s="402"/>
      <c r="E2479" s="402"/>
      <c r="F2479" s="667"/>
      <c r="G2479" s="10">
        <f t="shared" si="618"/>
        <v>0</v>
      </c>
      <c r="H2479" s="10">
        <f t="shared" si="618"/>
        <v>0</v>
      </c>
      <c r="I2479" s="402"/>
      <c r="J2479" s="362" t="s">
        <v>6</v>
      </c>
      <c r="K2479" s="691" t="s">
        <v>127</v>
      </c>
      <c r="L2479" s="591" t="s">
        <v>62</v>
      </c>
      <c r="M2479" s="607"/>
      <c r="N2479" s="643"/>
      <c r="O2479" s="666"/>
      <c r="P2479" s="464"/>
    </row>
    <row r="2480" spans="1:16" s="616" customFormat="1" ht="14">
      <c r="A2480" s="316" t="s">
        <v>727</v>
      </c>
      <c r="B2480" s="317" t="s">
        <v>1134</v>
      </c>
      <c r="C2480" s="318"/>
      <c r="D2480" s="402"/>
      <c r="E2480" s="402"/>
      <c r="F2480" s="663"/>
      <c r="G2480" s="688"/>
      <c r="H2480" s="688"/>
      <c r="I2480" s="402"/>
      <c r="J2480" s="362" t="s">
        <v>6</v>
      </c>
      <c r="K2480" s="691"/>
      <c r="L2480" s="665"/>
      <c r="M2480" s="607"/>
      <c r="N2480" s="643"/>
      <c r="O2480" s="666"/>
      <c r="P2480" s="464"/>
    </row>
    <row r="2481" spans="1:16" s="616" customFormat="1" ht="14">
      <c r="A2481" s="319" t="s">
        <v>8</v>
      </c>
      <c r="B2481" s="695" t="s">
        <v>1375</v>
      </c>
      <c r="C2481" s="320" t="s">
        <v>10</v>
      </c>
      <c r="D2481" s="402"/>
      <c r="E2481" s="402"/>
      <c r="F2481" s="667"/>
      <c r="G2481" s="10">
        <f t="shared" ref="G2481:H2487" si="619">D2481*$F2481</f>
        <v>0</v>
      </c>
      <c r="H2481" s="10">
        <f t="shared" si="619"/>
        <v>0</v>
      </c>
      <c r="I2481" s="402"/>
      <c r="J2481" s="362" t="s">
        <v>6</v>
      </c>
      <c r="K2481" s="691" t="s">
        <v>127</v>
      </c>
      <c r="L2481" s="591" t="s">
        <v>62</v>
      </c>
      <c r="M2481" s="607"/>
      <c r="N2481" s="643"/>
      <c r="O2481" s="666"/>
      <c r="P2481" s="464"/>
    </row>
    <row r="2482" spans="1:16" s="616" customFormat="1" ht="14">
      <c r="A2482" s="319" t="s">
        <v>8</v>
      </c>
      <c r="B2482" s="695" t="s">
        <v>1376</v>
      </c>
      <c r="C2482" s="318" t="s">
        <v>10</v>
      </c>
      <c r="D2482" s="402"/>
      <c r="E2482" s="402"/>
      <c r="F2482" s="663"/>
      <c r="G2482" s="10">
        <f t="shared" si="619"/>
        <v>0</v>
      </c>
      <c r="H2482" s="10">
        <f t="shared" si="619"/>
        <v>0</v>
      </c>
      <c r="I2482" s="402"/>
      <c r="J2482" s="362" t="s">
        <v>6</v>
      </c>
      <c r="K2482" s="691" t="s">
        <v>127</v>
      </c>
      <c r="L2482" s="665"/>
      <c r="M2482" s="607"/>
      <c r="N2482" s="643"/>
      <c r="O2482" s="666"/>
      <c r="P2482" s="464"/>
    </row>
    <row r="2483" spans="1:16" s="616" customFormat="1" ht="14">
      <c r="A2483" s="319" t="s">
        <v>8</v>
      </c>
      <c r="B2483" s="696" t="s">
        <v>1377</v>
      </c>
      <c r="C2483" s="318" t="s">
        <v>10</v>
      </c>
      <c r="D2483" s="402"/>
      <c r="E2483" s="402"/>
      <c r="F2483" s="663"/>
      <c r="G2483" s="10">
        <f t="shared" si="619"/>
        <v>0</v>
      </c>
      <c r="H2483" s="10">
        <f t="shared" si="619"/>
        <v>0</v>
      </c>
      <c r="I2483" s="402"/>
      <c r="J2483" s="362" t="s">
        <v>6</v>
      </c>
      <c r="K2483" s="691" t="s">
        <v>127</v>
      </c>
      <c r="L2483" s="665"/>
      <c r="M2483" s="607"/>
      <c r="N2483" s="643"/>
      <c r="O2483" s="666"/>
      <c r="P2483" s="464"/>
    </row>
    <row r="2484" spans="1:16" s="616" customFormat="1" ht="14">
      <c r="A2484" s="319" t="s">
        <v>8</v>
      </c>
      <c r="B2484" s="696" t="s">
        <v>1378</v>
      </c>
      <c r="C2484" s="320" t="s">
        <v>10</v>
      </c>
      <c r="D2484" s="402"/>
      <c r="E2484" s="402"/>
      <c r="F2484" s="667"/>
      <c r="G2484" s="10">
        <f t="shared" si="619"/>
        <v>0</v>
      </c>
      <c r="H2484" s="10">
        <f t="shared" si="619"/>
        <v>0</v>
      </c>
      <c r="I2484" s="402"/>
      <c r="J2484" s="362" t="s">
        <v>6</v>
      </c>
      <c r="K2484" s="691" t="s">
        <v>127</v>
      </c>
      <c r="L2484" s="591" t="s">
        <v>62</v>
      </c>
      <c r="M2484" s="607"/>
      <c r="N2484" s="643"/>
      <c r="O2484" s="666"/>
      <c r="P2484" s="464"/>
    </row>
    <row r="2485" spans="1:16" s="616" customFormat="1" ht="14">
      <c r="A2485" s="319" t="s">
        <v>8</v>
      </c>
      <c r="B2485" s="696" t="s">
        <v>1379</v>
      </c>
      <c r="C2485" s="320" t="s">
        <v>10</v>
      </c>
      <c r="D2485" s="402"/>
      <c r="E2485" s="402"/>
      <c r="F2485" s="667"/>
      <c r="G2485" s="10">
        <f t="shared" si="619"/>
        <v>0</v>
      </c>
      <c r="H2485" s="10">
        <f t="shared" si="619"/>
        <v>0</v>
      </c>
      <c r="I2485" s="402"/>
      <c r="J2485" s="362" t="s">
        <v>6</v>
      </c>
      <c r="K2485" s="691" t="s">
        <v>127</v>
      </c>
      <c r="L2485" s="591" t="s">
        <v>62</v>
      </c>
      <c r="M2485" s="607"/>
      <c r="N2485" s="643"/>
      <c r="O2485" s="666"/>
      <c r="P2485" s="464"/>
    </row>
    <row r="2486" spans="1:16" s="616" customFormat="1" ht="14">
      <c r="A2486" s="319" t="s">
        <v>8</v>
      </c>
      <c r="B2486" s="696" t="s">
        <v>1380</v>
      </c>
      <c r="C2486" s="320" t="s">
        <v>10</v>
      </c>
      <c r="D2486" s="402"/>
      <c r="E2486" s="402"/>
      <c r="F2486" s="668"/>
      <c r="G2486" s="10">
        <f t="shared" si="619"/>
        <v>0</v>
      </c>
      <c r="H2486" s="10">
        <f t="shared" si="619"/>
        <v>0</v>
      </c>
      <c r="I2486" s="402"/>
      <c r="J2486" s="362" t="s">
        <v>6</v>
      </c>
      <c r="K2486" s="691" t="s">
        <v>127</v>
      </c>
      <c r="L2486" s="591" t="s">
        <v>62</v>
      </c>
      <c r="M2486" s="607"/>
      <c r="N2486" s="643"/>
      <c r="O2486" s="666"/>
      <c r="P2486" s="464"/>
    </row>
    <row r="2487" spans="1:16" s="616" customFormat="1" ht="14">
      <c r="A2487" s="319" t="s">
        <v>8</v>
      </c>
      <c r="B2487" s="696" t="s">
        <v>1381</v>
      </c>
      <c r="C2487" s="318" t="s">
        <v>10</v>
      </c>
      <c r="D2487" s="402"/>
      <c r="E2487" s="402"/>
      <c r="F2487" s="663"/>
      <c r="G2487" s="10">
        <f t="shared" si="619"/>
        <v>0</v>
      </c>
      <c r="H2487" s="10">
        <f t="shared" si="619"/>
        <v>0</v>
      </c>
      <c r="I2487" s="402"/>
      <c r="J2487" s="362" t="s">
        <v>6</v>
      </c>
      <c r="K2487" s="691" t="s">
        <v>127</v>
      </c>
      <c r="L2487" s="665"/>
      <c r="M2487" s="607"/>
      <c r="N2487" s="643"/>
      <c r="O2487" s="666"/>
      <c r="P2487" s="464"/>
    </row>
    <row r="2488" spans="1:16" s="616" customFormat="1" ht="14">
      <c r="A2488" s="316" t="s">
        <v>730</v>
      </c>
      <c r="B2488" s="317" t="s">
        <v>1135</v>
      </c>
      <c r="C2488" s="320"/>
      <c r="D2488" s="402"/>
      <c r="E2488" s="402"/>
      <c r="F2488" s="663"/>
      <c r="G2488" s="688"/>
      <c r="H2488" s="688"/>
      <c r="I2488" s="402"/>
      <c r="J2488" s="362" t="s">
        <v>6</v>
      </c>
      <c r="K2488" s="691"/>
      <c r="L2488" s="591" t="s">
        <v>62</v>
      </c>
      <c r="M2488" s="607"/>
      <c r="N2488" s="643"/>
      <c r="O2488" s="666"/>
      <c r="P2488" s="464"/>
    </row>
    <row r="2489" spans="1:16" s="616" customFormat="1" ht="14">
      <c r="A2489" s="319" t="s">
        <v>8</v>
      </c>
      <c r="B2489" s="314" t="s">
        <v>1136</v>
      </c>
      <c r="C2489" s="320" t="s">
        <v>15</v>
      </c>
      <c r="D2489" s="402"/>
      <c r="E2489" s="402"/>
      <c r="F2489" s="663"/>
      <c r="G2489" s="10">
        <f t="shared" ref="G2489:H2492" si="620">D2489*$F2489</f>
        <v>0</v>
      </c>
      <c r="H2489" s="10">
        <f t="shared" si="620"/>
        <v>0</v>
      </c>
      <c r="I2489" s="402"/>
      <c r="J2489" s="362" t="s">
        <v>6</v>
      </c>
      <c r="K2489" s="691" t="s">
        <v>127</v>
      </c>
      <c r="L2489" s="591" t="s">
        <v>62</v>
      </c>
      <c r="M2489" s="607"/>
      <c r="N2489" s="643"/>
      <c r="O2489" s="666"/>
      <c r="P2489" s="464"/>
    </row>
    <row r="2490" spans="1:16" s="616" customFormat="1" ht="14">
      <c r="A2490" s="319" t="s">
        <v>8</v>
      </c>
      <c r="B2490" s="314" t="s">
        <v>1137</v>
      </c>
      <c r="C2490" s="320" t="s">
        <v>15</v>
      </c>
      <c r="D2490" s="402"/>
      <c r="E2490" s="402"/>
      <c r="F2490" s="663"/>
      <c r="G2490" s="10">
        <f t="shared" si="620"/>
        <v>0</v>
      </c>
      <c r="H2490" s="10">
        <f t="shared" si="620"/>
        <v>0</v>
      </c>
      <c r="I2490" s="402"/>
      <c r="J2490" s="362" t="s">
        <v>6</v>
      </c>
      <c r="K2490" s="691" t="s">
        <v>127</v>
      </c>
      <c r="L2490" s="591" t="s">
        <v>62</v>
      </c>
      <c r="M2490" s="607"/>
      <c r="N2490" s="643"/>
      <c r="O2490" s="666"/>
      <c r="P2490" s="464"/>
    </row>
    <row r="2491" spans="1:16" s="616" customFormat="1" ht="14">
      <c r="A2491" s="302" t="s">
        <v>8</v>
      </c>
      <c r="B2491" s="303" t="s">
        <v>1138</v>
      </c>
      <c r="C2491" s="320" t="s">
        <v>15</v>
      </c>
      <c r="D2491" s="402"/>
      <c r="E2491" s="402"/>
      <c r="F2491" s="663"/>
      <c r="G2491" s="10">
        <f t="shared" si="620"/>
        <v>0</v>
      </c>
      <c r="H2491" s="10">
        <f t="shared" si="620"/>
        <v>0</v>
      </c>
      <c r="I2491" s="402"/>
      <c r="J2491" s="362" t="s">
        <v>6</v>
      </c>
      <c r="K2491" s="691" t="s">
        <v>127</v>
      </c>
      <c r="L2491" s="591" t="s">
        <v>62</v>
      </c>
      <c r="M2491" s="607"/>
      <c r="N2491" s="643"/>
      <c r="O2491" s="666"/>
      <c r="P2491" s="464"/>
    </row>
    <row r="2492" spans="1:16" s="616" customFormat="1" ht="14">
      <c r="A2492" s="302" t="s">
        <v>8</v>
      </c>
      <c r="B2492" s="303" t="s">
        <v>1139</v>
      </c>
      <c r="C2492" s="318" t="s">
        <v>15</v>
      </c>
      <c r="D2492" s="402"/>
      <c r="E2492" s="402"/>
      <c r="F2492" s="663"/>
      <c r="G2492" s="10">
        <f t="shared" si="620"/>
        <v>0</v>
      </c>
      <c r="H2492" s="10">
        <f t="shared" si="620"/>
        <v>0</v>
      </c>
      <c r="I2492" s="402"/>
      <c r="J2492" s="362" t="s">
        <v>6</v>
      </c>
      <c r="K2492" s="691" t="s">
        <v>127</v>
      </c>
      <c r="L2492" s="665"/>
      <c r="M2492" s="607"/>
      <c r="N2492" s="643"/>
      <c r="O2492" s="666"/>
      <c r="P2492" s="464"/>
    </row>
    <row r="2493" spans="1:16" s="616" customFormat="1" ht="14">
      <c r="A2493" s="693">
        <v>2</v>
      </c>
      <c r="B2493" s="694" t="s">
        <v>1142</v>
      </c>
      <c r="C2493" s="320"/>
      <c r="D2493" s="402"/>
      <c r="E2493" s="402"/>
      <c r="F2493" s="667"/>
      <c r="G2493" s="687">
        <f>SUBTOTAL(9,G2494:G2533)</f>
        <v>0</v>
      </c>
      <c r="H2493" s="687">
        <f>SUBTOTAL(9,H2494:H2533)</f>
        <v>0</v>
      </c>
      <c r="I2493" s="402"/>
      <c r="J2493" s="362" t="s">
        <v>6</v>
      </c>
      <c r="K2493" s="692"/>
      <c r="L2493" s="591" t="s">
        <v>62</v>
      </c>
      <c r="M2493" s="607"/>
      <c r="N2493" s="643"/>
      <c r="O2493" s="666"/>
      <c r="P2493" s="464"/>
    </row>
    <row r="2494" spans="1:16" s="616" customFormat="1" ht="14">
      <c r="A2494" s="693">
        <v>2.1</v>
      </c>
      <c r="B2494" s="694" t="s">
        <v>1143</v>
      </c>
      <c r="C2494" s="320"/>
      <c r="D2494" s="402"/>
      <c r="E2494" s="402"/>
      <c r="F2494" s="667"/>
      <c r="G2494" s="687">
        <f>SUBTOTAL(9,G2495:G2509)</f>
        <v>0</v>
      </c>
      <c r="H2494" s="687">
        <f>SUBTOTAL(9,H2495:H2509)</f>
        <v>0</v>
      </c>
      <c r="I2494" s="402"/>
      <c r="J2494" s="362" t="s">
        <v>6</v>
      </c>
      <c r="K2494" s="692"/>
      <c r="L2494" s="591" t="s">
        <v>62</v>
      </c>
      <c r="M2494" s="607"/>
      <c r="N2494" s="643"/>
      <c r="O2494" s="666"/>
      <c r="P2494" s="464"/>
    </row>
    <row r="2495" spans="1:16" s="616" customFormat="1" ht="14">
      <c r="A2495" s="316" t="s">
        <v>603</v>
      </c>
      <c r="B2495" s="317" t="s">
        <v>1141</v>
      </c>
      <c r="C2495" s="304"/>
      <c r="D2495" s="402"/>
      <c r="E2495" s="402"/>
      <c r="F2495" s="667"/>
      <c r="G2495" s="688"/>
      <c r="H2495" s="688"/>
      <c r="I2495" s="402"/>
      <c r="J2495" s="362" t="s">
        <v>6</v>
      </c>
      <c r="K2495" s="691"/>
      <c r="L2495" s="591" t="s">
        <v>62</v>
      </c>
      <c r="M2495" s="607"/>
      <c r="N2495" s="643"/>
      <c r="O2495" s="666"/>
      <c r="P2495" s="464"/>
    </row>
    <row r="2496" spans="1:16" s="616" customFormat="1" ht="14">
      <c r="A2496" s="319" t="s">
        <v>8</v>
      </c>
      <c r="B2496" s="314" t="s">
        <v>1123</v>
      </c>
      <c r="C2496" s="304" t="s">
        <v>150</v>
      </c>
      <c r="D2496" s="402"/>
      <c r="E2496" s="402"/>
      <c r="F2496" s="667"/>
      <c r="G2496" s="10">
        <f t="shared" ref="G2496:H2497" si="621">D2496*$F2496</f>
        <v>0</v>
      </c>
      <c r="H2496" s="10">
        <f t="shared" si="621"/>
        <v>0</v>
      </c>
      <c r="I2496" s="402"/>
      <c r="J2496" s="362" t="s">
        <v>6</v>
      </c>
      <c r="K2496" s="691" t="s">
        <v>128</v>
      </c>
      <c r="L2496" s="591" t="s">
        <v>62</v>
      </c>
      <c r="M2496" s="607"/>
      <c r="N2496" s="643"/>
      <c r="O2496" s="666"/>
      <c r="P2496" s="464"/>
    </row>
    <row r="2497" spans="1:16" s="616" customFormat="1" ht="14">
      <c r="A2497" s="319" t="s">
        <v>8</v>
      </c>
      <c r="B2497" s="314" t="s">
        <v>1124</v>
      </c>
      <c r="C2497" s="597" t="s">
        <v>31</v>
      </c>
      <c r="D2497" s="597"/>
      <c r="E2497" s="597"/>
      <c r="F2497" s="597"/>
      <c r="G2497" s="10">
        <f t="shared" si="621"/>
        <v>0</v>
      </c>
      <c r="H2497" s="10">
        <f t="shared" si="621"/>
        <v>0</v>
      </c>
      <c r="I2497" s="597"/>
      <c r="J2497" s="362" t="s">
        <v>6</v>
      </c>
      <c r="K2497" s="691" t="s">
        <v>128</v>
      </c>
      <c r="L2497" s="597"/>
      <c r="M2497" s="597"/>
      <c r="N2497" s="643"/>
      <c r="O2497" s="666"/>
      <c r="P2497" s="464"/>
    </row>
    <row r="2498" spans="1:16" s="616" customFormat="1" ht="14">
      <c r="A2498" s="316" t="s">
        <v>604</v>
      </c>
      <c r="B2498" s="317" t="s">
        <v>1125</v>
      </c>
      <c r="C2498" s="597"/>
      <c r="D2498" s="597"/>
      <c r="E2498" s="597"/>
      <c r="F2498" s="597"/>
      <c r="G2498" s="688"/>
      <c r="H2498" s="688"/>
      <c r="I2498" s="597"/>
      <c r="J2498" s="362" t="s">
        <v>6</v>
      </c>
      <c r="K2498" s="691"/>
      <c r="L2498" s="597"/>
      <c r="M2498" s="597"/>
      <c r="N2498" s="643"/>
      <c r="O2498" s="666"/>
      <c r="P2498" s="464"/>
    </row>
    <row r="2499" spans="1:16" s="616" customFormat="1" ht="14">
      <c r="A2499" s="319" t="s">
        <v>8</v>
      </c>
      <c r="B2499" s="314" t="s">
        <v>1126</v>
      </c>
      <c r="C2499" s="318" t="s">
        <v>15</v>
      </c>
      <c r="D2499" s="402"/>
      <c r="E2499" s="402"/>
      <c r="F2499" s="663"/>
      <c r="G2499" s="10">
        <f t="shared" ref="G2499:H2499" si="622">D2499*$F2499</f>
        <v>0</v>
      </c>
      <c r="H2499" s="10">
        <f t="shared" si="622"/>
        <v>0</v>
      </c>
      <c r="I2499" s="402"/>
      <c r="J2499" s="362" t="s">
        <v>6</v>
      </c>
      <c r="K2499" s="691" t="s">
        <v>128</v>
      </c>
      <c r="L2499" s="665"/>
      <c r="M2499" s="607"/>
      <c r="N2499" s="643"/>
      <c r="O2499" s="666"/>
      <c r="P2499" s="464"/>
    </row>
    <row r="2500" spans="1:16" s="616" customFormat="1" ht="14">
      <c r="A2500" s="316" t="s">
        <v>605</v>
      </c>
      <c r="B2500" s="317" t="s">
        <v>1127</v>
      </c>
      <c r="C2500" s="320"/>
      <c r="D2500" s="402"/>
      <c r="E2500" s="402"/>
      <c r="F2500" s="667"/>
      <c r="G2500" s="688"/>
      <c r="H2500" s="688"/>
      <c r="I2500" s="402"/>
      <c r="J2500" s="362" t="s">
        <v>6</v>
      </c>
      <c r="K2500" s="691"/>
      <c r="L2500" s="591" t="s">
        <v>62</v>
      </c>
      <c r="M2500" s="607"/>
      <c r="N2500" s="643"/>
      <c r="O2500" s="666"/>
      <c r="P2500" s="464"/>
    </row>
    <row r="2501" spans="1:16" s="616" customFormat="1" ht="14">
      <c r="A2501" s="319" t="s">
        <v>8</v>
      </c>
      <c r="B2501" s="314" t="s">
        <v>1128</v>
      </c>
      <c r="C2501" s="320" t="s">
        <v>24</v>
      </c>
      <c r="D2501" s="402"/>
      <c r="E2501" s="402"/>
      <c r="F2501" s="667"/>
      <c r="G2501" s="10">
        <f t="shared" ref="G2501:H2501" si="623">D2501*$F2501</f>
        <v>0</v>
      </c>
      <c r="H2501" s="10">
        <f t="shared" si="623"/>
        <v>0</v>
      </c>
      <c r="I2501" s="402"/>
      <c r="J2501" s="362" t="s">
        <v>6</v>
      </c>
      <c r="K2501" s="691" t="s">
        <v>128</v>
      </c>
      <c r="L2501" s="591" t="s">
        <v>62</v>
      </c>
      <c r="M2501" s="607"/>
      <c r="N2501" s="643"/>
      <c r="O2501" s="666"/>
      <c r="P2501" s="464"/>
    </row>
    <row r="2502" spans="1:16" s="616" customFormat="1" ht="14">
      <c r="A2502" s="316" t="s">
        <v>733</v>
      </c>
      <c r="B2502" s="317" t="s">
        <v>1130</v>
      </c>
      <c r="C2502" s="318"/>
      <c r="D2502" s="402"/>
      <c r="E2502" s="402"/>
      <c r="F2502" s="663"/>
      <c r="G2502" s="688"/>
      <c r="H2502" s="688"/>
      <c r="I2502" s="402"/>
      <c r="J2502" s="362" t="s">
        <v>6</v>
      </c>
      <c r="K2502" s="691"/>
      <c r="L2502" s="665"/>
      <c r="M2502" s="607"/>
      <c r="N2502" s="643"/>
      <c r="O2502" s="666"/>
      <c r="P2502" s="464"/>
    </row>
    <row r="2503" spans="1:16" s="616" customFormat="1" ht="14">
      <c r="A2503" s="319" t="s">
        <v>8</v>
      </c>
      <c r="B2503" s="314" t="s">
        <v>1131</v>
      </c>
      <c r="C2503" s="320" t="s">
        <v>31</v>
      </c>
      <c r="D2503" s="402"/>
      <c r="E2503" s="402"/>
      <c r="F2503" s="667"/>
      <c r="G2503" s="10">
        <f t="shared" ref="G2503:H2504" si="624">D2503*$F2503</f>
        <v>0</v>
      </c>
      <c r="H2503" s="10">
        <f t="shared" si="624"/>
        <v>0</v>
      </c>
      <c r="I2503" s="402"/>
      <c r="J2503" s="362" t="s">
        <v>6</v>
      </c>
      <c r="K2503" s="691" t="s">
        <v>128</v>
      </c>
      <c r="L2503" s="591" t="s">
        <v>62</v>
      </c>
      <c r="M2503" s="607"/>
      <c r="N2503" s="643"/>
      <c r="O2503" s="666"/>
      <c r="P2503" s="464"/>
    </row>
    <row r="2504" spans="1:16" s="616" customFormat="1" ht="14">
      <c r="A2504" s="319" t="s">
        <v>8</v>
      </c>
      <c r="B2504" s="314" t="s">
        <v>1132</v>
      </c>
      <c r="C2504" s="318" t="s">
        <v>15</v>
      </c>
      <c r="D2504" s="402"/>
      <c r="E2504" s="402"/>
      <c r="F2504" s="663"/>
      <c r="G2504" s="10">
        <f t="shared" si="624"/>
        <v>0</v>
      </c>
      <c r="H2504" s="10">
        <f t="shared" si="624"/>
        <v>0</v>
      </c>
      <c r="I2504" s="402"/>
      <c r="J2504" s="362" t="s">
        <v>6</v>
      </c>
      <c r="K2504" s="691" t="s">
        <v>128</v>
      </c>
      <c r="L2504" s="665"/>
      <c r="M2504" s="607"/>
      <c r="N2504" s="643"/>
      <c r="O2504" s="666"/>
      <c r="P2504" s="464"/>
    </row>
    <row r="2505" spans="1:16" s="616" customFormat="1" ht="14">
      <c r="A2505" s="316" t="s">
        <v>735</v>
      </c>
      <c r="B2505" s="317" t="s">
        <v>1135</v>
      </c>
      <c r="C2505" s="320"/>
      <c r="D2505" s="402"/>
      <c r="E2505" s="402"/>
      <c r="F2505" s="667"/>
      <c r="G2505" s="688"/>
      <c r="H2505" s="688"/>
      <c r="I2505" s="402"/>
      <c r="J2505" s="362" t="s">
        <v>6</v>
      </c>
      <c r="K2505" s="691"/>
      <c r="L2505" s="591" t="s">
        <v>62</v>
      </c>
      <c r="M2505" s="607"/>
      <c r="N2505" s="643"/>
      <c r="O2505" s="666"/>
      <c r="P2505" s="464"/>
    </row>
    <row r="2506" spans="1:16" s="616" customFormat="1" ht="14">
      <c r="A2506" s="319" t="s">
        <v>8</v>
      </c>
      <c r="B2506" s="314" t="s">
        <v>1136</v>
      </c>
      <c r="C2506" s="318" t="s">
        <v>15</v>
      </c>
      <c r="D2506" s="402"/>
      <c r="E2506" s="402"/>
      <c r="F2506" s="663"/>
      <c r="G2506" s="10">
        <f t="shared" ref="G2506:H2509" si="625">D2506*$F2506</f>
        <v>0</v>
      </c>
      <c r="H2506" s="10">
        <f t="shared" si="625"/>
        <v>0</v>
      </c>
      <c r="I2506" s="402"/>
      <c r="J2506" s="362" t="s">
        <v>6</v>
      </c>
      <c r="K2506" s="691" t="s">
        <v>128</v>
      </c>
      <c r="L2506" s="665"/>
      <c r="M2506" s="607"/>
      <c r="N2506" s="643"/>
      <c r="O2506" s="666"/>
      <c r="P2506" s="464"/>
    </row>
    <row r="2507" spans="1:16" s="616" customFormat="1" ht="14">
      <c r="A2507" s="319" t="s">
        <v>8</v>
      </c>
      <c r="B2507" s="314" t="s">
        <v>1137</v>
      </c>
      <c r="C2507" s="318" t="s">
        <v>15</v>
      </c>
      <c r="D2507" s="402"/>
      <c r="E2507" s="402"/>
      <c r="F2507" s="663"/>
      <c r="G2507" s="10">
        <f t="shared" si="625"/>
        <v>0</v>
      </c>
      <c r="H2507" s="10">
        <f t="shared" si="625"/>
        <v>0</v>
      </c>
      <c r="I2507" s="402"/>
      <c r="J2507" s="362" t="s">
        <v>6</v>
      </c>
      <c r="K2507" s="691" t="s">
        <v>128</v>
      </c>
      <c r="L2507" s="665"/>
      <c r="M2507" s="607"/>
      <c r="N2507" s="643"/>
      <c r="O2507" s="666"/>
      <c r="P2507" s="464"/>
    </row>
    <row r="2508" spans="1:16" s="616" customFormat="1" ht="14">
      <c r="A2508" s="302" t="s">
        <v>8</v>
      </c>
      <c r="B2508" s="303" t="s">
        <v>1138</v>
      </c>
      <c r="C2508" s="320" t="s">
        <v>15</v>
      </c>
      <c r="D2508" s="402"/>
      <c r="E2508" s="402"/>
      <c r="F2508" s="667"/>
      <c r="G2508" s="10">
        <f t="shared" si="625"/>
        <v>0</v>
      </c>
      <c r="H2508" s="10">
        <f t="shared" si="625"/>
        <v>0</v>
      </c>
      <c r="I2508" s="402"/>
      <c r="J2508" s="362" t="s">
        <v>6</v>
      </c>
      <c r="K2508" s="691" t="s">
        <v>128</v>
      </c>
      <c r="L2508" s="591" t="s">
        <v>62</v>
      </c>
      <c r="M2508" s="607"/>
      <c r="N2508" s="643"/>
      <c r="O2508" s="666"/>
      <c r="P2508" s="464"/>
    </row>
    <row r="2509" spans="1:16" s="616" customFormat="1" ht="14">
      <c r="A2509" s="302" t="s">
        <v>8</v>
      </c>
      <c r="B2509" s="303" t="s">
        <v>1139</v>
      </c>
      <c r="C2509" s="320" t="s">
        <v>15</v>
      </c>
      <c r="D2509" s="402"/>
      <c r="E2509" s="402"/>
      <c r="F2509" s="667"/>
      <c r="G2509" s="10">
        <f t="shared" si="625"/>
        <v>0</v>
      </c>
      <c r="H2509" s="10">
        <f t="shared" si="625"/>
        <v>0</v>
      </c>
      <c r="I2509" s="402"/>
      <c r="J2509" s="362" t="s">
        <v>6</v>
      </c>
      <c r="K2509" s="691" t="s">
        <v>128</v>
      </c>
      <c r="L2509" s="591" t="s">
        <v>62</v>
      </c>
      <c r="M2509" s="607"/>
      <c r="N2509" s="643"/>
      <c r="O2509" s="666"/>
      <c r="P2509" s="464"/>
    </row>
    <row r="2510" spans="1:16" s="616" customFormat="1" ht="14">
      <c r="A2510" s="693" t="s">
        <v>737</v>
      </c>
      <c r="B2510" s="694" t="s">
        <v>1144</v>
      </c>
      <c r="C2510" s="320"/>
      <c r="D2510" s="402"/>
      <c r="E2510" s="402"/>
      <c r="F2510" s="668"/>
      <c r="G2510" s="689">
        <f>SUBTOTAL(9,G2511:G2533)</f>
        <v>0</v>
      </c>
      <c r="H2510" s="689">
        <f>SUBTOTAL(9,H2511:H2533)</f>
        <v>0</v>
      </c>
      <c r="I2510" s="402"/>
      <c r="J2510" s="362" t="s">
        <v>6</v>
      </c>
      <c r="K2510" s="692"/>
      <c r="L2510" s="591" t="s">
        <v>62</v>
      </c>
      <c r="M2510" s="607"/>
      <c r="N2510" s="643"/>
      <c r="O2510" s="666"/>
      <c r="P2510" s="464"/>
    </row>
    <row r="2511" spans="1:16" s="616" customFormat="1" ht="14">
      <c r="A2511" s="316" t="s">
        <v>606</v>
      </c>
      <c r="B2511" s="317" t="s">
        <v>1141</v>
      </c>
      <c r="C2511" s="318"/>
      <c r="D2511" s="402"/>
      <c r="E2511" s="402"/>
      <c r="F2511" s="663"/>
      <c r="G2511" s="688"/>
      <c r="H2511" s="688"/>
      <c r="I2511" s="402"/>
      <c r="J2511" s="362" t="s">
        <v>6</v>
      </c>
      <c r="K2511" s="691"/>
      <c r="L2511" s="665"/>
      <c r="M2511" s="607"/>
      <c r="N2511" s="643"/>
      <c r="O2511" s="666"/>
      <c r="P2511" s="464"/>
    </row>
    <row r="2512" spans="1:16" s="616" customFormat="1" ht="14">
      <c r="A2512" s="319" t="s">
        <v>8</v>
      </c>
      <c r="B2512" s="314" t="s">
        <v>1123</v>
      </c>
      <c r="C2512" s="320" t="s">
        <v>150</v>
      </c>
      <c r="D2512" s="402"/>
      <c r="E2512" s="402"/>
      <c r="F2512" s="663"/>
      <c r="G2512" s="10">
        <f t="shared" ref="G2512:H2513" si="626">D2512*$F2512</f>
        <v>0</v>
      </c>
      <c r="H2512" s="10">
        <f t="shared" si="626"/>
        <v>0</v>
      </c>
      <c r="I2512" s="402"/>
      <c r="J2512" s="362" t="s">
        <v>6</v>
      </c>
      <c r="K2512" s="691" t="s">
        <v>128</v>
      </c>
      <c r="L2512" s="591" t="s">
        <v>62</v>
      </c>
      <c r="M2512" s="607"/>
      <c r="N2512" s="643"/>
      <c r="O2512" s="666"/>
      <c r="P2512" s="464"/>
    </row>
    <row r="2513" spans="1:16" s="616" customFormat="1" ht="14">
      <c r="A2513" s="319" t="s">
        <v>8</v>
      </c>
      <c r="B2513" s="314" t="s">
        <v>1124</v>
      </c>
      <c r="C2513" s="320" t="s">
        <v>31</v>
      </c>
      <c r="D2513" s="402"/>
      <c r="E2513" s="402"/>
      <c r="F2513" s="663"/>
      <c r="G2513" s="10">
        <f t="shared" si="626"/>
        <v>0</v>
      </c>
      <c r="H2513" s="10">
        <f t="shared" si="626"/>
        <v>0</v>
      </c>
      <c r="I2513" s="402"/>
      <c r="J2513" s="362" t="s">
        <v>6</v>
      </c>
      <c r="K2513" s="691" t="s">
        <v>128</v>
      </c>
      <c r="L2513" s="591" t="s">
        <v>62</v>
      </c>
      <c r="M2513" s="607"/>
      <c r="N2513" s="643"/>
      <c r="O2513" s="666"/>
      <c r="P2513" s="464"/>
    </row>
    <row r="2514" spans="1:16" s="616" customFormat="1" ht="14">
      <c r="A2514" s="316" t="s">
        <v>607</v>
      </c>
      <c r="B2514" s="317" t="s">
        <v>1125</v>
      </c>
      <c r="C2514" s="318"/>
      <c r="D2514" s="402"/>
      <c r="E2514" s="402"/>
      <c r="F2514" s="663"/>
      <c r="G2514" s="688"/>
      <c r="H2514" s="688"/>
      <c r="I2514" s="402"/>
      <c r="J2514" s="362" t="s">
        <v>6</v>
      </c>
      <c r="K2514" s="691"/>
      <c r="L2514" s="665"/>
      <c r="M2514" s="607"/>
      <c r="N2514" s="643"/>
      <c r="O2514" s="666"/>
      <c r="P2514" s="464"/>
    </row>
    <row r="2515" spans="1:16" s="616" customFormat="1" ht="14">
      <c r="A2515" s="319" t="s">
        <v>8</v>
      </c>
      <c r="B2515" s="314" t="s">
        <v>1126</v>
      </c>
      <c r="C2515" s="320" t="s">
        <v>15</v>
      </c>
      <c r="D2515" s="402"/>
      <c r="E2515" s="402"/>
      <c r="F2515" s="667"/>
      <c r="G2515" s="10">
        <f t="shared" ref="G2515:H2515" si="627">D2515*$F2515</f>
        <v>0</v>
      </c>
      <c r="H2515" s="10">
        <f t="shared" si="627"/>
        <v>0</v>
      </c>
      <c r="I2515" s="402"/>
      <c r="J2515" s="362" t="s">
        <v>6</v>
      </c>
      <c r="K2515" s="691" t="s">
        <v>128</v>
      </c>
      <c r="L2515" s="591" t="s">
        <v>62</v>
      </c>
      <c r="M2515" s="607"/>
      <c r="N2515" s="643"/>
      <c r="O2515" s="666"/>
      <c r="P2515" s="464"/>
    </row>
    <row r="2516" spans="1:16" s="616" customFormat="1" ht="14">
      <c r="A2516" s="316" t="s">
        <v>608</v>
      </c>
      <c r="B2516" s="317" t="s">
        <v>1129</v>
      </c>
      <c r="C2516" s="320"/>
      <c r="D2516" s="402"/>
      <c r="E2516" s="402"/>
      <c r="F2516" s="667"/>
      <c r="G2516" s="688"/>
      <c r="H2516" s="688"/>
      <c r="I2516" s="402"/>
      <c r="J2516" s="362" t="s">
        <v>6</v>
      </c>
      <c r="K2516" s="691"/>
      <c r="L2516" s="591" t="s">
        <v>62</v>
      </c>
      <c r="M2516" s="607"/>
      <c r="N2516" s="643"/>
      <c r="O2516" s="666"/>
      <c r="P2516" s="464"/>
    </row>
    <row r="2517" spans="1:16" s="616" customFormat="1" ht="14">
      <c r="A2517" s="316" t="s">
        <v>739</v>
      </c>
      <c r="B2517" s="317" t="s">
        <v>1130</v>
      </c>
      <c r="C2517" s="304"/>
      <c r="D2517" s="402"/>
      <c r="E2517" s="402"/>
      <c r="F2517" s="667"/>
      <c r="G2517" s="688"/>
      <c r="H2517" s="688"/>
      <c r="I2517" s="402"/>
      <c r="J2517" s="362" t="s">
        <v>6</v>
      </c>
      <c r="K2517" s="691"/>
      <c r="L2517" s="591" t="s">
        <v>62</v>
      </c>
      <c r="M2517" s="607"/>
      <c r="N2517" s="643"/>
      <c r="O2517" s="666"/>
      <c r="P2517" s="464"/>
    </row>
    <row r="2518" spans="1:16" s="616" customFormat="1" ht="14">
      <c r="A2518" s="319" t="s">
        <v>8</v>
      </c>
      <c r="B2518" s="314" t="s">
        <v>1131</v>
      </c>
      <c r="C2518" s="304" t="s">
        <v>31</v>
      </c>
      <c r="D2518" s="402"/>
      <c r="E2518" s="402"/>
      <c r="F2518" s="667"/>
      <c r="G2518" s="10">
        <f t="shared" ref="G2518:H2520" si="628">D2518*$F2518</f>
        <v>0</v>
      </c>
      <c r="H2518" s="10">
        <f t="shared" si="628"/>
        <v>0</v>
      </c>
      <c r="I2518" s="402"/>
      <c r="J2518" s="362" t="s">
        <v>6</v>
      </c>
      <c r="K2518" s="691" t="s">
        <v>128</v>
      </c>
      <c r="L2518" s="591" t="s">
        <v>62</v>
      </c>
      <c r="M2518" s="607"/>
      <c r="N2518" s="643"/>
      <c r="O2518" s="666"/>
      <c r="P2518" s="464"/>
    </row>
    <row r="2519" spans="1:16" s="616" customFormat="1" ht="14">
      <c r="A2519" s="319" t="s">
        <v>8</v>
      </c>
      <c r="B2519" s="314" t="s">
        <v>1132</v>
      </c>
      <c r="C2519" s="318" t="s">
        <v>15</v>
      </c>
      <c r="D2519" s="402"/>
      <c r="E2519" s="402"/>
      <c r="F2519" s="663"/>
      <c r="G2519" s="10">
        <f t="shared" si="628"/>
        <v>0</v>
      </c>
      <c r="H2519" s="10">
        <f t="shared" si="628"/>
        <v>0</v>
      </c>
      <c r="I2519" s="402"/>
      <c r="J2519" s="362" t="s">
        <v>6</v>
      </c>
      <c r="K2519" s="691" t="s">
        <v>128</v>
      </c>
      <c r="L2519" s="665"/>
      <c r="M2519" s="607"/>
      <c r="N2519" s="643"/>
      <c r="O2519" s="666"/>
      <c r="P2519" s="464"/>
    </row>
    <row r="2520" spans="1:16" s="616" customFormat="1" ht="14">
      <c r="A2520" s="319" t="s">
        <v>8</v>
      </c>
      <c r="B2520" s="314" t="s">
        <v>1133</v>
      </c>
      <c r="C2520" s="318" t="s">
        <v>15</v>
      </c>
      <c r="D2520" s="402"/>
      <c r="E2520" s="402"/>
      <c r="F2520" s="663"/>
      <c r="G2520" s="10">
        <f t="shared" si="628"/>
        <v>0</v>
      </c>
      <c r="H2520" s="10">
        <f t="shared" si="628"/>
        <v>0</v>
      </c>
      <c r="I2520" s="402"/>
      <c r="J2520" s="362" t="s">
        <v>6</v>
      </c>
      <c r="K2520" s="691" t="s">
        <v>128</v>
      </c>
      <c r="L2520" s="665"/>
      <c r="M2520" s="607"/>
      <c r="N2520" s="643"/>
      <c r="O2520" s="666"/>
      <c r="P2520" s="464"/>
    </row>
    <row r="2521" spans="1:16" s="616" customFormat="1" ht="14">
      <c r="A2521" s="316" t="s">
        <v>740</v>
      </c>
      <c r="B2521" s="317" t="s">
        <v>1134</v>
      </c>
      <c r="C2521" s="320"/>
      <c r="D2521" s="402"/>
      <c r="E2521" s="402"/>
      <c r="F2521" s="667"/>
      <c r="G2521" s="688"/>
      <c r="H2521" s="688"/>
      <c r="I2521" s="402"/>
      <c r="J2521" s="362" t="s">
        <v>6</v>
      </c>
      <c r="K2521" s="691"/>
      <c r="L2521" s="591" t="s">
        <v>62</v>
      </c>
      <c r="M2521" s="607"/>
      <c r="N2521" s="643"/>
      <c r="O2521" s="666"/>
      <c r="P2521" s="464"/>
    </row>
    <row r="2522" spans="1:16" s="616" customFormat="1" ht="14">
      <c r="A2522" s="319" t="s">
        <v>8</v>
      </c>
      <c r="B2522" s="314" t="s">
        <v>1375</v>
      </c>
      <c r="C2522" s="320" t="s">
        <v>10</v>
      </c>
      <c r="D2522" s="402"/>
      <c r="E2522" s="402"/>
      <c r="F2522" s="667"/>
      <c r="G2522" s="10">
        <f t="shared" ref="G2522:H2528" si="629">D2522*$F2522</f>
        <v>0</v>
      </c>
      <c r="H2522" s="10">
        <f t="shared" si="629"/>
        <v>0</v>
      </c>
      <c r="I2522" s="402"/>
      <c r="J2522" s="362" t="s">
        <v>6</v>
      </c>
      <c r="K2522" s="691" t="s">
        <v>128</v>
      </c>
      <c r="L2522" s="591" t="s">
        <v>62</v>
      </c>
      <c r="M2522" s="607"/>
      <c r="N2522" s="643"/>
      <c r="O2522" s="666"/>
      <c r="P2522" s="464"/>
    </row>
    <row r="2523" spans="1:16" s="616" customFormat="1" ht="14">
      <c r="A2523" s="319" t="s">
        <v>8</v>
      </c>
      <c r="B2523" s="314" t="s">
        <v>1376</v>
      </c>
      <c r="C2523" s="318" t="s">
        <v>10</v>
      </c>
      <c r="D2523" s="402"/>
      <c r="E2523" s="402"/>
      <c r="F2523" s="663"/>
      <c r="G2523" s="10">
        <f t="shared" si="629"/>
        <v>0</v>
      </c>
      <c r="H2523" s="10">
        <f t="shared" si="629"/>
        <v>0</v>
      </c>
      <c r="I2523" s="402"/>
      <c r="J2523" s="362" t="s">
        <v>6</v>
      </c>
      <c r="K2523" s="691" t="s">
        <v>128</v>
      </c>
      <c r="L2523" s="665"/>
      <c r="M2523" s="607"/>
      <c r="N2523" s="643"/>
      <c r="O2523" s="666"/>
      <c r="P2523" s="464"/>
    </row>
    <row r="2524" spans="1:16" s="616" customFormat="1" ht="14">
      <c r="A2524" s="319" t="s">
        <v>8</v>
      </c>
      <c r="B2524" s="696" t="s">
        <v>1377</v>
      </c>
      <c r="C2524" s="320" t="s">
        <v>10</v>
      </c>
      <c r="D2524" s="402"/>
      <c r="E2524" s="402"/>
      <c r="F2524" s="667"/>
      <c r="G2524" s="10">
        <f t="shared" si="629"/>
        <v>0</v>
      </c>
      <c r="H2524" s="10">
        <f t="shared" si="629"/>
        <v>0</v>
      </c>
      <c r="I2524" s="402"/>
      <c r="J2524" s="362" t="s">
        <v>6</v>
      </c>
      <c r="K2524" s="691" t="s">
        <v>128</v>
      </c>
      <c r="L2524" s="591" t="s">
        <v>62</v>
      </c>
      <c r="M2524" s="607"/>
      <c r="N2524" s="643"/>
      <c r="O2524" s="666"/>
      <c r="P2524" s="464"/>
    </row>
    <row r="2525" spans="1:16" s="616" customFormat="1" ht="14">
      <c r="A2525" s="319" t="s">
        <v>8</v>
      </c>
      <c r="B2525" s="696" t="s">
        <v>1378</v>
      </c>
      <c r="C2525" s="318" t="s">
        <v>10</v>
      </c>
      <c r="D2525" s="402"/>
      <c r="E2525" s="402"/>
      <c r="F2525" s="663"/>
      <c r="G2525" s="10">
        <f t="shared" si="629"/>
        <v>0</v>
      </c>
      <c r="H2525" s="10">
        <f t="shared" si="629"/>
        <v>0</v>
      </c>
      <c r="I2525" s="402"/>
      <c r="J2525" s="362" t="s">
        <v>6</v>
      </c>
      <c r="K2525" s="691" t="s">
        <v>128</v>
      </c>
      <c r="L2525" s="665"/>
      <c r="M2525" s="607"/>
      <c r="N2525" s="643"/>
      <c r="O2525" s="666"/>
      <c r="P2525" s="464"/>
    </row>
    <row r="2526" spans="1:16" s="616" customFormat="1" ht="14">
      <c r="A2526" s="319" t="s">
        <v>8</v>
      </c>
      <c r="B2526" s="696" t="s">
        <v>1379</v>
      </c>
      <c r="C2526" s="318" t="s">
        <v>10</v>
      </c>
      <c r="D2526" s="402"/>
      <c r="E2526" s="402"/>
      <c r="F2526" s="663"/>
      <c r="G2526" s="10">
        <f t="shared" si="629"/>
        <v>0</v>
      </c>
      <c r="H2526" s="10">
        <f t="shared" si="629"/>
        <v>0</v>
      </c>
      <c r="I2526" s="402"/>
      <c r="J2526" s="362" t="s">
        <v>6</v>
      </c>
      <c r="K2526" s="691" t="s">
        <v>128</v>
      </c>
      <c r="L2526" s="665"/>
      <c r="M2526" s="607"/>
      <c r="N2526" s="643"/>
      <c r="O2526" s="666"/>
      <c r="P2526" s="464"/>
    </row>
    <row r="2527" spans="1:16" s="616" customFormat="1" ht="14">
      <c r="A2527" s="319" t="s">
        <v>8</v>
      </c>
      <c r="B2527" s="696" t="s">
        <v>1380</v>
      </c>
      <c r="C2527" s="320" t="s">
        <v>10</v>
      </c>
      <c r="D2527" s="402"/>
      <c r="E2527" s="402"/>
      <c r="F2527" s="667"/>
      <c r="G2527" s="10">
        <f t="shared" si="629"/>
        <v>0</v>
      </c>
      <c r="H2527" s="10">
        <f t="shared" si="629"/>
        <v>0</v>
      </c>
      <c r="I2527" s="402"/>
      <c r="J2527" s="362" t="s">
        <v>6</v>
      </c>
      <c r="K2527" s="691" t="s">
        <v>128</v>
      </c>
      <c r="L2527" s="591" t="s">
        <v>62</v>
      </c>
      <c r="M2527" s="607"/>
      <c r="N2527" s="643"/>
      <c r="O2527" s="666"/>
      <c r="P2527" s="464"/>
    </row>
    <row r="2528" spans="1:16" s="616" customFormat="1" ht="14">
      <c r="A2528" s="319" t="s">
        <v>8</v>
      </c>
      <c r="B2528" s="696" t="s">
        <v>1381</v>
      </c>
      <c r="C2528" s="320" t="s">
        <v>10</v>
      </c>
      <c r="D2528" s="402"/>
      <c r="E2528" s="402"/>
      <c r="F2528" s="667"/>
      <c r="G2528" s="10">
        <f t="shared" si="629"/>
        <v>0</v>
      </c>
      <c r="H2528" s="10">
        <f t="shared" si="629"/>
        <v>0</v>
      </c>
      <c r="I2528" s="402"/>
      <c r="J2528" s="362" t="s">
        <v>6</v>
      </c>
      <c r="K2528" s="691" t="s">
        <v>128</v>
      </c>
      <c r="L2528" s="591" t="s">
        <v>62</v>
      </c>
      <c r="M2528" s="607"/>
      <c r="N2528" s="643"/>
      <c r="O2528" s="666"/>
      <c r="P2528" s="464"/>
    </row>
    <row r="2529" spans="1:16" s="616" customFormat="1" ht="14">
      <c r="A2529" s="316" t="s">
        <v>741</v>
      </c>
      <c r="B2529" s="317" t="s">
        <v>1135</v>
      </c>
      <c r="C2529" s="320"/>
      <c r="D2529" s="402"/>
      <c r="E2529" s="402"/>
      <c r="F2529" s="668"/>
      <c r="G2529" s="688"/>
      <c r="H2529" s="688"/>
      <c r="I2529" s="402"/>
      <c r="J2529" s="362" t="s">
        <v>6</v>
      </c>
      <c r="K2529" s="691"/>
      <c r="L2529" s="591" t="s">
        <v>62</v>
      </c>
      <c r="M2529" s="607"/>
      <c r="N2529" s="643"/>
      <c r="O2529" s="666"/>
      <c r="P2529" s="464"/>
    </row>
    <row r="2530" spans="1:16" s="616" customFormat="1" ht="14">
      <c r="A2530" s="319" t="s">
        <v>8</v>
      </c>
      <c r="B2530" s="314" t="s">
        <v>1136</v>
      </c>
      <c r="C2530" s="318" t="s">
        <v>15</v>
      </c>
      <c r="D2530" s="402"/>
      <c r="E2530" s="402"/>
      <c r="F2530" s="663"/>
      <c r="G2530" s="10">
        <f t="shared" ref="G2530:H2533" si="630">D2530*$F2530</f>
        <v>0</v>
      </c>
      <c r="H2530" s="10">
        <f t="shared" si="630"/>
        <v>0</v>
      </c>
      <c r="I2530" s="402"/>
      <c r="J2530" s="362" t="s">
        <v>6</v>
      </c>
      <c r="K2530" s="691" t="s">
        <v>128</v>
      </c>
      <c r="L2530" s="665"/>
      <c r="M2530" s="607"/>
      <c r="N2530" s="643"/>
      <c r="O2530" s="666"/>
      <c r="P2530" s="464"/>
    </row>
    <row r="2531" spans="1:16" s="616" customFormat="1" ht="14">
      <c r="A2531" s="319" t="s">
        <v>8</v>
      </c>
      <c r="B2531" s="314" t="s">
        <v>1137</v>
      </c>
      <c r="C2531" s="320" t="s">
        <v>15</v>
      </c>
      <c r="D2531" s="402"/>
      <c r="E2531" s="402"/>
      <c r="F2531" s="663"/>
      <c r="G2531" s="10">
        <f t="shared" si="630"/>
        <v>0</v>
      </c>
      <c r="H2531" s="10">
        <f t="shared" si="630"/>
        <v>0</v>
      </c>
      <c r="I2531" s="402"/>
      <c r="J2531" s="362" t="s">
        <v>6</v>
      </c>
      <c r="K2531" s="691" t="s">
        <v>128</v>
      </c>
      <c r="L2531" s="591" t="s">
        <v>62</v>
      </c>
      <c r="M2531" s="607"/>
      <c r="N2531" s="643"/>
      <c r="O2531" s="666"/>
      <c r="P2531" s="464"/>
    </row>
    <row r="2532" spans="1:16" s="616" customFormat="1" ht="14">
      <c r="A2532" s="302" t="s">
        <v>8</v>
      </c>
      <c r="B2532" s="303" t="s">
        <v>1138</v>
      </c>
      <c r="C2532" s="320" t="s">
        <v>15</v>
      </c>
      <c r="D2532" s="402"/>
      <c r="E2532" s="402"/>
      <c r="F2532" s="663"/>
      <c r="G2532" s="10">
        <f t="shared" si="630"/>
        <v>0</v>
      </c>
      <c r="H2532" s="10">
        <f t="shared" si="630"/>
        <v>0</v>
      </c>
      <c r="I2532" s="402"/>
      <c r="J2532" s="362" t="s">
        <v>6</v>
      </c>
      <c r="K2532" s="691" t="s">
        <v>128</v>
      </c>
      <c r="L2532" s="591" t="s">
        <v>62</v>
      </c>
      <c r="M2532" s="607"/>
      <c r="N2532" s="643"/>
      <c r="O2532" s="666"/>
      <c r="P2532" s="464"/>
    </row>
    <row r="2533" spans="1:16" s="616" customFormat="1" ht="14">
      <c r="A2533" s="302" t="s">
        <v>8</v>
      </c>
      <c r="B2533" s="303" t="s">
        <v>1139</v>
      </c>
      <c r="C2533" s="320" t="s">
        <v>15</v>
      </c>
      <c r="D2533" s="402"/>
      <c r="E2533" s="402"/>
      <c r="F2533" s="663"/>
      <c r="G2533" s="10">
        <f t="shared" si="630"/>
        <v>0</v>
      </c>
      <c r="H2533" s="10">
        <f t="shared" si="630"/>
        <v>0</v>
      </c>
      <c r="I2533" s="402"/>
      <c r="J2533" s="362" t="s">
        <v>6</v>
      </c>
      <c r="K2533" s="691" t="s">
        <v>128</v>
      </c>
      <c r="L2533" s="591" t="s">
        <v>62</v>
      </c>
      <c r="M2533" s="607"/>
      <c r="N2533" s="643"/>
      <c r="O2533" s="666"/>
      <c r="P2533" s="464"/>
    </row>
    <row r="2534" spans="1:16" s="616" customFormat="1" ht="14">
      <c r="A2534" s="321" t="s">
        <v>692</v>
      </c>
      <c r="B2534" s="322" t="s">
        <v>1145</v>
      </c>
      <c r="C2534" s="320"/>
      <c r="D2534" s="402"/>
      <c r="E2534" s="402"/>
      <c r="F2534" s="663"/>
      <c r="G2534" s="324"/>
      <c r="H2534" s="324"/>
      <c r="I2534" s="402"/>
      <c r="J2534" s="362" t="s">
        <v>6</v>
      </c>
      <c r="K2534" s="692"/>
      <c r="L2534" s="591" t="s">
        <v>62</v>
      </c>
      <c r="M2534" s="607"/>
      <c r="N2534" s="643"/>
      <c r="O2534" s="666"/>
      <c r="P2534" s="464"/>
    </row>
    <row r="2535" spans="1:16" s="616" customFormat="1" ht="14">
      <c r="A2535" s="316" t="s">
        <v>134</v>
      </c>
      <c r="B2535" s="317" t="s">
        <v>1146</v>
      </c>
      <c r="C2535" s="318"/>
      <c r="D2535" s="402"/>
      <c r="E2535" s="402"/>
      <c r="F2535" s="663"/>
      <c r="G2535" s="688"/>
      <c r="H2535" s="688"/>
      <c r="I2535" s="402"/>
      <c r="J2535" s="362" t="s">
        <v>6</v>
      </c>
      <c r="K2535" s="691"/>
      <c r="L2535" s="665"/>
      <c r="M2535" s="607"/>
      <c r="N2535" s="643"/>
      <c r="O2535" s="666"/>
      <c r="P2535" s="464"/>
    </row>
    <row r="2536" spans="1:16" s="616" customFormat="1" ht="14">
      <c r="A2536" s="319" t="s">
        <v>8</v>
      </c>
      <c r="B2536" s="314" t="s">
        <v>1147</v>
      </c>
      <c r="C2536" s="320" t="s">
        <v>24</v>
      </c>
      <c r="D2536" s="402"/>
      <c r="E2536" s="402"/>
      <c r="F2536" s="667"/>
      <c r="G2536" s="3">
        <f t="shared" ref="G2536:H2538" si="631">D2536*$F2536</f>
        <v>0</v>
      </c>
      <c r="H2536" s="3">
        <f t="shared" si="631"/>
        <v>0</v>
      </c>
      <c r="I2536" s="402"/>
      <c r="J2536" s="362" t="s">
        <v>6</v>
      </c>
      <c r="K2536" s="691" t="s">
        <v>128</v>
      </c>
      <c r="L2536" s="591" t="s">
        <v>62</v>
      </c>
      <c r="M2536" s="607"/>
      <c r="N2536" s="643"/>
      <c r="O2536" s="666"/>
      <c r="P2536" s="464"/>
    </row>
    <row r="2537" spans="1:16" s="616" customFormat="1" ht="14">
      <c r="A2537" s="319" t="s">
        <v>8</v>
      </c>
      <c r="B2537" s="314" t="s">
        <v>1132</v>
      </c>
      <c r="C2537" s="320" t="s">
        <v>15</v>
      </c>
      <c r="D2537" s="402"/>
      <c r="E2537" s="402"/>
      <c r="F2537" s="667"/>
      <c r="G2537" s="3">
        <f t="shared" si="631"/>
        <v>0</v>
      </c>
      <c r="H2537" s="3">
        <f t="shared" si="631"/>
        <v>0</v>
      </c>
      <c r="I2537" s="402"/>
      <c r="J2537" s="362" t="s">
        <v>6</v>
      </c>
      <c r="K2537" s="691" t="s">
        <v>128</v>
      </c>
      <c r="L2537" s="591" t="s">
        <v>62</v>
      </c>
      <c r="M2537" s="607"/>
      <c r="N2537" s="643"/>
      <c r="O2537" s="666"/>
      <c r="P2537" s="464"/>
    </row>
    <row r="2538" spans="1:16" s="616" customFormat="1" ht="14">
      <c r="A2538" s="319" t="s">
        <v>8</v>
      </c>
      <c r="B2538" s="314" t="s">
        <v>1148</v>
      </c>
      <c r="C2538" s="304" t="s">
        <v>15</v>
      </c>
      <c r="D2538" s="402"/>
      <c r="E2538" s="402"/>
      <c r="F2538" s="667"/>
      <c r="G2538" s="3">
        <f t="shared" si="631"/>
        <v>0</v>
      </c>
      <c r="H2538" s="3">
        <f t="shared" si="631"/>
        <v>0</v>
      </c>
      <c r="I2538" s="402"/>
      <c r="J2538" s="362" t="s">
        <v>6</v>
      </c>
      <c r="K2538" s="691" t="s">
        <v>128</v>
      </c>
      <c r="L2538" s="591" t="s">
        <v>62</v>
      </c>
      <c r="M2538" s="607"/>
      <c r="N2538" s="643"/>
      <c r="O2538" s="666"/>
      <c r="P2538" s="464"/>
    </row>
    <row r="2539" spans="1:16" s="616" customFormat="1" ht="14">
      <c r="A2539" s="316" t="s">
        <v>135</v>
      </c>
      <c r="B2539" s="317" t="s">
        <v>1125</v>
      </c>
      <c r="C2539" s="304"/>
      <c r="D2539" s="402"/>
      <c r="E2539" s="402"/>
      <c r="F2539" s="667"/>
      <c r="G2539" s="688"/>
      <c r="H2539" s="688"/>
      <c r="I2539" s="402"/>
      <c r="J2539" s="362" t="s">
        <v>6</v>
      </c>
      <c r="K2539" s="691"/>
      <c r="L2539" s="591" t="s">
        <v>62</v>
      </c>
      <c r="M2539" s="607"/>
      <c r="N2539" s="643"/>
      <c r="O2539" s="666"/>
      <c r="P2539" s="464"/>
    </row>
    <row r="2540" spans="1:16" s="616" customFormat="1" ht="14">
      <c r="A2540" s="319" t="s">
        <v>8</v>
      </c>
      <c r="B2540" s="314" t="s">
        <v>1126</v>
      </c>
      <c r="C2540" s="324" t="s">
        <v>15</v>
      </c>
      <c r="D2540" s="324"/>
      <c r="E2540" s="324"/>
      <c r="F2540" s="324"/>
      <c r="G2540" s="3">
        <f t="shared" ref="G2540:H2541" si="632">D2540*$F2540</f>
        <v>0</v>
      </c>
      <c r="H2540" s="3">
        <f t="shared" si="632"/>
        <v>0</v>
      </c>
      <c r="I2540" s="324"/>
      <c r="J2540" s="362" t="s">
        <v>6</v>
      </c>
      <c r="K2540" s="691" t="s">
        <v>128</v>
      </c>
      <c r="L2540" s="324"/>
      <c r="M2540" s="324"/>
      <c r="N2540" s="643"/>
      <c r="O2540" s="666"/>
      <c r="P2540" s="464"/>
    </row>
    <row r="2541" spans="1:16" s="616" customFormat="1" ht="14">
      <c r="A2541" s="319" t="s">
        <v>8</v>
      </c>
      <c r="B2541" s="314" t="s">
        <v>1149</v>
      </c>
      <c r="C2541" s="318" t="s">
        <v>15</v>
      </c>
      <c r="D2541" s="127"/>
      <c r="E2541" s="402"/>
      <c r="F2541" s="663"/>
      <c r="G2541" s="3">
        <f t="shared" si="632"/>
        <v>0</v>
      </c>
      <c r="H2541" s="3">
        <f t="shared" si="632"/>
        <v>0</v>
      </c>
      <c r="I2541" s="402"/>
      <c r="J2541" s="362" t="s">
        <v>6</v>
      </c>
      <c r="K2541" s="691" t="s">
        <v>128</v>
      </c>
      <c r="L2541" s="665"/>
      <c r="M2541" s="607"/>
      <c r="N2541" s="643"/>
      <c r="O2541" s="666"/>
      <c r="P2541" s="464"/>
    </row>
    <row r="2542" spans="1:16" s="616" customFormat="1" ht="14">
      <c r="A2542" s="316" t="s">
        <v>747</v>
      </c>
      <c r="B2542" s="317" t="s">
        <v>1141</v>
      </c>
      <c r="C2542" s="320"/>
      <c r="D2542" s="127"/>
      <c r="E2542" s="402"/>
      <c r="F2542" s="667"/>
      <c r="G2542" s="688"/>
      <c r="H2542" s="688"/>
      <c r="I2542" s="402"/>
      <c r="J2542" s="362" t="s">
        <v>6</v>
      </c>
      <c r="K2542" s="691"/>
      <c r="L2542" s="591" t="s">
        <v>62</v>
      </c>
      <c r="M2542" s="607"/>
      <c r="N2542" s="643"/>
      <c r="O2542" s="666"/>
      <c r="P2542" s="464"/>
    </row>
    <row r="2543" spans="1:16" s="616" customFormat="1" ht="14">
      <c r="A2543" s="319" t="s">
        <v>8</v>
      </c>
      <c r="B2543" s="314" t="s">
        <v>1123</v>
      </c>
      <c r="C2543" s="320" t="s">
        <v>150</v>
      </c>
      <c r="D2543" s="127"/>
      <c r="E2543" s="402"/>
      <c r="F2543" s="667"/>
      <c r="G2543" s="3">
        <f t="shared" ref="G2543:H2543" si="633">D2543*$F2543</f>
        <v>0</v>
      </c>
      <c r="H2543" s="3">
        <f t="shared" si="633"/>
        <v>0</v>
      </c>
      <c r="I2543" s="402"/>
      <c r="J2543" s="362" t="s">
        <v>6</v>
      </c>
      <c r="K2543" s="691" t="s">
        <v>128</v>
      </c>
      <c r="L2543" s="591" t="s">
        <v>62</v>
      </c>
      <c r="M2543" s="607"/>
      <c r="N2543" s="643"/>
      <c r="O2543" s="666"/>
      <c r="P2543" s="464"/>
    </row>
    <row r="2544" spans="1:16" s="616" customFormat="1" ht="14">
      <c r="A2544" s="316" t="s">
        <v>750</v>
      </c>
      <c r="B2544" s="317" t="s">
        <v>1127</v>
      </c>
      <c r="C2544" s="320"/>
      <c r="D2544" s="127"/>
      <c r="E2544" s="402"/>
      <c r="F2544" s="668"/>
      <c r="G2544" s="688"/>
      <c r="H2544" s="688"/>
      <c r="I2544" s="402"/>
      <c r="J2544" s="362" t="s">
        <v>6</v>
      </c>
      <c r="K2544" s="691"/>
      <c r="L2544" s="591" t="s">
        <v>62</v>
      </c>
      <c r="M2544" s="607"/>
      <c r="N2544" s="643"/>
      <c r="O2544" s="666"/>
      <c r="P2544" s="464"/>
    </row>
    <row r="2545" spans="1:16" s="616" customFormat="1" ht="14">
      <c r="A2545" s="319" t="s">
        <v>8</v>
      </c>
      <c r="B2545" s="314" t="s">
        <v>1150</v>
      </c>
      <c r="C2545" s="318" t="s">
        <v>24</v>
      </c>
      <c r="D2545" s="127"/>
      <c r="E2545" s="402"/>
      <c r="F2545" s="663"/>
      <c r="G2545" s="3">
        <f t="shared" ref="G2545:H2545" si="634">D2545*$F2545</f>
        <v>0</v>
      </c>
      <c r="H2545" s="3">
        <f t="shared" si="634"/>
        <v>0</v>
      </c>
      <c r="I2545" s="402"/>
      <c r="J2545" s="362" t="s">
        <v>6</v>
      </c>
      <c r="K2545" s="691" t="s">
        <v>128</v>
      </c>
      <c r="L2545" s="665"/>
      <c r="M2545" s="607"/>
      <c r="N2545" s="643"/>
      <c r="O2545" s="666"/>
      <c r="P2545" s="464"/>
    </row>
    <row r="2546" spans="1:16" s="616" customFormat="1" ht="14">
      <c r="A2546" s="316" t="s">
        <v>752</v>
      </c>
      <c r="B2546" s="317" t="s">
        <v>1151</v>
      </c>
      <c r="C2546" s="320"/>
      <c r="D2546" s="127"/>
      <c r="E2546" s="402"/>
      <c r="F2546" s="667"/>
      <c r="G2546" s="688"/>
      <c r="H2546" s="688"/>
      <c r="I2546" s="402"/>
      <c r="J2546" s="362" t="s">
        <v>6</v>
      </c>
      <c r="K2546" s="691"/>
      <c r="L2546" s="591" t="s">
        <v>62</v>
      </c>
      <c r="M2546" s="607"/>
      <c r="N2546" s="643"/>
      <c r="O2546" s="666"/>
      <c r="P2546" s="464"/>
    </row>
    <row r="2547" spans="1:16" s="616" customFormat="1" ht="14">
      <c r="A2547" s="319" t="s">
        <v>8</v>
      </c>
      <c r="B2547" s="314" t="s">
        <v>1152</v>
      </c>
      <c r="C2547" s="320" t="s">
        <v>31</v>
      </c>
      <c r="D2547" s="127"/>
      <c r="E2547" s="402"/>
      <c r="F2547" s="667"/>
      <c r="G2547" s="3">
        <f t="shared" ref="G2547:H2547" si="635">D2547*$F2547</f>
        <v>0</v>
      </c>
      <c r="H2547" s="3">
        <f t="shared" si="635"/>
        <v>0</v>
      </c>
      <c r="I2547" s="402"/>
      <c r="J2547" s="362" t="s">
        <v>6</v>
      </c>
      <c r="K2547" s="691" t="s">
        <v>128</v>
      </c>
      <c r="L2547" s="591" t="s">
        <v>62</v>
      </c>
      <c r="M2547" s="607"/>
      <c r="N2547" s="643"/>
      <c r="O2547" s="666"/>
      <c r="P2547" s="464"/>
    </row>
    <row r="2548" spans="1:16" s="616" customFormat="1" ht="14">
      <c r="A2548" s="316" t="s">
        <v>755</v>
      </c>
      <c r="B2548" s="317" t="s">
        <v>1135</v>
      </c>
      <c r="C2548" s="318"/>
      <c r="D2548" s="127"/>
      <c r="E2548" s="402"/>
      <c r="F2548" s="663"/>
      <c r="G2548" s="688"/>
      <c r="H2548" s="688"/>
      <c r="I2548" s="402"/>
      <c r="J2548" s="362" t="s">
        <v>6</v>
      </c>
      <c r="K2548" s="691"/>
      <c r="L2548" s="665"/>
      <c r="M2548" s="607"/>
      <c r="N2548" s="643"/>
      <c r="O2548" s="666"/>
      <c r="P2548" s="464"/>
    </row>
    <row r="2549" spans="1:16" s="616" customFormat="1" ht="14">
      <c r="A2549" s="319" t="s">
        <v>8</v>
      </c>
      <c r="B2549" s="314" t="s">
        <v>1136</v>
      </c>
      <c r="C2549" s="320" t="s">
        <v>15</v>
      </c>
      <c r="D2549" s="127"/>
      <c r="E2549" s="402"/>
      <c r="F2549" s="667"/>
      <c r="G2549" s="3">
        <f t="shared" ref="G2549:H2554" si="636">D2549*$F2549</f>
        <v>0</v>
      </c>
      <c r="H2549" s="3">
        <f t="shared" si="636"/>
        <v>0</v>
      </c>
      <c r="I2549" s="402"/>
      <c r="J2549" s="362" t="s">
        <v>6</v>
      </c>
      <c r="K2549" s="691" t="s">
        <v>128</v>
      </c>
      <c r="L2549" s="591" t="s">
        <v>62</v>
      </c>
      <c r="M2549" s="607"/>
      <c r="N2549" s="643"/>
      <c r="O2549" s="666"/>
      <c r="P2549" s="464"/>
    </row>
    <row r="2550" spans="1:16" s="616" customFormat="1" ht="14">
      <c r="A2550" s="319" t="s">
        <v>8</v>
      </c>
      <c r="B2550" s="314" t="s">
        <v>1137</v>
      </c>
      <c r="C2550" s="320" t="s">
        <v>15</v>
      </c>
      <c r="D2550" s="127"/>
      <c r="E2550" s="402"/>
      <c r="F2550" s="667"/>
      <c r="G2550" s="3">
        <f t="shared" si="636"/>
        <v>0</v>
      </c>
      <c r="H2550" s="3">
        <f t="shared" si="636"/>
        <v>0</v>
      </c>
      <c r="I2550" s="402"/>
      <c r="J2550" s="362" t="s">
        <v>6</v>
      </c>
      <c r="K2550" s="691" t="s">
        <v>128</v>
      </c>
      <c r="L2550" s="591" t="s">
        <v>62</v>
      </c>
      <c r="M2550" s="607"/>
      <c r="N2550" s="643"/>
      <c r="O2550" s="666"/>
      <c r="P2550" s="464"/>
    </row>
    <row r="2551" spans="1:16" s="616" customFormat="1" ht="14">
      <c r="A2551" s="319" t="s">
        <v>8</v>
      </c>
      <c r="B2551" s="314" t="s">
        <v>1153</v>
      </c>
      <c r="C2551" s="318" t="s">
        <v>15</v>
      </c>
      <c r="D2551" s="127"/>
      <c r="E2551" s="402"/>
      <c r="F2551" s="663"/>
      <c r="G2551" s="3">
        <f t="shared" si="636"/>
        <v>0</v>
      </c>
      <c r="H2551" s="3">
        <f t="shared" si="636"/>
        <v>0</v>
      </c>
      <c r="I2551" s="402"/>
      <c r="J2551" s="362" t="s">
        <v>6</v>
      </c>
      <c r="K2551" s="691" t="s">
        <v>128</v>
      </c>
      <c r="L2551" s="665"/>
      <c r="M2551" s="607"/>
      <c r="N2551" s="643"/>
      <c r="O2551" s="666"/>
      <c r="P2551" s="464"/>
    </row>
    <row r="2552" spans="1:16" s="616" customFormat="1" ht="14">
      <c r="A2552" s="319" t="s">
        <v>8</v>
      </c>
      <c r="B2552" s="314" t="s">
        <v>1154</v>
      </c>
      <c r="C2552" s="320" t="s">
        <v>15</v>
      </c>
      <c r="D2552" s="127"/>
      <c r="E2552" s="402"/>
      <c r="F2552" s="667"/>
      <c r="G2552" s="3">
        <f t="shared" si="636"/>
        <v>0</v>
      </c>
      <c r="H2552" s="3">
        <f t="shared" si="636"/>
        <v>0</v>
      </c>
      <c r="I2552" s="402"/>
      <c r="J2552" s="362" t="s">
        <v>6</v>
      </c>
      <c r="K2552" s="691" t="s">
        <v>128</v>
      </c>
      <c r="L2552" s="591" t="s">
        <v>62</v>
      </c>
      <c r="M2552" s="607"/>
      <c r="N2552" s="643"/>
      <c r="O2552" s="666"/>
      <c r="P2552" s="464"/>
    </row>
    <row r="2553" spans="1:16" s="616" customFormat="1" ht="14">
      <c r="A2553" s="302" t="s">
        <v>8</v>
      </c>
      <c r="B2553" s="303" t="s">
        <v>1138</v>
      </c>
      <c r="C2553" s="318" t="s">
        <v>15</v>
      </c>
      <c r="D2553" s="127"/>
      <c r="E2553" s="402"/>
      <c r="F2553" s="663"/>
      <c r="G2553" s="3">
        <f t="shared" si="636"/>
        <v>0</v>
      </c>
      <c r="H2553" s="3">
        <f t="shared" si="636"/>
        <v>0</v>
      </c>
      <c r="I2553" s="402"/>
      <c r="J2553" s="362" t="s">
        <v>6</v>
      </c>
      <c r="K2553" s="691" t="s">
        <v>128</v>
      </c>
      <c r="L2553" s="665"/>
      <c r="M2553" s="607"/>
      <c r="N2553" s="643"/>
      <c r="O2553" s="666"/>
      <c r="P2553" s="464"/>
    </row>
    <row r="2554" spans="1:16" s="616" customFormat="1" ht="14">
      <c r="A2554" s="302" t="s">
        <v>8</v>
      </c>
      <c r="B2554" s="303" t="s">
        <v>1139</v>
      </c>
      <c r="C2554" s="320" t="s">
        <v>15</v>
      </c>
      <c r="D2554" s="127"/>
      <c r="E2554" s="402"/>
      <c r="F2554" s="667"/>
      <c r="G2554" s="3">
        <f t="shared" si="636"/>
        <v>0</v>
      </c>
      <c r="H2554" s="3">
        <f t="shared" si="636"/>
        <v>0</v>
      </c>
      <c r="I2554" s="402"/>
      <c r="J2554" s="362" t="s">
        <v>6</v>
      </c>
      <c r="K2554" s="691" t="s">
        <v>128</v>
      </c>
      <c r="L2554" s="591" t="s">
        <v>62</v>
      </c>
      <c r="M2554" s="607"/>
      <c r="N2554" s="643"/>
      <c r="O2554" s="666"/>
      <c r="P2554" s="464"/>
    </row>
    <row r="2555" spans="1:16" s="616" customFormat="1" ht="14">
      <c r="A2555" s="299" t="s">
        <v>758</v>
      </c>
      <c r="B2555" s="300" t="s">
        <v>1382</v>
      </c>
      <c r="C2555" s="318"/>
      <c r="D2555" s="127"/>
      <c r="E2555" s="402"/>
      <c r="F2555" s="663"/>
      <c r="G2555" s="3"/>
      <c r="H2555" s="3"/>
      <c r="I2555" s="402"/>
      <c r="J2555" s="362" t="s">
        <v>6</v>
      </c>
      <c r="K2555" s="691"/>
      <c r="L2555" s="665"/>
      <c r="M2555" s="607"/>
      <c r="N2555" s="643"/>
      <c r="O2555" s="666"/>
      <c r="P2555" s="464"/>
    </row>
    <row r="2556" spans="1:16" s="616" customFormat="1" ht="14">
      <c r="A2556" s="302" t="s">
        <v>8</v>
      </c>
      <c r="B2556" s="314" t="s">
        <v>1383</v>
      </c>
      <c r="C2556" s="320" t="s">
        <v>24</v>
      </c>
      <c r="D2556" s="127"/>
      <c r="E2556" s="402"/>
      <c r="F2556" s="667"/>
      <c r="G2556" s="3">
        <f t="shared" ref="G2556:H2557" si="637">D2556*$F2556</f>
        <v>0</v>
      </c>
      <c r="H2556" s="3">
        <f t="shared" si="637"/>
        <v>0</v>
      </c>
      <c r="I2556" s="402"/>
      <c r="J2556" s="362" t="s">
        <v>6</v>
      </c>
      <c r="K2556" s="691" t="s">
        <v>128</v>
      </c>
      <c r="L2556" s="591" t="s">
        <v>62</v>
      </c>
      <c r="M2556" s="607"/>
      <c r="N2556" s="643"/>
      <c r="O2556" s="666"/>
      <c r="P2556" s="464"/>
    </row>
    <row r="2557" spans="1:16" s="616" customFormat="1" ht="14">
      <c r="A2557" s="302" t="s">
        <v>8</v>
      </c>
      <c r="B2557" s="314" t="s">
        <v>1384</v>
      </c>
      <c r="C2557" s="320" t="s">
        <v>24</v>
      </c>
      <c r="D2557" s="127"/>
      <c r="E2557" s="402"/>
      <c r="F2557" s="667"/>
      <c r="G2557" s="3">
        <f t="shared" si="637"/>
        <v>0</v>
      </c>
      <c r="H2557" s="3">
        <f t="shared" si="637"/>
        <v>0</v>
      </c>
      <c r="I2557" s="402"/>
      <c r="J2557" s="362" t="s">
        <v>6</v>
      </c>
      <c r="K2557" s="691" t="s">
        <v>128</v>
      </c>
      <c r="L2557" s="591" t="s">
        <v>62</v>
      </c>
      <c r="M2557" s="607"/>
      <c r="N2557" s="643"/>
      <c r="O2557" s="666"/>
      <c r="P2557" s="464"/>
    </row>
    <row r="2558" spans="1:16" s="616" customFormat="1" ht="14">
      <c r="A2558" s="321" t="s">
        <v>761</v>
      </c>
      <c r="B2558" s="694" t="s">
        <v>1155</v>
      </c>
      <c r="C2558" s="320"/>
      <c r="D2558" s="127"/>
      <c r="E2558" s="402"/>
      <c r="F2558" s="667"/>
      <c r="G2558" s="324"/>
      <c r="H2558" s="324"/>
      <c r="I2558" s="402"/>
      <c r="J2558" s="362" t="s">
        <v>6</v>
      </c>
      <c r="K2558" s="692"/>
      <c r="L2558" s="591" t="s">
        <v>62</v>
      </c>
      <c r="M2558" s="607"/>
      <c r="N2558" s="643"/>
      <c r="O2558" s="666"/>
      <c r="P2558" s="464"/>
    </row>
    <row r="2559" spans="1:16" s="616" customFormat="1" ht="14">
      <c r="A2559" s="302" t="s">
        <v>763</v>
      </c>
      <c r="B2559" s="303" t="s">
        <v>1123</v>
      </c>
      <c r="C2559" s="320" t="s">
        <v>150</v>
      </c>
      <c r="D2559" s="127"/>
      <c r="E2559" s="402"/>
      <c r="F2559" s="667"/>
      <c r="G2559" s="3">
        <f t="shared" ref="G2559:H2559" si="638">D2559*$F2559</f>
        <v>0</v>
      </c>
      <c r="H2559" s="3">
        <f t="shared" si="638"/>
        <v>0</v>
      </c>
      <c r="I2559" s="402"/>
      <c r="J2559" s="362" t="s">
        <v>6</v>
      </c>
      <c r="K2559" s="691" t="s">
        <v>127</v>
      </c>
      <c r="L2559" s="591" t="s">
        <v>62</v>
      </c>
      <c r="M2559" s="607"/>
      <c r="N2559" s="643"/>
      <c r="O2559" s="666"/>
      <c r="P2559" s="464"/>
    </row>
    <row r="2560" spans="1:16" s="616" customFormat="1" ht="14">
      <c r="A2560" s="302" t="s">
        <v>764</v>
      </c>
      <c r="B2560" s="303" t="s">
        <v>1156</v>
      </c>
      <c r="C2560" s="304"/>
      <c r="D2560" s="127"/>
      <c r="E2560" s="402"/>
      <c r="F2560" s="667"/>
      <c r="G2560" s="688"/>
      <c r="H2560" s="688"/>
      <c r="I2560" s="402"/>
      <c r="J2560" s="362" t="s">
        <v>6</v>
      </c>
      <c r="K2560" s="691"/>
      <c r="L2560" s="591" t="s">
        <v>62</v>
      </c>
      <c r="M2560" s="607"/>
      <c r="N2560" s="643"/>
      <c r="O2560" s="666"/>
      <c r="P2560" s="464"/>
    </row>
    <row r="2561" spans="1:16" s="616" customFormat="1" ht="14">
      <c r="A2561" s="319" t="s">
        <v>8</v>
      </c>
      <c r="B2561" s="325" t="s">
        <v>1157</v>
      </c>
      <c r="C2561" s="304" t="s">
        <v>15</v>
      </c>
      <c r="D2561" s="127"/>
      <c r="E2561" s="402"/>
      <c r="F2561" s="667"/>
      <c r="G2561" s="3">
        <f t="shared" ref="G2561:H2566" si="639">D2561*$F2561</f>
        <v>0</v>
      </c>
      <c r="H2561" s="3">
        <f t="shared" si="639"/>
        <v>0</v>
      </c>
      <c r="I2561" s="402"/>
      <c r="J2561" s="362" t="s">
        <v>6</v>
      </c>
      <c r="K2561" s="691" t="s">
        <v>127</v>
      </c>
      <c r="L2561" s="591" t="s">
        <v>62</v>
      </c>
      <c r="M2561" s="607"/>
      <c r="N2561" s="643"/>
      <c r="O2561" s="666"/>
      <c r="P2561" s="464"/>
    </row>
    <row r="2562" spans="1:16" s="616" customFormat="1" ht="14">
      <c r="A2562" s="319" t="s">
        <v>8</v>
      </c>
      <c r="B2562" s="303" t="s">
        <v>1385</v>
      </c>
      <c r="C2562" s="318" t="s">
        <v>15</v>
      </c>
      <c r="D2562" s="127"/>
      <c r="E2562" s="402"/>
      <c r="F2562" s="663"/>
      <c r="G2562" s="3">
        <f t="shared" si="639"/>
        <v>0</v>
      </c>
      <c r="H2562" s="3">
        <f t="shared" si="639"/>
        <v>0</v>
      </c>
      <c r="I2562" s="402"/>
      <c r="J2562" s="362" t="s">
        <v>6</v>
      </c>
      <c r="K2562" s="691" t="s">
        <v>127</v>
      </c>
      <c r="L2562" s="665"/>
      <c r="M2562" s="607"/>
      <c r="N2562" s="643"/>
      <c r="O2562" s="666"/>
      <c r="P2562" s="464"/>
    </row>
    <row r="2563" spans="1:16" s="616" customFormat="1" ht="14">
      <c r="A2563" s="319" t="s">
        <v>8</v>
      </c>
      <c r="B2563" s="303" t="s">
        <v>1386</v>
      </c>
      <c r="C2563" s="320" t="s">
        <v>15</v>
      </c>
      <c r="D2563" s="127"/>
      <c r="E2563" s="402"/>
      <c r="F2563" s="667"/>
      <c r="G2563" s="3">
        <f t="shared" si="639"/>
        <v>0</v>
      </c>
      <c r="H2563" s="3">
        <f t="shared" si="639"/>
        <v>0</v>
      </c>
      <c r="I2563" s="402"/>
      <c r="J2563" s="362" t="s">
        <v>6</v>
      </c>
      <c r="K2563" s="691" t="s">
        <v>127</v>
      </c>
      <c r="L2563" s="591" t="s">
        <v>62</v>
      </c>
      <c r="M2563" s="607"/>
      <c r="N2563" s="643"/>
      <c r="O2563" s="666"/>
      <c r="P2563" s="464"/>
    </row>
    <row r="2564" spans="1:16" s="616" customFormat="1" ht="14">
      <c r="A2564" s="319" t="s">
        <v>8</v>
      </c>
      <c r="B2564" s="303" t="s">
        <v>1387</v>
      </c>
      <c r="C2564" s="324" t="s">
        <v>15</v>
      </c>
      <c r="D2564" s="324"/>
      <c r="E2564" s="324"/>
      <c r="F2564" s="324"/>
      <c r="G2564" s="3">
        <f t="shared" si="639"/>
        <v>0</v>
      </c>
      <c r="H2564" s="3">
        <f t="shared" si="639"/>
        <v>0</v>
      </c>
      <c r="I2564" s="324"/>
      <c r="J2564" s="362" t="s">
        <v>6</v>
      </c>
      <c r="K2564" s="691" t="s">
        <v>127</v>
      </c>
      <c r="L2564" s="324"/>
      <c r="M2564" s="324"/>
      <c r="N2564" s="643"/>
      <c r="O2564" s="666"/>
      <c r="P2564" s="464"/>
    </row>
    <row r="2565" spans="1:16" s="616" customFormat="1" ht="14">
      <c r="A2565" s="319" t="s">
        <v>8</v>
      </c>
      <c r="B2565" s="325" t="s">
        <v>1388</v>
      </c>
      <c r="C2565" s="304" t="s">
        <v>15</v>
      </c>
      <c r="D2565" s="402"/>
      <c r="E2565" s="402"/>
      <c r="F2565" s="667"/>
      <c r="G2565" s="3">
        <f t="shared" si="639"/>
        <v>0</v>
      </c>
      <c r="H2565" s="3">
        <f t="shared" si="639"/>
        <v>0</v>
      </c>
      <c r="I2565" s="402"/>
      <c r="J2565" s="362" t="s">
        <v>6</v>
      </c>
      <c r="K2565" s="691" t="s">
        <v>127</v>
      </c>
      <c r="L2565" s="591" t="s">
        <v>62</v>
      </c>
      <c r="M2565" s="607"/>
      <c r="N2565" s="643"/>
      <c r="O2565" s="666"/>
      <c r="P2565" s="464"/>
    </row>
    <row r="2566" spans="1:16" s="616" customFormat="1" ht="14">
      <c r="A2566" s="319" t="s">
        <v>8</v>
      </c>
      <c r="B2566" s="325" t="s">
        <v>1389</v>
      </c>
      <c r="C2566" s="301" t="s">
        <v>15</v>
      </c>
      <c r="D2566" s="402"/>
      <c r="E2566" s="402"/>
      <c r="F2566" s="663"/>
      <c r="G2566" s="3">
        <f t="shared" si="639"/>
        <v>0</v>
      </c>
      <c r="H2566" s="3">
        <f t="shared" si="639"/>
        <v>0</v>
      </c>
      <c r="I2566" s="402"/>
      <c r="J2566" s="362" t="s">
        <v>6</v>
      </c>
      <c r="K2566" s="691" t="s">
        <v>127</v>
      </c>
      <c r="L2566" s="665"/>
      <c r="M2566" s="607"/>
      <c r="N2566" s="643"/>
      <c r="O2566" s="666"/>
      <c r="P2566" s="464"/>
    </row>
    <row r="2567" spans="1:16" s="616" customFormat="1" ht="14">
      <c r="A2567" s="302" t="s">
        <v>774</v>
      </c>
      <c r="B2567" s="303" t="s">
        <v>1134</v>
      </c>
      <c r="C2567" s="320"/>
      <c r="D2567" s="402"/>
      <c r="E2567" s="402"/>
      <c r="F2567" s="667"/>
      <c r="G2567" s="688"/>
      <c r="H2567" s="688"/>
      <c r="I2567" s="402"/>
      <c r="J2567" s="362" t="s">
        <v>6</v>
      </c>
      <c r="K2567" s="691"/>
      <c r="L2567" s="591" t="s">
        <v>62</v>
      </c>
      <c r="M2567" s="607"/>
      <c r="N2567" s="643"/>
      <c r="O2567" s="666"/>
      <c r="P2567" s="464"/>
    </row>
    <row r="2568" spans="1:16" s="616" customFormat="1" ht="14">
      <c r="A2568" s="319" t="s">
        <v>8</v>
      </c>
      <c r="B2568" s="314" t="s">
        <v>1375</v>
      </c>
      <c r="C2568" s="320" t="s">
        <v>10</v>
      </c>
      <c r="D2568" s="402"/>
      <c r="E2568" s="402"/>
      <c r="F2568" s="667"/>
      <c r="G2568" s="3">
        <f t="shared" ref="G2568:H2572" si="640">D2568*$F2568</f>
        <v>0</v>
      </c>
      <c r="H2568" s="3">
        <f t="shared" si="640"/>
        <v>0</v>
      </c>
      <c r="I2568" s="402"/>
      <c r="J2568" s="362" t="s">
        <v>6</v>
      </c>
      <c r="K2568" s="691" t="s">
        <v>127</v>
      </c>
      <c r="L2568" s="591" t="s">
        <v>62</v>
      </c>
      <c r="M2568" s="607"/>
      <c r="N2568" s="643"/>
      <c r="O2568" s="666"/>
      <c r="P2568" s="464"/>
    </row>
    <row r="2569" spans="1:16" s="616" customFormat="1" ht="14">
      <c r="A2569" s="319" t="s">
        <v>8</v>
      </c>
      <c r="B2569" s="314" t="s">
        <v>1376</v>
      </c>
      <c r="C2569" s="320" t="s">
        <v>10</v>
      </c>
      <c r="D2569" s="402"/>
      <c r="E2569" s="402"/>
      <c r="F2569" s="667"/>
      <c r="G2569" s="3">
        <f t="shared" si="640"/>
        <v>0</v>
      </c>
      <c r="H2569" s="3">
        <f t="shared" si="640"/>
        <v>0</v>
      </c>
      <c r="I2569" s="402"/>
      <c r="J2569" s="362" t="s">
        <v>6</v>
      </c>
      <c r="K2569" s="691" t="s">
        <v>127</v>
      </c>
      <c r="L2569" s="591" t="s">
        <v>62</v>
      </c>
      <c r="M2569" s="607"/>
      <c r="N2569" s="643"/>
      <c r="O2569" s="666"/>
      <c r="P2569" s="464"/>
    </row>
    <row r="2570" spans="1:16" s="616" customFormat="1" ht="14">
      <c r="A2570" s="319"/>
      <c r="B2570" s="696" t="s">
        <v>1377</v>
      </c>
      <c r="C2570" s="320" t="s">
        <v>10</v>
      </c>
      <c r="D2570" s="402"/>
      <c r="E2570" s="402"/>
      <c r="F2570" s="667"/>
      <c r="G2570" s="3">
        <f t="shared" si="640"/>
        <v>0</v>
      </c>
      <c r="H2570" s="3">
        <f t="shared" si="640"/>
        <v>0</v>
      </c>
      <c r="I2570" s="402"/>
      <c r="J2570" s="362" t="s">
        <v>6</v>
      </c>
      <c r="K2570" s="691" t="s">
        <v>127</v>
      </c>
      <c r="L2570" s="591" t="s">
        <v>62</v>
      </c>
      <c r="M2570" s="607"/>
      <c r="N2570" s="643"/>
      <c r="O2570" s="666"/>
      <c r="P2570" s="464"/>
    </row>
    <row r="2571" spans="1:16" s="616" customFormat="1" ht="14">
      <c r="A2571" s="319"/>
      <c r="B2571" s="696" t="s">
        <v>1378</v>
      </c>
      <c r="C2571" s="320" t="s">
        <v>10</v>
      </c>
      <c r="D2571" s="402"/>
      <c r="E2571" s="402"/>
      <c r="F2571" s="667"/>
      <c r="G2571" s="3">
        <f t="shared" si="640"/>
        <v>0</v>
      </c>
      <c r="H2571" s="3">
        <f t="shared" si="640"/>
        <v>0</v>
      </c>
      <c r="I2571" s="402"/>
      <c r="J2571" s="362" t="s">
        <v>6</v>
      </c>
      <c r="K2571" s="691" t="s">
        <v>127</v>
      </c>
      <c r="L2571" s="591" t="s">
        <v>62</v>
      </c>
      <c r="M2571" s="607"/>
      <c r="N2571" s="643"/>
      <c r="O2571" s="666"/>
      <c r="P2571" s="464"/>
    </row>
    <row r="2572" spans="1:16" s="616" customFormat="1" ht="14">
      <c r="A2572" s="319"/>
      <c r="B2572" s="696" t="s">
        <v>1379</v>
      </c>
      <c r="C2572" s="320" t="s">
        <v>10</v>
      </c>
      <c r="D2572" s="402"/>
      <c r="E2572" s="402"/>
      <c r="F2572" s="667"/>
      <c r="G2572" s="3">
        <f t="shared" si="640"/>
        <v>0</v>
      </c>
      <c r="H2572" s="3">
        <f t="shared" si="640"/>
        <v>0</v>
      </c>
      <c r="I2572" s="402"/>
      <c r="J2572" s="362" t="s">
        <v>6</v>
      </c>
      <c r="K2572" s="691" t="s">
        <v>127</v>
      </c>
      <c r="L2572" s="591" t="s">
        <v>62</v>
      </c>
      <c r="M2572" s="607"/>
      <c r="N2572" s="643"/>
      <c r="O2572" s="666"/>
      <c r="P2572" s="464"/>
    </row>
    <row r="2573" spans="1:16" s="616" customFormat="1" ht="14">
      <c r="A2573" s="319" t="s">
        <v>775</v>
      </c>
      <c r="B2573" s="314" t="s">
        <v>1151</v>
      </c>
      <c r="C2573" s="320"/>
      <c r="D2573" s="402"/>
      <c r="E2573" s="402"/>
      <c r="F2573" s="668"/>
      <c r="G2573" s="688"/>
      <c r="H2573" s="688"/>
      <c r="I2573" s="402"/>
      <c r="J2573" s="362" t="s">
        <v>6</v>
      </c>
      <c r="K2573" s="691"/>
      <c r="L2573" s="591" t="s">
        <v>62</v>
      </c>
      <c r="M2573" s="607"/>
      <c r="N2573" s="643"/>
      <c r="O2573" s="666"/>
      <c r="P2573" s="464"/>
    </row>
    <row r="2574" spans="1:16" s="616" customFormat="1" ht="14">
      <c r="A2574" s="319" t="s">
        <v>8</v>
      </c>
      <c r="B2574" s="314" t="s">
        <v>1152</v>
      </c>
      <c r="C2574" s="301" t="s">
        <v>31</v>
      </c>
      <c r="D2574" s="402"/>
      <c r="E2574" s="402"/>
      <c r="F2574" s="663"/>
      <c r="G2574" s="3">
        <f t="shared" ref="G2574:H2574" si="641">D2574*$F2574</f>
        <v>0</v>
      </c>
      <c r="H2574" s="3">
        <f t="shared" si="641"/>
        <v>0</v>
      </c>
      <c r="I2574" s="402"/>
      <c r="J2574" s="362" t="s">
        <v>6</v>
      </c>
      <c r="K2574" s="691" t="s">
        <v>127</v>
      </c>
      <c r="L2574" s="665"/>
      <c r="M2574" s="607"/>
      <c r="N2574" s="643"/>
      <c r="O2574" s="666"/>
      <c r="P2574" s="464"/>
    </row>
    <row r="2575" spans="1:16" s="616" customFormat="1" ht="14">
      <c r="A2575" s="319" t="s">
        <v>776</v>
      </c>
      <c r="B2575" s="314" t="s">
        <v>1127</v>
      </c>
      <c r="C2575" s="320"/>
      <c r="D2575" s="402"/>
      <c r="E2575" s="402"/>
      <c r="F2575" s="663"/>
      <c r="G2575" s="688"/>
      <c r="H2575" s="688"/>
      <c r="I2575" s="402"/>
      <c r="J2575" s="362" t="s">
        <v>6</v>
      </c>
      <c r="K2575" s="691"/>
      <c r="L2575" s="591" t="s">
        <v>62</v>
      </c>
      <c r="M2575" s="607"/>
      <c r="N2575" s="643"/>
      <c r="O2575" s="666"/>
      <c r="P2575" s="464"/>
    </row>
    <row r="2576" spans="1:16" s="616" customFormat="1" ht="14">
      <c r="A2576" s="302" t="s">
        <v>8</v>
      </c>
      <c r="B2576" s="303" t="s">
        <v>1158</v>
      </c>
      <c r="C2576" s="320" t="s">
        <v>24</v>
      </c>
      <c r="D2576" s="402"/>
      <c r="E2576" s="402"/>
      <c r="F2576" s="663"/>
      <c r="G2576" s="3">
        <f t="shared" ref="G2576:H2576" si="642">D2576*$F2576</f>
        <v>0</v>
      </c>
      <c r="H2576" s="3">
        <f t="shared" si="642"/>
        <v>0</v>
      </c>
      <c r="I2576" s="402"/>
      <c r="J2576" s="362" t="s">
        <v>6</v>
      </c>
      <c r="K2576" s="691" t="s">
        <v>127</v>
      </c>
      <c r="L2576" s="591" t="s">
        <v>62</v>
      </c>
      <c r="M2576" s="607"/>
      <c r="N2576" s="643"/>
      <c r="O2576" s="666"/>
      <c r="P2576" s="464"/>
    </row>
    <row r="2577" spans="1:16" s="616" customFormat="1" ht="14">
      <c r="A2577" s="319" t="s">
        <v>778</v>
      </c>
      <c r="B2577" s="314" t="s">
        <v>1125</v>
      </c>
      <c r="C2577" s="318"/>
      <c r="D2577" s="402"/>
      <c r="E2577" s="402"/>
      <c r="F2577" s="663"/>
      <c r="G2577" s="688"/>
      <c r="H2577" s="688"/>
      <c r="I2577" s="402"/>
      <c r="J2577" s="362" t="s">
        <v>6</v>
      </c>
      <c r="K2577" s="691"/>
      <c r="L2577" s="665"/>
      <c r="M2577" s="607"/>
      <c r="N2577" s="643"/>
      <c r="O2577" s="666"/>
      <c r="P2577" s="464"/>
    </row>
    <row r="2578" spans="1:16" s="616" customFormat="1" ht="14">
      <c r="A2578" s="319" t="s">
        <v>8</v>
      </c>
      <c r="B2578" s="314" t="s">
        <v>1126</v>
      </c>
      <c r="C2578" s="320" t="s">
        <v>15</v>
      </c>
      <c r="D2578" s="402"/>
      <c r="E2578" s="402"/>
      <c r="F2578" s="667"/>
      <c r="G2578" s="3">
        <f t="shared" ref="G2578:H2580" si="643">D2578*$F2578</f>
        <v>0</v>
      </c>
      <c r="H2578" s="3">
        <f t="shared" si="643"/>
        <v>0</v>
      </c>
      <c r="I2578" s="402"/>
      <c r="J2578" s="362" t="s">
        <v>6</v>
      </c>
      <c r="K2578" s="691" t="s">
        <v>127</v>
      </c>
      <c r="L2578" s="591" t="s">
        <v>62</v>
      </c>
      <c r="M2578" s="607"/>
      <c r="N2578" s="643"/>
      <c r="O2578" s="666"/>
      <c r="P2578" s="464"/>
    </row>
    <row r="2579" spans="1:16" s="616" customFormat="1" ht="14">
      <c r="A2579" s="302" t="s">
        <v>8</v>
      </c>
      <c r="B2579" s="303" t="s">
        <v>1149</v>
      </c>
      <c r="C2579" s="318" t="s">
        <v>15</v>
      </c>
      <c r="D2579" s="402"/>
      <c r="E2579" s="402"/>
      <c r="F2579" s="663"/>
      <c r="G2579" s="3">
        <f t="shared" si="643"/>
        <v>0</v>
      </c>
      <c r="H2579" s="3">
        <f t="shared" si="643"/>
        <v>0</v>
      </c>
      <c r="I2579" s="402"/>
      <c r="J2579" s="362" t="s">
        <v>6</v>
      </c>
      <c r="K2579" s="691" t="s">
        <v>127</v>
      </c>
      <c r="L2579" s="665"/>
      <c r="M2579" s="607"/>
      <c r="N2579" s="643"/>
      <c r="O2579" s="666"/>
      <c r="P2579" s="464"/>
    </row>
    <row r="2580" spans="1:16" s="616" customFormat="1" ht="14">
      <c r="A2580" s="319" t="s">
        <v>780</v>
      </c>
      <c r="B2580" s="314" t="s">
        <v>1159</v>
      </c>
      <c r="C2580" s="304" t="s">
        <v>15</v>
      </c>
      <c r="D2580" s="402"/>
      <c r="E2580" s="402"/>
      <c r="F2580" s="667"/>
      <c r="G2580" s="3">
        <f t="shared" si="643"/>
        <v>0</v>
      </c>
      <c r="H2580" s="3">
        <f t="shared" si="643"/>
        <v>0</v>
      </c>
      <c r="I2580" s="402"/>
      <c r="J2580" s="362" t="s">
        <v>6</v>
      </c>
      <c r="K2580" s="691" t="s">
        <v>127</v>
      </c>
      <c r="L2580" s="591" t="s">
        <v>62</v>
      </c>
      <c r="M2580" s="607"/>
      <c r="N2580" s="643"/>
      <c r="O2580" s="666"/>
      <c r="P2580" s="464"/>
    </row>
    <row r="2581" spans="1:16" s="616" customFormat="1" ht="14">
      <c r="A2581" s="321" t="s">
        <v>782</v>
      </c>
      <c r="B2581" s="694" t="s">
        <v>1160</v>
      </c>
      <c r="C2581" s="304"/>
      <c r="D2581" s="402"/>
      <c r="E2581" s="402"/>
      <c r="F2581" s="663"/>
      <c r="G2581" s="324"/>
      <c r="H2581" s="324"/>
      <c r="I2581" s="402"/>
      <c r="J2581" s="362" t="s">
        <v>6</v>
      </c>
      <c r="K2581" s="692"/>
      <c r="L2581" s="665"/>
      <c r="M2581" s="607"/>
      <c r="N2581" s="643"/>
      <c r="O2581" s="666"/>
      <c r="P2581" s="464"/>
    </row>
    <row r="2582" spans="1:16" s="616" customFormat="1" ht="14">
      <c r="A2582" s="302" t="s">
        <v>784</v>
      </c>
      <c r="B2582" s="303" t="s">
        <v>1123</v>
      </c>
      <c r="C2582" s="320" t="s">
        <v>150</v>
      </c>
      <c r="D2582" s="402"/>
      <c r="E2582" s="402"/>
      <c r="F2582" s="667"/>
      <c r="G2582" s="10">
        <f t="shared" ref="G2582:H2582" si="644">D2582*$F2582</f>
        <v>0</v>
      </c>
      <c r="H2582" s="10">
        <f t="shared" si="644"/>
        <v>0</v>
      </c>
      <c r="I2582" s="402"/>
      <c r="J2582" s="362" t="s">
        <v>6</v>
      </c>
      <c r="K2582" s="691" t="s">
        <v>128</v>
      </c>
      <c r="L2582" s="591" t="s">
        <v>62</v>
      </c>
      <c r="M2582" s="607"/>
      <c r="N2582" s="643"/>
      <c r="O2582" s="666"/>
      <c r="P2582" s="464"/>
    </row>
    <row r="2583" spans="1:16" s="616" customFormat="1" ht="14">
      <c r="A2583" s="302" t="s">
        <v>785</v>
      </c>
      <c r="B2583" s="303" t="s">
        <v>1156</v>
      </c>
      <c r="C2583" s="304"/>
      <c r="D2583" s="402"/>
      <c r="E2583" s="402"/>
      <c r="F2583" s="667"/>
      <c r="G2583" s="688"/>
      <c r="H2583" s="688"/>
      <c r="I2583" s="402"/>
      <c r="J2583" s="362" t="s">
        <v>6</v>
      </c>
      <c r="K2583" s="691"/>
      <c r="L2583" s="591" t="s">
        <v>62</v>
      </c>
      <c r="M2583" s="607"/>
      <c r="N2583" s="643"/>
      <c r="O2583" s="666"/>
      <c r="P2583" s="464"/>
    </row>
    <row r="2584" spans="1:16" s="616" customFormat="1" ht="14">
      <c r="A2584" s="319" t="s">
        <v>8</v>
      </c>
      <c r="B2584" s="325" t="s">
        <v>1157</v>
      </c>
      <c r="C2584" s="304" t="s">
        <v>15</v>
      </c>
      <c r="D2584" s="402"/>
      <c r="E2584" s="402"/>
      <c r="F2584" s="667"/>
      <c r="G2584" s="10">
        <f t="shared" ref="G2584:H2589" si="645">D2584*$F2584</f>
        <v>0</v>
      </c>
      <c r="H2584" s="10">
        <f t="shared" si="645"/>
        <v>0</v>
      </c>
      <c r="I2584" s="402"/>
      <c r="J2584" s="362" t="s">
        <v>6</v>
      </c>
      <c r="K2584" s="691" t="s">
        <v>128</v>
      </c>
      <c r="L2584" s="591" t="s">
        <v>62</v>
      </c>
      <c r="M2584" s="607"/>
      <c r="N2584" s="643"/>
      <c r="O2584" s="666"/>
      <c r="P2584" s="464"/>
    </row>
    <row r="2585" spans="1:16" s="616" customFormat="1" ht="14">
      <c r="A2585" s="319" t="s">
        <v>8</v>
      </c>
      <c r="B2585" s="303" t="s">
        <v>1385</v>
      </c>
      <c r="C2585" s="320" t="s">
        <v>15</v>
      </c>
      <c r="D2585" s="402"/>
      <c r="E2585" s="402"/>
      <c r="F2585" s="667"/>
      <c r="G2585" s="10">
        <f t="shared" si="645"/>
        <v>0</v>
      </c>
      <c r="H2585" s="10">
        <f t="shared" si="645"/>
        <v>0</v>
      </c>
      <c r="I2585" s="402"/>
      <c r="J2585" s="362" t="s">
        <v>6</v>
      </c>
      <c r="K2585" s="691" t="s">
        <v>128</v>
      </c>
      <c r="L2585" s="591" t="s">
        <v>62</v>
      </c>
      <c r="M2585" s="607"/>
      <c r="N2585" s="643"/>
      <c r="O2585" s="666"/>
      <c r="P2585" s="464"/>
    </row>
    <row r="2586" spans="1:16" s="616" customFormat="1" ht="14">
      <c r="A2586" s="319" t="s">
        <v>8</v>
      </c>
      <c r="B2586" s="303" t="s">
        <v>1390</v>
      </c>
      <c r="C2586" s="324" t="s">
        <v>15</v>
      </c>
      <c r="D2586" s="324"/>
      <c r="E2586" s="324"/>
      <c r="F2586" s="324"/>
      <c r="G2586" s="10">
        <f t="shared" si="645"/>
        <v>0</v>
      </c>
      <c r="H2586" s="10">
        <f t="shared" si="645"/>
        <v>0</v>
      </c>
      <c r="I2586" s="324"/>
      <c r="J2586" s="362" t="s">
        <v>6</v>
      </c>
      <c r="K2586" s="691" t="s">
        <v>128</v>
      </c>
      <c r="L2586" s="324"/>
      <c r="M2586" s="324"/>
      <c r="N2586" s="643"/>
      <c r="O2586" s="666"/>
      <c r="P2586" s="464"/>
    </row>
    <row r="2587" spans="1:16" s="616" customFormat="1" ht="14">
      <c r="A2587" s="319" t="s">
        <v>8</v>
      </c>
      <c r="B2587" s="303" t="s">
        <v>1387</v>
      </c>
      <c r="C2587" s="304" t="s">
        <v>15</v>
      </c>
      <c r="D2587" s="402"/>
      <c r="E2587" s="402"/>
      <c r="F2587" s="667"/>
      <c r="G2587" s="10">
        <f t="shared" si="645"/>
        <v>0</v>
      </c>
      <c r="H2587" s="10">
        <f t="shared" si="645"/>
        <v>0</v>
      </c>
      <c r="I2587" s="402"/>
      <c r="J2587" s="362" t="s">
        <v>6</v>
      </c>
      <c r="K2587" s="691" t="s">
        <v>128</v>
      </c>
      <c r="L2587" s="591" t="s">
        <v>62</v>
      </c>
      <c r="M2587" s="607"/>
      <c r="N2587" s="643"/>
      <c r="O2587" s="666"/>
      <c r="P2587" s="464"/>
    </row>
    <row r="2588" spans="1:16" s="616" customFormat="1" ht="14">
      <c r="A2588" s="319" t="s">
        <v>8</v>
      </c>
      <c r="B2588" s="325" t="s">
        <v>1388</v>
      </c>
      <c r="C2588" s="301" t="s">
        <v>15</v>
      </c>
      <c r="D2588" s="402"/>
      <c r="E2588" s="402"/>
      <c r="F2588" s="663"/>
      <c r="G2588" s="10">
        <f t="shared" si="645"/>
        <v>0</v>
      </c>
      <c r="H2588" s="10">
        <f t="shared" si="645"/>
        <v>0</v>
      </c>
      <c r="I2588" s="402"/>
      <c r="J2588" s="362" t="s">
        <v>6</v>
      </c>
      <c r="K2588" s="691" t="s">
        <v>128</v>
      </c>
      <c r="L2588" s="665"/>
      <c r="M2588" s="607"/>
      <c r="N2588" s="643"/>
      <c r="O2588" s="666"/>
      <c r="P2588" s="464"/>
    </row>
    <row r="2589" spans="1:16" s="616" customFormat="1" ht="14">
      <c r="A2589" s="319" t="s">
        <v>8</v>
      </c>
      <c r="B2589" s="325" t="s">
        <v>1389</v>
      </c>
      <c r="C2589" s="320" t="s">
        <v>15</v>
      </c>
      <c r="D2589" s="402"/>
      <c r="E2589" s="402"/>
      <c r="F2589" s="667"/>
      <c r="G2589" s="10">
        <f t="shared" si="645"/>
        <v>0</v>
      </c>
      <c r="H2589" s="10">
        <f t="shared" si="645"/>
        <v>0</v>
      </c>
      <c r="I2589" s="402"/>
      <c r="J2589" s="362" t="s">
        <v>6</v>
      </c>
      <c r="K2589" s="691" t="s">
        <v>128</v>
      </c>
      <c r="L2589" s="591" t="s">
        <v>62</v>
      </c>
      <c r="M2589" s="607"/>
      <c r="N2589" s="643"/>
      <c r="O2589" s="666"/>
      <c r="P2589" s="464"/>
    </row>
    <row r="2590" spans="1:16" s="616" customFormat="1" ht="14">
      <c r="A2590" s="302" t="s">
        <v>786</v>
      </c>
      <c r="B2590" s="303" t="s">
        <v>1134</v>
      </c>
      <c r="C2590" s="320"/>
      <c r="D2590" s="402"/>
      <c r="E2590" s="402"/>
      <c r="F2590" s="667"/>
      <c r="G2590" s="688"/>
      <c r="H2590" s="688"/>
      <c r="I2590" s="402"/>
      <c r="J2590" s="362" t="s">
        <v>6</v>
      </c>
      <c r="K2590" s="691"/>
      <c r="L2590" s="591" t="s">
        <v>62</v>
      </c>
      <c r="M2590" s="607"/>
      <c r="N2590" s="643"/>
      <c r="O2590" s="666"/>
      <c r="P2590" s="464"/>
    </row>
    <row r="2591" spans="1:16" s="616" customFormat="1" ht="14">
      <c r="A2591" s="319" t="s">
        <v>8</v>
      </c>
      <c r="B2591" s="314" t="s">
        <v>1375</v>
      </c>
      <c r="C2591" s="320" t="s">
        <v>10</v>
      </c>
      <c r="D2591" s="402"/>
      <c r="E2591" s="402"/>
      <c r="F2591" s="667"/>
      <c r="G2591" s="10">
        <f t="shared" ref="G2591:H2595" si="646">D2591*$F2591</f>
        <v>0</v>
      </c>
      <c r="H2591" s="10">
        <f t="shared" si="646"/>
        <v>0</v>
      </c>
      <c r="I2591" s="402"/>
      <c r="J2591" s="362" t="s">
        <v>6</v>
      </c>
      <c r="K2591" s="691" t="s">
        <v>128</v>
      </c>
      <c r="L2591" s="591" t="s">
        <v>62</v>
      </c>
      <c r="M2591" s="607"/>
      <c r="N2591" s="643"/>
      <c r="O2591" s="666"/>
      <c r="P2591" s="464"/>
    </row>
    <row r="2592" spans="1:16" s="616" customFormat="1" ht="14">
      <c r="A2592" s="319" t="s">
        <v>8</v>
      </c>
      <c r="B2592" s="314" t="s">
        <v>1376</v>
      </c>
      <c r="C2592" s="320" t="s">
        <v>10</v>
      </c>
      <c r="D2592" s="402"/>
      <c r="E2592" s="402"/>
      <c r="F2592" s="667"/>
      <c r="G2592" s="10">
        <f t="shared" si="646"/>
        <v>0</v>
      </c>
      <c r="H2592" s="10">
        <f t="shared" si="646"/>
        <v>0</v>
      </c>
      <c r="I2592" s="402"/>
      <c r="J2592" s="362" t="s">
        <v>6</v>
      </c>
      <c r="K2592" s="691" t="s">
        <v>128</v>
      </c>
      <c r="L2592" s="591" t="s">
        <v>62</v>
      </c>
      <c r="M2592" s="607"/>
      <c r="N2592" s="643"/>
      <c r="O2592" s="666"/>
      <c r="P2592" s="464"/>
    </row>
    <row r="2593" spans="1:16" s="616" customFormat="1" ht="14">
      <c r="A2593" s="319"/>
      <c r="B2593" s="696" t="s">
        <v>1377</v>
      </c>
      <c r="C2593" s="320" t="s">
        <v>10</v>
      </c>
      <c r="D2593" s="402"/>
      <c r="E2593" s="402"/>
      <c r="F2593" s="667"/>
      <c r="G2593" s="10">
        <f t="shared" si="646"/>
        <v>0</v>
      </c>
      <c r="H2593" s="10">
        <f t="shared" si="646"/>
        <v>0</v>
      </c>
      <c r="I2593" s="402"/>
      <c r="J2593" s="362" t="s">
        <v>6</v>
      </c>
      <c r="K2593" s="691" t="s">
        <v>128</v>
      </c>
      <c r="L2593" s="591" t="s">
        <v>62</v>
      </c>
      <c r="M2593" s="607"/>
      <c r="N2593" s="643"/>
      <c r="O2593" s="666"/>
      <c r="P2593" s="464"/>
    </row>
    <row r="2594" spans="1:16" s="616" customFormat="1" ht="14">
      <c r="A2594" s="319"/>
      <c r="B2594" s="696" t="s">
        <v>1378</v>
      </c>
      <c r="C2594" s="320" t="s">
        <v>10</v>
      </c>
      <c r="D2594" s="402"/>
      <c r="E2594" s="402"/>
      <c r="F2594" s="667"/>
      <c r="G2594" s="10">
        <f t="shared" si="646"/>
        <v>0</v>
      </c>
      <c r="H2594" s="10">
        <f t="shared" si="646"/>
        <v>0</v>
      </c>
      <c r="I2594" s="402"/>
      <c r="J2594" s="362" t="s">
        <v>6</v>
      </c>
      <c r="K2594" s="691" t="s">
        <v>128</v>
      </c>
      <c r="L2594" s="591" t="s">
        <v>62</v>
      </c>
      <c r="M2594" s="607"/>
      <c r="N2594" s="643"/>
      <c r="O2594" s="666"/>
      <c r="P2594" s="464"/>
    </row>
    <row r="2595" spans="1:16" s="616" customFormat="1" ht="14">
      <c r="A2595" s="319"/>
      <c r="B2595" s="696" t="s">
        <v>1379</v>
      </c>
      <c r="C2595" s="320" t="s">
        <v>10</v>
      </c>
      <c r="D2595" s="402"/>
      <c r="E2595" s="402"/>
      <c r="F2595" s="668"/>
      <c r="G2595" s="10">
        <f t="shared" si="646"/>
        <v>0</v>
      </c>
      <c r="H2595" s="10">
        <f t="shared" si="646"/>
        <v>0</v>
      </c>
      <c r="I2595" s="402"/>
      <c r="J2595" s="362" t="s">
        <v>6</v>
      </c>
      <c r="K2595" s="691" t="s">
        <v>128</v>
      </c>
      <c r="L2595" s="591" t="s">
        <v>62</v>
      </c>
      <c r="M2595" s="607"/>
      <c r="N2595" s="643"/>
      <c r="O2595" s="666"/>
      <c r="P2595" s="464"/>
    </row>
    <row r="2596" spans="1:16" s="616" customFormat="1" ht="14">
      <c r="A2596" s="319" t="s">
        <v>787</v>
      </c>
      <c r="B2596" s="314" t="s">
        <v>1151</v>
      </c>
      <c r="C2596" s="301"/>
      <c r="D2596" s="402"/>
      <c r="E2596" s="402"/>
      <c r="F2596" s="663"/>
      <c r="G2596" s="688"/>
      <c r="H2596" s="688"/>
      <c r="I2596" s="402"/>
      <c r="J2596" s="362" t="s">
        <v>6</v>
      </c>
      <c r="K2596" s="163"/>
      <c r="L2596" s="665"/>
      <c r="M2596" s="607"/>
      <c r="N2596" s="643"/>
      <c r="O2596" s="666"/>
      <c r="P2596" s="464"/>
    </row>
    <row r="2597" spans="1:16" s="616" customFormat="1" ht="14">
      <c r="A2597" s="319" t="s">
        <v>8</v>
      </c>
      <c r="B2597" s="314" t="s">
        <v>1152</v>
      </c>
      <c r="C2597" s="320" t="s">
        <v>31</v>
      </c>
      <c r="D2597" s="402"/>
      <c r="E2597" s="402"/>
      <c r="F2597" s="663"/>
      <c r="G2597" s="10">
        <f t="shared" ref="G2597:H2597" si="647">D2597*$F2597</f>
        <v>0</v>
      </c>
      <c r="H2597" s="10">
        <f t="shared" si="647"/>
        <v>0</v>
      </c>
      <c r="I2597" s="402"/>
      <c r="J2597" s="362" t="s">
        <v>6</v>
      </c>
      <c r="K2597" s="691" t="s">
        <v>128</v>
      </c>
      <c r="L2597" s="591" t="s">
        <v>62</v>
      </c>
      <c r="M2597" s="607"/>
      <c r="N2597" s="643"/>
      <c r="O2597" s="666"/>
      <c r="P2597" s="464"/>
    </row>
    <row r="2598" spans="1:16" s="616" customFormat="1" ht="14">
      <c r="A2598" s="319" t="s">
        <v>788</v>
      </c>
      <c r="B2598" s="314" t="s">
        <v>1127</v>
      </c>
      <c r="C2598" s="320"/>
      <c r="D2598" s="402"/>
      <c r="E2598" s="402"/>
      <c r="F2598" s="663"/>
      <c r="G2598" s="688"/>
      <c r="H2598" s="688"/>
      <c r="I2598" s="402"/>
      <c r="J2598" s="362" t="s">
        <v>6</v>
      </c>
      <c r="K2598" s="163"/>
      <c r="L2598" s="591" t="s">
        <v>62</v>
      </c>
      <c r="M2598" s="607"/>
      <c r="N2598" s="643"/>
      <c r="O2598" s="666"/>
      <c r="P2598" s="464"/>
    </row>
    <row r="2599" spans="1:16" s="616" customFormat="1" ht="14">
      <c r="A2599" s="302" t="s">
        <v>8</v>
      </c>
      <c r="B2599" s="303" t="s">
        <v>1158</v>
      </c>
      <c r="C2599" s="318" t="s">
        <v>24</v>
      </c>
      <c r="D2599" s="402"/>
      <c r="E2599" s="402"/>
      <c r="F2599" s="663"/>
      <c r="G2599" s="10">
        <f t="shared" ref="G2599:H2599" si="648">D2599*$F2599</f>
        <v>0</v>
      </c>
      <c r="H2599" s="10">
        <f t="shared" si="648"/>
        <v>0</v>
      </c>
      <c r="I2599" s="402"/>
      <c r="J2599" s="362" t="s">
        <v>6</v>
      </c>
      <c r="K2599" s="691" t="s">
        <v>128</v>
      </c>
      <c r="L2599" s="665"/>
      <c r="M2599" s="607"/>
      <c r="N2599" s="643"/>
      <c r="O2599" s="666"/>
      <c r="P2599" s="464"/>
    </row>
    <row r="2600" spans="1:16" s="616" customFormat="1" ht="14">
      <c r="A2600" s="319" t="s">
        <v>789</v>
      </c>
      <c r="B2600" s="314" t="s">
        <v>1125</v>
      </c>
      <c r="C2600" s="320"/>
      <c r="D2600" s="402"/>
      <c r="E2600" s="402"/>
      <c r="F2600" s="667"/>
      <c r="G2600" s="688"/>
      <c r="H2600" s="688"/>
      <c r="I2600" s="402"/>
      <c r="J2600" s="362" t="s">
        <v>6</v>
      </c>
      <c r="K2600" s="163"/>
      <c r="L2600" s="591" t="s">
        <v>62</v>
      </c>
      <c r="M2600" s="607"/>
      <c r="N2600" s="643"/>
      <c r="O2600" s="666"/>
      <c r="P2600" s="464"/>
    </row>
    <row r="2601" spans="1:16" s="616" customFormat="1" ht="14">
      <c r="A2601" s="319" t="s">
        <v>8</v>
      </c>
      <c r="B2601" s="314" t="s">
        <v>1126</v>
      </c>
      <c r="C2601" s="318" t="s">
        <v>15</v>
      </c>
      <c r="D2601" s="402"/>
      <c r="E2601" s="402"/>
      <c r="F2601" s="663"/>
      <c r="G2601" s="10">
        <f t="shared" ref="G2601:H2603" si="649">D2601*$F2601</f>
        <v>0</v>
      </c>
      <c r="H2601" s="10">
        <f t="shared" si="649"/>
        <v>0</v>
      </c>
      <c r="I2601" s="402"/>
      <c r="J2601" s="362" t="s">
        <v>6</v>
      </c>
      <c r="K2601" s="691" t="s">
        <v>128</v>
      </c>
      <c r="L2601" s="665"/>
      <c r="M2601" s="607"/>
      <c r="N2601" s="643"/>
      <c r="O2601" s="666"/>
      <c r="P2601" s="464"/>
    </row>
    <row r="2602" spans="1:16" s="616" customFormat="1" ht="14">
      <c r="A2602" s="302" t="s">
        <v>8</v>
      </c>
      <c r="B2602" s="303" t="s">
        <v>1149</v>
      </c>
      <c r="C2602" s="304" t="s">
        <v>15</v>
      </c>
      <c r="D2602" s="402"/>
      <c r="E2602" s="402"/>
      <c r="F2602" s="667"/>
      <c r="G2602" s="10">
        <f t="shared" si="649"/>
        <v>0</v>
      </c>
      <c r="H2602" s="10">
        <f t="shared" si="649"/>
        <v>0</v>
      </c>
      <c r="I2602" s="402"/>
      <c r="J2602" s="362" t="s">
        <v>6</v>
      </c>
      <c r="K2602" s="691" t="s">
        <v>128</v>
      </c>
      <c r="L2602" s="591" t="s">
        <v>62</v>
      </c>
      <c r="M2602" s="607"/>
      <c r="N2602" s="643"/>
      <c r="O2602" s="666"/>
      <c r="P2602" s="464"/>
    </row>
    <row r="2603" spans="1:16" s="616" customFormat="1" ht="14">
      <c r="A2603" s="319" t="s">
        <v>790</v>
      </c>
      <c r="B2603" s="314" t="s">
        <v>1159</v>
      </c>
      <c r="C2603" s="304" t="s">
        <v>15</v>
      </c>
      <c r="D2603" s="402"/>
      <c r="E2603" s="402"/>
      <c r="F2603" s="663"/>
      <c r="G2603" s="10">
        <f t="shared" si="649"/>
        <v>0</v>
      </c>
      <c r="H2603" s="10">
        <f t="shared" si="649"/>
        <v>0</v>
      </c>
      <c r="I2603" s="402"/>
      <c r="J2603" s="362" t="s">
        <v>6</v>
      </c>
      <c r="K2603" s="691" t="s">
        <v>128</v>
      </c>
      <c r="L2603" s="665"/>
      <c r="M2603" s="607"/>
      <c r="N2603" s="643"/>
      <c r="O2603" s="666"/>
      <c r="P2603" s="464"/>
    </row>
    <row r="2604" spans="1:16" s="616" customFormat="1" ht="14">
      <c r="A2604" s="321" t="s">
        <v>791</v>
      </c>
      <c r="B2604" s="322" t="s">
        <v>1161</v>
      </c>
      <c r="C2604" s="320"/>
      <c r="D2604" s="402"/>
      <c r="E2604" s="402"/>
      <c r="F2604" s="667"/>
      <c r="G2604" s="324"/>
      <c r="H2604" s="324"/>
      <c r="I2604" s="402"/>
      <c r="J2604" s="362" t="s">
        <v>6</v>
      </c>
      <c r="K2604" s="692"/>
      <c r="L2604" s="591" t="s">
        <v>62</v>
      </c>
      <c r="M2604" s="607"/>
      <c r="N2604" s="643"/>
      <c r="O2604" s="666"/>
      <c r="P2604" s="464"/>
    </row>
    <row r="2605" spans="1:16" s="616" customFormat="1" ht="14">
      <c r="A2605" s="316" t="s">
        <v>792</v>
      </c>
      <c r="B2605" s="317" t="s">
        <v>1141</v>
      </c>
      <c r="C2605" s="304"/>
      <c r="D2605" s="402"/>
      <c r="E2605" s="402"/>
      <c r="F2605" s="667"/>
      <c r="G2605" s="688"/>
      <c r="H2605" s="688"/>
      <c r="I2605" s="402"/>
      <c r="J2605" s="362" t="s">
        <v>6</v>
      </c>
      <c r="K2605" s="163"/>
      <c r="L2605" s="591" t="s">
        <v>62</v>
      </c>
      <c r="M2605" s="607"/>
      <c r="N2605" s="643"/>
      <c r="O2605" s="666"/>
      <c r="P2605" s="464"/>
    </row>
    <row r="2606" spans="1:16" s="616" customFormat="1" ht="14">
      <c r="A2606" s="319" t="s">
        <v>8</v>
      </c>
      <c r="B2606" s="314" t="s">
        <v>1123</v>
      </c>
      <c r="C2606" s="304" t="s">
        <v>150</v>
      </c>
      <c r="D2606" s="402"/>
      <c r="E2606" s="402"/>
      <c r="F2606" s="667"/>
      <c r="G2606" s="10">
        <f t="shared" ref="G2606:H2607" si="650">D2606*$F2606</f>
        <v>0</v>
      </c>
      <c r="H2606" s="10">
        <f t="shared" si="650"/>
        <v>0</v>
      </c>
      <c r="I2606" s="402"/>
      <c r="J2606" s="362" t="s">
        <v>6</v>
      </c>
      <c r="K2606" s="163" t="s">
        <v>259</v>
      </c>
      <c r="L2606" s="591" t="s">
        <v>62</v>
      </c>
      <c r="M2606" s="607"/>
      <c r="N2606" s="643"/>
      <c r="O2606" s="666"/>
      <c r="P2606" s="464"/>
    </row>
    <row r="2607" spans="1:16" s="616" customFormat="1" ht="14">
      <c r="A2607" s="319" t="s">
        <v>8</v>
      </c>
      <c r="B2607" s="314" t="s">
        <v>1164</v>
      </c>
      <c r="C2607" s="320" t="s">
        <v>24</v>
      </c>
      <c r="D2607" s="402"/>
      <c r="E2607" s="402"/>
      <c r="F2607" s="667"/>
      <c r="G2607" s="10">
        <f t="shared" si="650"/>
        <v>0</v>
      </c>
      <c r="H2607" s="10">
        <f t="shared" si="650"/>
        <v>0</v>
      </c>
      <c r="I2607" s="402"/>
      <c r="J2607" s="362" t="s">
        <v>6</v>
      </c>
      <c r="K2607" s="163" t="s">
        <v>259</v>
      </c>
      <c r="L2607" s="591" t="s">
        <v>62</v>
      </c>
      <c r="M2607" s="607"/>
      <c r="N2607" s="643"/>
      <c r="O2607" s="666"/>
      <c r="P2607" s="464"/>
    </row>
    <row r="2608" spans="1:16" s="616" customFormat="1" ht="14">
      <c r="A2608" s="316" t="s">
        <v>797</v>
      </c>
      <c r="B2608" s="317" t="s">
        <v>1125</v>
      </c>
      <c r="C2608" s="324"/>
      <c r="D2608" s="324"/>
      <c r="E2608" s="324"/>
      <c r="F2608" s="324"/>
      <c r="G2608" s="688"/>
      <c r="H2608" s="688"/>
      <c r="I2608" s="324"/>
      <c r="J2608" s="362" t="s">
        <v>6</v>
      </c>
      <c r="K2608" s="691"/>
      <c r="L2608" s="324"/>
      <c r="M2608" s="324"/>
      <c r="N2608" s="643"/>
      <c r="O2608" s="666"/>
      <c r="P2608" s="464"/>
    </row>
    <row r="2609" spans="1:16" s="616" customFormat="1" ht="14">
      <c r="A2609" s="319" t="s">
        <v>8</v>
      </c>
      <c r="B2609" s="314" t="s">
        <v>1165</v>
      </c>
      <c r="C2609" s="324" t="s">
        <v>15</v>
      </c>
      <c r="D2609" s="324"/>
      <c r="E2609" s="324"/>
      <c r="F2609" s="324"/>
      <c r="G2609" s="10">
        <f t="shared" ref="G2609:H2611" si="651">D2609*$F2609</f>
        <v>0</v>
      </c>
      <c r="H2609" s="10">
        <f t="shared" si="651"/>
        <v>0</v>
      </c>
      <c r="I2609" s="324"/>
      <c r="J2609" s="362" t="s">
        <v>6</v>
      </c>
      <c r="K2609" s="163" t="s">
        <v>259</v>
      </c>
      <c r="L2609" s="324"/>
      <c r="M2609" s="324"/>
      <c r="N2609" s="643"/>
      <c r="O2609" s="666"/>
      <c r="P2609" s="464"/>
    </row>
    <row r="2610" spans="1:16" s="616" customFormat="1" ht="14">
      <c r="A2610" s="319" t="s">
        <v>8</v>
      </c>
      <c r="B2610" s="314" t="s">
        <v>1126</v>
      </c>
      <c r="C2610" s="318" t="s">
        <v>15</v>
      </c>
      <c r="D2610" s="402"/>
      <c r="E2610" s="402"/>
      <c r="F2610" s="663"/>
      <c r="G2610" s="10">
        <f t="shared" si="651"/>
        <v>0</v>
      </c>
      <c r="H2610" s="10">
        <f t="shared" si="651"/>
        <v>0</v>
      </c>
      <c r="I2610" s="402"/>
      <c r="J2610" s="362" t="s">
        <v>6</v>
      </c>
      <c r="K2610" s="163" t="s">
        <v>259</v>
      </c>
      <c r="L2610" s="665"/>
      <c r="M2610" s="607"/>
      <c r="N2610" s="643"/>
      <c r="O2610" s="666"/>
      <c r="P2610" s="464"/>
    </row>
    <row r="2611" spans="1:16" s="616" customFormat="1" ht="14">
      <c r="A2611" s="319" t="s">
        <v>8</v>
      </c>
      <c r="B2611" s="314" t="s">
        <v>1149</v>
      </c>
      <c r="C2611" s="320" t="s">
        <v>15</v>
      </c>
      <c r="D2611" s="402"/>
      <c r="E2611" s="402"/>
      <c r="F2611" s="667"/>
      <c r="G2611" s="10">
        <f t="shared" si="651"/>
        <v>0</v>
      </c>
      <c r="H2611" s="10">
        <f t="shared" si="651"/>
        <v>0</v>
      </c>
      <c r="I2611" s="402"/>
      <c r="J2611" s="362" t="s">
        <v>6</v>
      </c>
      <c r="K2611" s="163" t="s">
        <v>259</v>
      </c>
      <c r="L2611" s="591" t="s">
        <v>62</v>
      </c>
      <c r="M2611" s="607"/>
      <c r="N2611" s="643"/>
      <c r="O2611" s="666"/>
      <c r="P2611" s="464"/>
    </row>
    <row r="2612" spans="1:16" s="616" customFormat="1" ht="14">
      <c r="A2612" s="316" t="s">
        <v>804</v>
      </c>
      <c r="B2612" s="317" t="s">
        <v>1127</v>
      </c>
      <c r="C2612" s="320"/>
      <c r="D2612" s="402"/>
      <c r="E2612" s="402"/>
      <c r="F2612" s="667"/>
      <c r="G2612" s="688"/>
      <c r="H2612" s="688"/>
      <c r="I2612" s="402"/>
      <c r="J2612" s="362" t="s">
        <v>6</v>
      </c>
      <c r="K2612" s="691"/>
      <c r="L2612" s="591" t="s">
        <v>62</v>
      </c>
      <c r="M2612" s="607"/>
      <c r="N2612" s="643"/>
      <c r="O2612" s="666"/>
      <c r="P2612" s="464"/>
    </row>
    <row r="2613" spans="1:16" s="616" customFormat="1" ht="14">
      <c r="A2613" s="319" t="s">
        <v>8</v>
      </c>
      <c r="B2613" s="314" t="s">
        <v>1166</v>
      </c>
      <c r="C2613" s="318" t="s">
        <v>24</v>
      </c>
      <c r="D2613" s="402"/>
      <c r="E2613" s="402"/>
      <c r="F2613" s="663"/>
      <c r="G2613" s="3">
        <f t="shared" ref="G2613:H2615" si="652">D2613*$F2613</f>
        <v>0</v>
      </c>
      <c r="H2613" s="3">
        <f t="shared" si="652"/>
        <v>0</v>
      </c>
      <c r="I2613" s="402"/>
      <c r="J2613" s="362" t="s">
        <v>6</v>
      </c>
      <c r="K2613" s="163" t="s">
        <v>259</v>
      </c>
      <c r="L2613" s="665"/>
      <c r="M2613" s="607"/>
      <c r="N2613" s="643"/>
      <c r="O2613" s="666"/>
      <c r="P2613" s="464"/>
    </row>
    <row r="2614" spans="1:16" s="616" customFormat="1" ht="14">
      <c r="A2614" s="319" t="s">
        <v>8</v>
      </c>
      <c r="B2614" s="314" t="s">
        <v>1167</v>
      </c>
      <c r="C2614" s="318" t="s">
        <v>24</v>
      </c>
      <c r="D2614" s="402"/>
      <c r="E2614" s="402"/>
      <c r="F2614" s="663"/>
      <c r="G2614" s="10">
        <f t="shared" si="652"/>
        <v>0</v>
      </c>
      <c r="H2614" s="3">
        <f t="shared" si="652"/>
        <v>0</v>
      </c>
      <c r="I2614" s="402"/>
      <c r="J2614" s="362" t="s">
        <v>6</v>
      </c>
      <c r="K2614" s="163" t="s">
        <v>259</v>
      </c>
      <c r="L2614" s="665"/>
      <c r="M2614" s="607"/>
      <c r="N2614" s="643"/>
      <c r="O2614" s="666"/>
      <c r="P2614" s="464"/>
    </row>
    <row r="2615" spans="1:16" s="616" customFormat="1" ht="14">
      <c r="A2615" s="319" t="s">
        <v>8</v>
      </c>
      <c r="B2615" s="314" t="s">
        <v>1168</v>
      </c>
      <c r="C2615" s="320" t="s">
        <v>24</v>
      </c>
      <c r="D2615" s="402"/>
      <c r="E2615" s="402"/>
      <c r="F2615" s="667"/>
      <c r="G2615" s="3">
        <f t="shared" si="652"/>
        <v>0</v>
      </c>
      <c r="H2615" s="3">
        <f t="shared" si="652"/>
        <v>0</v>
      </c>
      <c r="I2615" s="402"/>
      <c r="J2615" s="362" t="s">
        <v>6</v>
      </c>
      <c r="K2615" s="163" t="s">
        <v>259</v>
      </c>
      <c r="L2615" s="591" t="s">
        <v>62</v>
      </c>
      <c r="M2615" s="607"/>
      <c r="N2615" s="643"/>
      <c r="O2615" s="666"/>
      <c r="P2615" s="464"/>
    </row>
    <row r="2616" spans="1:16" s="616" customFormat="1" ht="14">
      <c r="A2616" s="316" t="s">
        <v>808</v>
      </c>
      <c r="B2616" s="317" t="s">
        <v>1129</v>
      </c>
      <c r="C2616" s="320"/>
      <c r="D2616" s="402"/>
      <c r="E2616" s="402"/>
      <c r="F2616" s="667"/>
      <c r="G2616" s="688"/>
      <c r="H2616" s="688"/>
      <c r="I2616" s="402"/>
      <c r="J2616" s="362" t="s">
        <v>6</v>
      </c>
      <c r="K2616" s="691"/>
      <c r="L2616" s="591" t="s">
        <v>62</v>
      </c>
      <c r="M2616" s="607"/>
      <c r="N2616" s="643"/>
      <c r="O2616" s="666"/>
      <c r="P2616" s="464"/>
    </row>
    <row r="2617" spans="1:16" s="616" customFormat="1" ht="14">
      <c r="A2617" s="316" t="s">
        <v>809</v>
      </c>
      <c r="B2617" s="317" t="s">
        <v>1162</v>
      </c>
      <c r="C2617" s="318"/>
      <c r="D2617" s="402"/>
      <c r="E2617" s="402"/>
      <c r="F2617" s="663"/>
      <c r="G2617" s="688"/>
      <c r="H2617" s="688"/>
      <c r="I2617" s="402"/>
      <c r="J2617" s="362" t="s">
        <v>6</v>
      </c>
      <c r="K2617" s="691"/>
      <c r="L2617" s="665"/>
      <c r="M2617" s="607"/>
      <c r="N2617" s="643"/>
      <c r="O2617" s="666"/>
      <c r="P2617" s="464"/>
    </row>
    <row r="2618" spans="1:16" s="616" customFormat="1" ht="14">
      <c r="A2618" s="319" t="s">
        <v>8</v>
      </c>
      <c r="B2618" s="314" t="s">
        <v>1163</v>
      </c>
      <c r="C2618" s="320" t="s">
        <v>24</v>
      </c>
      <c r="D2618" s="402"/>
      <c r="E2618" s="402"/>
      <c r="F2618" s="667"/>
      <c r="G2618" s="3">
        <f t="shared" ref="G2618:H2619" si="653">D2618*$F2618</f>
        <v>0</v>
      </c>
      <c r="H2618" s="3">
        <f t="shared" si="653"/>
        <v>0</v>
      </c>
      <c r="I2618" s="402"/>
      <c r="J2618" s="362" t="s">
        <v>6</v>
      </c>
      <c r="K2618" s="163" t="s">
        <v>259</v>
      </c>
      <c r="L2618" s="591" t="s">
        <v>62</v>
      </c>
      <c r="M2618" s="607"/>
      <c r="N2618" s="643"/>
      <c r="O2618" s="666"/>
      <c r="P2618" s="464"/>
    </row>
    <row r="2619" spans="1:16" s="616" customFormat="1" ht="14">
      <c r="A2619" s="319" t="s">
        <v>8</v>
      </c>
      <c r="B2619" s="314" t="s">
        <v>1132</v>
      </c>
      <c r="C2619" s="320" t="s">
        <v>15</v>
      </c>
      <c r="D2619" s="402"/>
      <c r="E2619" s="402"/>
      <c r="F2619" s="667"/>
      <c r="G2619" s="3">
        <f t="shared" si="653"/>
        <v>0</v>
      </c>
      <c r="H2619" s="3">
        <f t="shared" si="653"/>
        <v>0</v>
      </c>
      <c r="I2619" s="402"/>
      <c r="J2619" s="362" t="s">
        <v>6</v>
      </c>
      <c r="K2619" s="163" t="s">
        <v>259</v>
      </c>
      <c r="L2619" s="591" t="s">
        <v>62</v>
      </c>
      <c r="M2619" s="607"/>
      <c r="N2619" s="643"/>
      <c r="O2619" s="666"/>
      <c r="P2619" s="464"/>
    </row>
    <row r="2620" spans="1:16" s="616" customFormat="1" ht="14">
      <c r="A2620" s="316" t="s">
        <v>810</v>
      </c>
      <c r="B2620" s="317" t="s">
        <v>1146</v>
      </c>
      <c r="C2620" s="320"/>
      <c r="D2620" s="402"/>
      <c r="E2620" s="402"/>
      <c r="F2620" s="668"/>
      <c r="G2620" s="688"/>
      <c r="H2620" s="688"/>
      <c r="I2620" s="402"/>
      <c r="J2620" s="362" t="s">
        <v>6</v>
      </c>
      <c r="K2620" s="691"/>
      <c r="L2620" s="591" t="s">
        <v>62</v>
      </c>
      <c r="M2620" s="607"/>
      <c r="N2620" s="643"/>
      <c r="O2620" s="666"/>
      <c r="P2620" s="464"/>
    </row>
    <row r="2621" spans="1:16" s="616" customFormat="1" ht="14">
      <c r="A2621" s="319" t="s">
        <v>8</v>
      </c>
      <c r="B2621" s="314" t="s">
        <v>1147</v>
      </c>
      <c r="C2621" s="318" t="s">
        <v>24</v>
      </c>
      <c r="D2621" s="402"/>
      <c r="E2621" s="402"/>
      <c r="F2621" s="663"/>
      <c r="G2621" s="3">
        <f t="shared" ref="G2621:H2623" si="654">D2621*$F2621</f>
        <v>0</v>
      </c>
      <c r="H2621" s="3">
        <f t="shared" si="654"/>
        <v>0</v>
      </c>
      <c r="I2621" s="402"/>
      <c r="J2621" s="362" t="s">
        <v>6</v>
      </c>
      <c r="K2621" s="163" t="s">
        <v>259</v>
      </c>
      <c r="L2621" s="665"/>
      <c r="M2621" s="607"/>
      <c r="N2621" s="643"/>
      <c r="O2621" s="666"/>
      <c r="P2621" s="464"/>
    </row>
    <row r="2622" spans="1:16" s="616" customFormat="1" ht="14">
      <c r="A2622" s="319" t="s">
        <v>8</v>
      </c>
      <c r="B2622" s="314" t="s">
        <v>1132</v>
      </c>
      <c r="C2622" s="320" t="s">
        <v>15</v>
      </c>
      <c r="D2622" s="402"/>
      <c r="E2622" s="402"/>
      <c r="F2622" s="667"/>
      <c r="G2622" s="3">
        <f t="shared" si="654"/>
        <v>0</v>
      </c>
      <c r="H2622" s="3">
        <f t="shared" si="654"/>
        <v>0</v>
      </c>
      <c r="I2622" s="402"/>
      <c r="J2622" s="362" t="s">
        <v>6</v>
      </c>
      <c r="K2622" s="163" t="s">
        <v>259</v>
      </c>
      <c r="L2622" s="591" t="s">
        <v>62</v>
      </c>
      <c r="M2622" s="607"/>
      <c r="N2622" s="643"/>
      <c r="O2622" s="666"/>
      <c r="P2622" s="464"/>
    </row>
    <row r="2623" spans="1:16" s="616" customFormat="1" ht="14">
      <c r="A2623" s="319" t="s">
        <v>8</v>
      </c>
      <c r="B2623" s="314" t="s">
        <v>1148</v>
      </c>
      <c r="C2623" s="320" t="s">
        <v>15</v>
      </c>
      <c r="D2623" s="402"/>
      <c r="E2623" s="402"/>
      <c r="F2623" s="667"/>
      <c r="G2623" s="3">
        <f t="shared" si="654"/>
        <v>0</v>
      </c>
      <c r="H2623" s="3">
        <f t="shared" si="654"/>
        <v>0</v>
      </c>
      <c r="I2623" s="402"/>
      <c r="J2623" s="362" t="s">
        <v>6</v>
      </c>
      <c r="K2623" s="163" t="s">
        <v>259</v>
      </c>
      <c r="L2623" s="591" t="s">
        <v>62</v>
      </c>
      <c r="M2623" s="607"/>
      <c r="N2623" s="643"/>
      <c r="O2623" s="666"/>
      <c r="P2623" s="464"/>
    </row>
    <row r="2624" spans="1:16" s="616" customFormat="1" ht="14">
      <c r="A2624" s="316" t="s">
        <v>811</v>
      </c>
      <c r="B2624" s="317" t="s">
        <v>1151</v>
      </c>
      <c r="C2624" s="320"/>
      <c r="D2624" s="402"/>
      <c r="E2624" s="402"/>
      <c r="F2624" s="667"/>
      <c r="G2624" s="688"/>
      <c r="H2624" s="688"/>
      <c r="I2624" s="402"/>
      <c r="J2624" s="362" t="s">
        <v>6</v>
      </c>
      <c r="K2624" s="691"/>
      <c r="L2624" s="591" t="s">
        <v>62</v>
      </c>
      <c r="M2624" s="607"/>
      <c r="N2624" s="643"/>
      <c r="O2624" s="666"/>
      <c r="P2624" s="464"/>
    </row>
    <row r="2625" spans="1:16" s="616" customFormat="1" ht="14">
      <c r="A2625" s="319" t="s">
        <v>8</v>
      </c>
      <c r="B2625" s="314" t="s">
        <v>1169</v>
      </c>
      <c r="C2625" s="318" t="s">
        <v>31</v>
      </c>
      <c r="D2625" s="402"/>
      <c r="E2625" s="402"/>
      <c r="F2625" s="663"/>
      <c r="G2625" s="3">
        <f t="shared" ref="G2625:H2626" si="655">D2625*$F2625</f>
        <v>0</v>
      </c>
      <c r="H2625" s="3">
        <f t="shared" si="655"/>
        <v>0</v>
      </c>
      <c r="I2625" s="402"/>
      <c r="J2625" s="362" t="s">
        <v>6</v>
      </c>
      <c r="K2625" s="163" t="s">
        <v>259</v>
      </c>
      <c r="L2625" s="665"/>
      <c r="M2625" s="607"/>
      <c r="N2625" s="643"/>
      <c r="O2625" s="666"/>
      <c r="P2625" s="464"/>
    </row>
    <row r="2626" spans="1:16" s="616" customFormat="1" ht="14">
      <c r="A2626" s="319" t="s">
        <v>8</v>
      </c>
      <c r="B2626" s="314" t="s">
        <v>1152</v>
      </c>
      <c r="C2626" s="320" t="s">
        <v>31</v>
      </c>
      <c r="D2626" s="402"/>
      <c r="E2626" s="402"/>
      <c r="F2626" s="663"/>
      <c r="G2626" s="3">
        <f t="shared" si="655"/>
        <v>0</v>
      </c>
      <c r="H2626" s="3">
        <f t="shared" si="655"/>
        <v>0</v>
      </c>
      <c r="I2626" s="402"/>
      <c r="J2626" s="362" t="s">
        <v>6</v>
      </c>
      <c r="K2626" s="163" t="s">
        <v>259</v>
      </c>
      <c r="L2626" s="591" t="s">
        <v>62</v>
      </c>
      <c r="M2626" s="607"/>
      <c r="N2626" s="643"/>
      <c r="O2626" s="666"/>
      <c r="P2626" s="464"/>
    </row>
    <row r="2627" spans="1:16" s="616" customFormat="1" ht="14">
      <c r="A2627" s="316" t="s">
        <v>813</v>
      </c>
      <c r="B2627" s="317" t="s">
        <v>1170</v>
      </c>
      <c r="C2627" s="320"/>
      <c r="D2627" s="402"/>
      <c r="E2627" s="402"/>
      <c r="F2627" s="663"/>
      <c r="G2627" s="688"/>
      <c r="H2627" s="688"/>
      <c r="I2627" s="402"/>
      <c r="J2627" s="362" t="s">
        <v>6</v>
      </c>
      <c r="K2627" s="691"/>
      <c r="L2627" s="591" t="s">
        <v>62</v>
      </c>
      <c r="M2627" s="607"/>
      <c r="N2627" s="643"/>
      <c r="O2627" s="666"/>
      <c r="P2627" s="464"/>
    </row>
    <row r="2628" spans="1:16" s="616" customFormat="1" ht="14">
      <c r="A2628" s="316" t="s">
        <v>815</v>
      </c>
      <c r="B2628" s="317" t="s">
        <v>1146</v>
      </c>
      <c r="C2628" s="318"/>
      <c r="D2628" s="402"/>
      <c r="E2628" s="402"/>
      <c r="F2628" s="663"/>
      <c r="G2628" s="688"/>
      <c r="H2628" s="688"/>
      <c r="I2628" s="402"/>
      <c r="J2628" s="362" t="s">
        <v>6</v>
      </c>
      <c r="K2628" s="691"/>
      <c r="L2628" s="665"/>
      <c r="M2628" s="607"/>
      <c r="N2628" s="643"/>
      <c r="O2628" s="666"/>
      <c r="P2628" s="464"/>
    </row>
    <row r="2629" spans="1:16" s="616" customFormat="1" ht="14">
      <c r="A2629" s="319" t="s">
        <v>8</v>
      </c>
      <c r="B2629" s="314" t="s">
        <v>1147</v>
      </c>
      <c r="C2629" s="320" t="s">
        <v>24</v>
      </c>
      <c r="D2629" s="402"/>
      <c r="E2629" s="402"/>
      <c r="F2629" s="667"/>
      <c r="G2629" s="3">
        <f t="shared" ref="G2629:H2631" si="656">D2629*$F2629</f>
        <v>0</v>
      </c>
      <c r="H2629" s="3">
        <f t="shared" si="656"/>
        <v>0</v>
      </c>
      <c r="I2629" s="402"/>
      <c r="J2629" s="362" t="s">
        <v>6</v>
      </c>
      <c r="K2629" s="163" t="s">
        <v>259</v>
      </c>
      <c r="L2629" s="591" t="s">
        <v>62</v>
      </c>
      <c r="M2629" s="607"/>
      <c r="N2629" s="643"/>
      <c r="O2629" s="666"/>
      <c r="P2629" s="464"/>
    </row>
    <row r="2630" spans="1:16" s="616" customFormat="1" ht="14">
      <c r="A2630" s="319" t="s">
        <v>8</v>
      </c>
      <c r="B2630" s="314" t="s">
        <v>1132</v>
      </c>
      <c r="C2630" s="320" t="s">
        <v>15</v>
      </c>
      <c r="D2630" s="402"/>
      <c r="E2630" s="402"/>
      <c r="F2630" s="667"/>
      <c r="G2630" s="3">
        <f t="shared" si="656"/>
        <v>0</v>
      </c>
      <c r="H2630" s="3">
        <f t="shared" si="656"/>
        <v>0</v>
      </c>
      <c r="I2630" s="402"/>
      <c r="J2630" s="362" t="s">
        <v>6</v>
      </c>
      <c r="K2630" s="163" t="s">
        <v>259</v>
      </c>
      <c r="L2630" s="591" t="s">
        <v>62</v>
      </c>
      <c r="M2630" s="607"/>
      <c r="N2630" s="643"/>
      <c r="O2630" s="666"/>
      <c r="P2630" s="464"/>
    </row>
    <row r="2631" spans="1:16" s="616" customFormat="1" ht="14">
      <c r="A2631" s="319" t="s">
        <v>8</v>
      </c>
      <c r="B2631" s="314" t="s">
        <v>1148</v>
      </c>
      <c r="C2631" s="318" t="s">
        <v>15</v>
      </c>
      <c r="D2631" s="402"/>
      <c r="E2631" s="402"/>
      <c r="F2631" s="663"/>
      <c r="G2631" s="3">
        <f t="shared" si="656"/>
        <v>0</v>
      </c>
      <c r="H2631" s="3">
        <f t="shared" si="656"/>
        <v>0</v>
      </c>
      <c r="I2631" s="402"/>
      <c r="J2631" s="362" t="s">
        <v>6</v>
      </c>
      <c r="K2631" s="163" t="s">
        <v>259</v>
      </c>
      <c r="L2631" s="665"/>
      <c r="M2631" s="607"/>
      <c r="N2631" s="643"/>
      <c r="O2631" s="666"/>
      <c r="P2631" s="464"/>
    </row>
    <row r="2632" spans="1:16" s="616" customFormat="1" ht="14">
      <c r="A2632" s="316" t="s">
        <v>816</v>
      </c>
      <c r="B2632" s="317" t="s">
        <v>1171</v>
      </c>
      <c r="C2632" s="320"/>
      <c r="D2632" s="402"/>
      <c r="E2632" s="402"/>
      <c r="F2632" s="667"/>
      <c r="G2632" s="688"/>
      <c r="H2632" s="688"/>
      <c r="I2632" s="402"/>
      <c r="J2632" s="362" t="s">
        <v>6</v>
      </c>
      <c r="K2632" s="691"/>
      <c r="L2632" s="591" t="s">
        <v>62</v>
      </c>
      <c r="M2632" s="607"/>
      <c r="N2632" s="643"/>
      <c r="O2632" s="666"/>
      <c r="P2632" s="464"/>
    </row>
    <row r="2633" spans="1:16" s="616" customFormat="1" ht="14">
      <c r="A2633" s="319" t="s">
        <v>8</v>
      </c>
      <c r="B2633" s="314" t="s">
        <v>1375</v>
      </c>
      <c r="C2633" s="320" t="s">
        <v>10</v>
      </c>
      <c r="D2633" s="402"/>
      <c r="E2633" s="402"/>
      <c r="F2633" s="667"/>
      <c r="G2633" s="3">
        <f t="shared" ref="G2633:H2637" si="657">D2633*$F2633</f>
        <v>0</v>
      </c>
      <c r="H2633" s="3">
        <f t="shared" si="657"/>
        <v>0</v>
      </c>
      <c r="I2633" s="402"/>
      <c r="J2633" s="362" t="s">
        <v>6</v>
      </c>
      <c r="K2633" s="163" t="s">
        <v>259</v>
      </c>
      <c r="L2633" s="591" t="s">
        <v>62</v>
      </c>
      <c r="M2633" s="607"/>
      <c r="N2633" s="643"/>
      <c r="O2633" s="666"/>
      <c r="P2633" s="464"/>
    </row>
    <row r="2634" spans="1:16" s="616" customFormat="1" ht="14">
      <c r="A2634" s="319" t="s">
        <v>8</v>
      </c>
      <c r="B2634" s="314" t="s">
        <v>1376</v>
      </c>
      <c r="C2634" s="320" t="s">
        <v>10</v>
      </c>
      <c r="D2634" s="402"/>
      <c r="E2634" s="402"/>
      <c r="F2634" s="663"/>
      <c r="G2634" s="3">
        <f t="shared" si="657"/>
        <v>0</v>
      </c>
      <c r="H2634" s="3">
        <f t="shared" si="657"/>
        <v>0</v>
      </c>
      <c r="I2634" s="402"/>
      <c r="J2634" s="362" t="s">
        <v>6</v>
      </c>
      <c r="K2634" s="163" t="s">
        <v>259</v>
      </c>
      <c r="L2634" s="665"/>
      <c r="M2634" s="607"/>
      <c r="N2634" s="643"/>
      <c r="O2634" s="666"/>
      <c r="P2634" s="464"/>
    </row>
    <row r="2635" spans="1:16" s="616" customFormat="1" ht="14">
      <c r="A2635" s="319"/>
      <c r="B2635" s="696" t="s">
        <v>1377</v>
      </c>
      <c r="C2635" s="318" t="s">
        <v>10</v>
      </c>
      <c r="D2635" s="402"/>
      <c r="E2635" s="402"/>
      <c r="F2635" s="663"/>
      <c r="G2635" s="3">
        <f t="shared" si="657"/>
        <v>0</v>
      </c>
      <c r="H2635" s="3">
        <f t="shared" si="657"/>
        <v>0</v>
      </c>
      <c r="I2635" s="402"/>
      <c r="J2635" s="362" t="s">
        <v>6</v>
      </c>
      <c r="K2635" s="163" t="s">
        <v>259</v>
      </c>
      <c r="L2635" s="665"/>
      <c r="M2635" s="607"/>
      <c r="N2635" s="643"/>
      <c r="O2635" s="666"/>
      <c r="P2635" s="464"/>
    </row>
    <row r="2636" spans="1:16" s="616" customFormat="1" ht="14">
      <c r="A2636" s="319"/>
      <c r="B2636" s="696" t="s">
        <v>1378</v>
      </c>
      <c r="C2636" s="320" t="s">
        <v>10</v>
      </c>
      <c r="D2636" s="402"/>
      <c r="E2636" s="402"/>
      <c r="F2636" s="667"/>
      <c r="G2636" s="3">
        <f t="shared" si="657"/>
        <v>0</v>
      </c>
      <c r="H2636" s="3">
        <f t="shared" si="657"/>
        <v>0</v>
      </c>
      <c r="I2636" s="402"/>
      <c r="J2636" s="362" t="s">
        <v>6</v>
      </c>
      <c r="K2636" s="163" t="s">
        <v>259</v>
      </c>
      <c r="L2636" s="591" t="s">
        <v>62</v>
      </c>
      <c r="M2636" s="607"/>
      <c r="N2636" s="643"/>
      <c r="O2636" s="666"/>
      <c r="P2636" s="464"/>
    </row>
    <row r="2637" spans="1:16" s="616" customFormat="1" ht="14">
      <c r="A2637" s="319"/>
      <c r="B2637" s="696" t="s">
        <v>1379</v>
      </c>
      <c r="C2637" s="320" t="s">
        <v>10</v>
      </c>
      <c r="D2637" s="402"/>
      <c r="E2637" s="402"/>
      <c r="F2637" s="667"/>
      <c r="G2637" s="3">
        <f t="shared" si="657"/>
        <v>0</v>
      </c>
      <c r="H2637" s="3">
        <f t="shared" si="657"/>
        <v>0</v>
      </c>
      <c r="I2637" s="402"/>
      <c r="J2637" s="362" t="s">
        <v>6</v>
      </c>
      <c r="K2637" s="163" t="s">
        <v>259</v>
      </c>
      <c r="L2637" s="591" t="s">
        <v>62</v>
      </c>
      <c r="M2637" s="607"/>
      <c r="N2637" s="643"/>
      <c r="O2637" s="666"/>
      <c r="P2637" s="464"/>
    </row>
    <row r="2638" spans="1:16" s="616" customFormat="1" ht="14">
      <c r="A2638" s="316" t="s">
        <v>818</v>
      </c>
      <c r="B2638" s="317" t="s">
        <v>1172</v>
      </c>
      <c r="C2638" s="318"/>
      <c r="D2638" s="402"/>
      <c r="E2638" s="402"/>
      <c r="F2638" s="663"/>
      <c r="G2638" s="688"/>
      <c r="H2638" s="688"/>
      <c r="I2638" s="402"/>
      <c r="J2638" s="362" t="s">
        <v>6</v>
      </c>
      <c r="K2638" s="691"/>
      <c r="L2638" s="665"/>
      <c r="M2638" s="607"/>
      <c r="N2638" s="643"/>
      <c r="O2638" s="666"/>
      <c r="P2638" s="464"/>
    </row>
    <row r="2639" spans="1:16" s="616" customFormat="1" ht="14">
      <c r="A2639" s="316" t="s">
        <v>820</v>
      </c>
      <c r="B2639" s="317" t="s">
        <v>1146</v>
      </c>
      <c r="C2639" s="320"/>
      <c r="D2639" s="402"/>
      <c r="E2639" s="402"/>
      <c r="F2639" s="594"/>
      <c r="G2639" s="688"/>
      <c r="H2639" s="688"/>
      <c r="I2639" s="402"/>
      <c r="J2639" s="362" t="s">
        <v>6</v>
      </c>
      <c r="K2639" s="691"/>
      <c r="L2639" s="591" t="s">
        <v>62</v>
      </c>
      <c r="M2639" s="607"/>
      <c r="N2639" s="643"/>
      <c r="O2639" s="666"/>
      <c r="P2639" s="464"/>
    </row>
    <row r="2640" spans="1:16" s="616" customFormat="1" ht="14">
      <c r="A2640" s="319" t="s">
        <v>8</v>
      </c>
      <c r="B2640" s="314" t="s">
        <v>1147</v>
      </c>
      <c r="C2640" s="320" t="s">
        <v>24</v>
      </c>
      <c r="D2640" s="402"/>
      <c r="E2640" s="402"/>
      <c r="F2640" s="663"/>
      <c r="G2640" s="3">
        <f t="shared" ref="G2640:H2642" si="658">D2640*$F2640</f>
        <v>0</v>
      </c>
      <c r="H2640" s="10">
        <f t="shared" si="658"/>
        <v>0</v>
      </c>
      <c r="I2640" s="402"/>
      <c r="J2640" s="362" t="s">
        <v>6</v>
      </c>
      <c r="K2640" s="163" t="s">
        <v>259</v>
      </c>
      <c r="L2640" s="665"/>
      <c r="M2640" s="607"/>
      <c r="N2640" s="643"/>
      <c r="O2640" s="666"/>
      <c r="P2640" s="464"/>
    </row>
    <row r="2641" spans="1:16" s="616" customFormat="1" ht="14">
      <c r="A2641" s="319" t="s">
        <v>8</v>
      </c>
      <c r="B2641" s="314" t="s">
        <v>1132</v>
      </c>
      <c r="C2641" s="320" t="s">
        <v>15</v>
      </c>
      <c r="D2641" s="402"/>
      <c r="E2641" s="402"/>
      <c r="F2641" s="667"/>
      <c r="G2641" s="3">
        <f t="shared" si="658"/>
        <v>0</v>
      </c>
      <c r="H2641" s="10">
        <f t="shared" si="658"/>
        <v>0</v>
      </c>
      <c r="I2641" s="402"/>
      <c r="J2641" s="362" t="s">
        <v>6</v>
      </c>
      <c r="K2641" s="163" t="s">
        <v>259</v>
      </c>
      <c r="L2641" s="591" t="s">
        <v>62</v>
      </c>
      <c r="M2641" s="607"/>
      <c r="N2641" s="643"/>
      <c r="O2641" s="666"/>
      <c r="P2641" s="464"/>
    </row>
    <row r="2642" spans="1:16" s="616" customFormat="1" ht="14">
      <c r="A2642" s="319" t="s">
        <v>8</v>
      </c>
      <c r="B2642" s="314" t="s">
        <v>1148</v>
      </c>
      <c r="C2642" s="320" t="s">
        <v>15</v>
      </c>
      <c r="D2642" s="402"/>
      <c r="E2642" s="402"/>
      <c r="F2642" s="663"/>
      <c r="G2642" s="3">
        <f t="shared" si="658"/>
        <v>0</v>
      </c>
      <c r="H2642" s="10">
        <f t="shared" si="658"/>
        <v>0</v>
      </c>
      <c r="I2642" s="402"/>
      <c r="J2642" s="362" t="s">
        <v>6</v>
      </c>
      <c r="K2642" s="163" t="s">
        <v>259</v>
      </c>
      <c r="L2642" s="665"/>
      <c r="M2642" s="607"/>
      <c r="N2642" s="643"/>
      <c r="O2642" s="666"/>
      <c r="P2642" s="464"/>
    </row>
    <row r="2643" spans="1:16" s="616" customFormat="1" ht="14">
      <c r="A2643" s="316" t="s">
        <v>821</v>
      </c>
      <c r="B2643" s="317" t="s">
        <v>1171</v>
      </c>
      <c r="C2643" s="320"/>
      <c r="D2643" s="402"/>
      <c r="E2643" s="402"/>
      <c r="F2643" s="667"/>
      <c r="G2643" s="688"/>
      <c r="H2643" s="688"/>
      <c r="I2643" s="402"/>
      <c r="J2643" s="362" t="s">
        <v>6</v>
      </c>
      <c r="K2643" s="691"/>
      <c r="L2643" s="591" t="s">
        <v>62</v>
      </c>
      <c r="M2643" s="607"/>
      <c r="N2643" s="643"/>
      <c r="O2643" s="666"/>
      <c r="P2643" s="464"/>
    </row>
    <row r="2644" spans="1:16" s="616" customFormat="1" ht="14">
      <c r="A2644" s="319" t="s">
        <v>8</v>
      </c>
      <c r="B2644" s="695" t="s">
        <v>1375</v>
      </c>
      <c r="C2644" s="320" t="s">
        <v>10</v>
      </c>
      <c r="D2644" s="402"/>
      <c r="E2644" s="402"/>
      <c r="F2644" s="667"/>
      <c r="G2644" s="3">
        <f t="shared" ref="G2644:H2648" si="659">D2644*$F2644</f>
        <v>0</v>
      </c>
      <c r="H2644" s="10">
        <f t="shared" si="659"/>
        <v>0</v>
      </c>
      <c r="I2644" s="402"/>
      <c r="J2644" s="362" t="s">
        <v>6</v>
      </c>
      <c r="K2644" s="163" t="s">
        <v>259</v>
      </c>
      <c r="L2644" s="591" t="s">
        <v>62</v>
      </c>
      <c r="M2644" s="607"/>
      <c r="N2644" s="643"/>
      <c r="O2644" s="666"/>
      <c r="P2644" s="464"/>
    </row>
    <row r="2645" spans="1:16" s="616" customFormat="1" ht="14">
      <c r="A2645" s="319" t="s">
        <v>8</v>
      </c>
      <c r="B2645" s="695" t="s">
        <v>1376</v>
      </c>
      <c r="C2645" s="318" t="s">
        <v>10</v>
      </c>
      <c r="D2645" s="402"/>
      <c r="E2645" s="402"/>
      <c r="F2645" s="663"/>
      <c r="G2645" s="3">
        <f t="shared" si="659"/>
        <v>0</v>
      </c>
      <c r="H2645" s="3">
        <f t="shared" si="659"/>
        <v>0</v>
      </c>
      <c r="I2645" s="402"/>
      <c r="J2645" s="362" t="s">
        <v>6</v>
      </c>
      <c r="K2645" s="163" t="s">
        <v>259</v>
      </c>
      <c r="L2645" s="665"/>
      <c r="M2645" s="607"/>
      <c r="N2645" s="643"/>
      <c r="O2645" s="666"/>
      <c r="P2645" s="464"/>
    </row>
    <row r="2646" spans="1:16" s="616" customFormat="1" ht="14">
      <c r="A2646" s="319" t="s">
        <v>8</v>
      </c>
      <c r="B2646" s="696" t="s">
        <v>1377</v>
      </c>
      <c r="C2646" s="320" t="s">
        <v>10</v>
      </c>
      <c r="D2646" s="402"/>
      <c r="E2646" s="402"/>
      <c r="F2646" s="667"/>
      <c r="G2646" s="3">
        <f t="shared" si="659"/>
        <v>0</v>
      </c>
      <c r="H2646" s="3">
        <f t="shared" si="659"/>
        <v>0</v>
      </c>
      <c r="I2646" s="402"/>
      <c r="J2646" s="362" t="s">
        <v>6</v>
      </c>
      <c r="K2646" s="163" t="s">
        <v>259</v>
      </c>
      <c r="L2646" s="591" t="s">
        <v>62</v>
      </c>
      <c r="M2646" s="607"/>
      <c r="N2646" s="643"/>
      <c r="O2646" s="666"/>
      <c r="P2646" s="464"/>
    </row>
    <row r="2647" spans="1:16" s="616" customFormat="1" ht="14">
      <c r="A2647" s="319" t="s">
        <v>8</v>
      </c>
      <c r="B2647" s="696" t="s">
        <v>1378</v>
      </c>
      <c r="C2647" s="320" t="s">
        <v>10</v>
      </c>
      <c r="D2647" s="402"/>
      <c r="E2647" s="402"/>
      <c r="F2647" s="667"/>
      <c r="G2647" s="3">
        <f t="shared" si="659"/>
        <v>0</v>
      </c>
      <c r="H2647" s="3">
        <f t="shared" si="659"/>
        <v>0</v>
      </c>
      <c r="I2647" s="402"/>
      <c r="J2647" s="362" t="s">
        <v>6</v>
      </c>
      <c r="K2647" s="163" t="s">
        <v>259</v>
      </c>
      <c r="L2647" s="591" t="s">
        <v>62</v>
      </c>
      <c r="M2647" s="607"/>
      <c r="N2647" s="643"/>
      <c r="O2647" s="666"/>
      <c r="P2647" s="464"/>
    </row>
    <row r="2648" spans="1:16" s="616" customFormat="1" ht="14">
      <c r="A2648" s="319" t="s">
        <v>8</v>
      </c>
      <c r="B2648" s="696" t="s">
        <v>1379</v>
      </c>
      <c r="C2648" s="320" t="s">
        <v>10</v>
      </c>
      <c r="D2648" s="402"/>
      <c r="E2648" s="402"/>
      <c r="F2648" s="667"/>
      <c r="G2648" s="3">
        <f t="shared" si="659"/>
        <v>0</v>
      </c>
      <c r="H2648" s="3">
        <f t="shared" si="659"/>
        <v>0</v>
      </c>
      <c r="I2648" s="402"/>
      <c r="J2648" s="362" t="s">
        <v>6</v>
      </c>
      <c r="K2648" s="163" t="s">
        <v>259</v>
      </c>
      <c r="L2648" s="591" t="s">
        <v>62</v>
      </c>
      <c r="M2648" s="607"/>
      <c r="N2648" s="643"/>
      <c r="O2648" s="666"/>
      <c r="P2648" s="464"/>
    </row>
    <row r="2649" spans="1:16" s="616" customFormat="1" ht="14">
      <c r="A2649" s="316" t="s">
        <v>822</v>
      </c>
      <c r="B2649" s="317" t="s">
        <v>1173</v>
      </c>
      <c r="C2649" s="318"/>
      <c r="D2649" s="402"/>
      <c r="E2649" s="402"/>
      <c r="F2649" s="663"/>
      <c r="G2649" s="688"/>
      <c r="H2649" s="688"/>
      <c r="I2649" s="402"/>
      <c r="J2649" s="362" t="s">
        <v>6</v>
      </c>
      <c r="K2649" s="691"/>
      <c r="L2649" s="665"/>
      <c r="M2649" s="607"/>
      <c r="N2649" s="643"/>
      <c r="O2649" s="666"/>
      <c r="P2649" s="464"/>
    </row>
    <row r="2650" spans="1:16" s="616" customFormat="1" ht="14">
      <c r="A2650" s="319" t="s">
        <v>8</v>
      </c>
      <c r="B2650" s="314" t="s">
        <v>1391</v>
      </c>
      <c r="C2650" s="318" t="s">
        <v>24</v>
      </c>
      <c r="D2650" s="402"/>
      <c r="E2650" s="402"/>
      <c r="F2650" s="663"/>
      <c r="G2650" s="10">
        <f t="shared" ref="G2650:H2652" si="660">D2650*$F2650</f>
        <v>0</v>
      </c>
      <c r="H2650" s="10">
        <f t="shared" si="660"/>
        <v>0</v>
      </c>
      <c r="I2650" s="402"/>
      <c r="J2650" s="362" t="s">
        <v>6</v>
      </c>
      <c r="K2650" s="163" t="s">
        <v>259</v>
      </c>
      <c r="L2650" s="665"/>
      <c r="M2650" s="607"/>
      <c r="N2650" s="643"/>
      <c r="O2650" s="666"/>
      <c r="P2650" s="464"/>
    </row>
    <row r="2651" spans="1:16" s="616" customFormat="1" ht="14">
      <c r="A2651" s="319" t="s">
        <v>8</v>
      </c>
      <c r="B2651" s="314" t="s">
        <v>1174</v>
      </c>
      <c r="C2651" s="320" t="s">
        <v>15</v>
      </c>
      <c r="D2651" s="402"/>
      <c r="E2651" s="402"/>
      <c r="F2651" s="667"/>
      <c r="G2651" s="3">
        <f t="shared" si="660"/>
        <v>0</v>
      </c>
      <c r="H2651" s="3">
        <f t="shared" si="660"/>
        <v>0</v>
      </c>
      <c r="I2651" s="402"/>
      <c r="J2651" s="362" t="s">
        <v>6</v>
      </c>
      <c r="K2651" s="163" t="s">
        <v>259</v>
      </c>
      <c r="L2651" s="591" t="s">
        <v>62</v>
      </c>
      <c r="M2651" s="607"/>
      <c r="N2651" s="643"/>
      <c r="O2651" s="666"/>
      <c r="P2651" s="464"/>
    </row>
    <row r="2652" spans="1:16" s="616" customFormat="1" ht="14">
      <c r="A2652" s="319"/>
      <c r="B2652" s="314" t="s">
        <v>1392</v>
      </c>
      <c r="C2652" s="320" t="s">
        <v>15</v>
      </c>
      <c r="D2652" s="402"/>
      <c r="E2652" s="402"/>
      <c r="F2652" s="667"/>
      <c r="G2652" s="3">
        <f t="shared" si="660"/>
        <v>0</v>
      </c>
      <c r="H2652" s="3">
        <f t="shared" si="660"/>
        <v>0</v>
      </c>
      <c r="I2652" s="402"/>
      <c r="J2652" s="362" t="s">
        <v>6</v>
      </c>
      <c r="K2652" s="163" t="s">
        <v>259</v>
      </c>
      <c r="L2652" s="591" t="s">
        <v>62</v>
      </c>
      <c r="M2652" s="607"/>
      <c r="N2652" s="643"/>
      <c r="O2652" s="666"/>
      <c r="P2652" s="464"/>
    </row>
    <row r="2653" spans="1:16" s="616" customFormat="1" ht="14">
      <c r="A2653" s="319"/>
      <c r="B2653" s="314"/>
      <c r="C2653" s="320"/>
      <c r="D2653" s="402"/>
      <c r="E2653" s="402"/>
      <c r="F2653" s="667"/>
      <c r="G2653" s="398"/>
      <c r="H2653" s="398"/>
      <c r="I2653" s="402"/>
      <c r="J2653" s="607"/>
      <c r="K2653" s="591"/>
      <c r="L2653" s="591"/>
      <c r="M2653" s="607"/>
      <c r="N2653" s="643"/>
      <c r="O2653" s="666"/>
      <c r="P2653" s="464"/>
    </row>
    <row r="2654" spans="1:16" s="616" customFormat="1" ht="14">
      <c r="A2654" s="319"/>
      <c r="B2654" s="314"/>
      <c r="C2654" s="320"/>
      <c r="D2654" s="402"/>
      <c r="E2654" s="402"/>
      <c r="F2654" s="667"/>
      <c r="G2654" s="398"/>
      <c r="H2654" s="398"/>
      <c r="I2654" s="402"/>
      <c r="J2654" s="607"/>
      <c r="K2654" s="591"/>
      <c r="L2654" s="591"/>
      <c r="M2654" s="607"/>
      <c r="N2654" s="643"/>
      <c r="O2654" s="666"/>
      <c r="P2654" s="464"/>
    </row>
    <row r="2655" spans="1:16" s="616" customFormat="1" ht="14">
      <c r="A2655" s="319"/>
      <c r="B2655" s="314"/>
      <c r="C2655" s="320"/>
      <c r="D2655" s="402"/>
      <c r="E2655" s="402"/>
      <c r="F2655" s="668"/>
      <c r="G2655" s="398"/>
      <c r="H2655" s="398"/>
      <c r="I2655" s="402"/>
      <c r="J2655" s="607"/>
      <c r="K2655" s="591"/>
      <c r="L2655" s="591"/>
      <c r="M2655" s="607"/>
      <c r="N2655" s="643"/>
      <c r="O2655" s="666"/>
      <c r="P2655" s="464"/>
    </row>
    <row r="2656" spans="1:16" s="616" customFormat="1" ht="14">
      <c r="A2656" s="316"/>
      <c r="B2656" s="317"/>
      <c r="C2656" s="318"/>
      <c r="D2656" s="402"/>
      <c r="E2656" s="402"/>
      <c r="F2656" s="663"/>
      <c r="G2656" s="664"/>
      <c r="H2656" s="664"/>
      <c r="I2656" s="402"/>
      <c r="J2656" s="607"/>
      <c r="K2656" s="607"/>
      <c r="L2656" s="665"/>
      <c r="M2656" s="607"/>
      <c r="N2656" s="643"/>
      <c r="O2656" s="666"/>
      <c r="P2656" s="464"/>
    </row>
    <row r="2657" spans="1:16" s="616" customFormat="1" ht="14">
      <c r="A2657" s="319"/>
      <c r="B2657" s="314"/>
      <c r="C2657" s="320"/>
      <c r="D2657" s="402"/>
      <c r="E2657" s="402"/>
      <c r="F2657" s="667"/>
      <c r="G2657" s="398"/>
      <c r="H2657" s="398"/>
      <c r="I2657" s="402"/>
      <c r="J2657" s="607"/>
      <c r="K2657" s="591"/>
      <c r="L2657" s="591"/>
      <c r="M2657" s="607"/>
      <c r="N2657" s="643"/>
      <c r="O2657" s="666"/>
      <c r="P2657" s="464"/>
    </row>
    <row r="2658" spans="1:16" s="616" customFormat="1" ht="14">
      <c r="A2658" s="319"/>
      <c r="B2658" s="314"/>
      <c r="C2658" s="320"/>
      <c r="D2658" s="402"/>
      <c r="E2658" s="402"/>
      <c r="F2658" s="667"/>
      <c r="G2658" s="398"/>
      <c r="H2658" s="398"/>
      <c r="I2658" s="402"/>
      <c r="J2658" s="607"/>
      <c r="K2658" s="591"/>
      <c r="L2658" s="591"/>
      <c r="M2658" s="607"/>
      <c r="N2658" s="643"/>
      <c r="O2658" s="666"/>
      <c r="P2658" s="464"/>
    </row>
    <row r="2659" spans="1:16" s="616" customFormat="1" ht="14">
      <c r="A2659" s="316"/>
      <c r="B2659" s="317"/>
      <c r="C2659" s="318"/>
      <c r="D2659" s="402"/>
      <c r="E2659" s="402"/>
      <c r="F2659" s="663"/>
      <c r="G2659" s="664"/>
      <c r="H2659" s="664"/>
      <c r="I2659" s="402"/>
      <c r="J2659" s="607"/>
      <c r="K2659" s="607"/>
      <c r="L2659" s="665"/>
      <c r="M2659" s="607"/>
      <c r="N2659" s="643"/>
      <c r="O2659" s="666"/>
      <c r="P2659" s="464"/>
    </row>
    <row r="2660" spans="1:16" s="616" customFormat="1" ht="14">
      <c r="A2660" s="316"/>
      <c r="B2660" s="317"/>
      <c r="C2660" s="318"/>
      <c r="D2660" s="402"/>
      <c r="E2660" s="402"/>
      <c r="F2660" s="663"/>
      <c r="G2660" s="664"/>
      <c r="H2660" s="664"/>
      <c r="I2660" s="402"/>
      <c r="J2660" s="607"/>
      <c r="K2660" s="607"/>
      <c r="L2660" s="665"/>
      <c r="M2660" s="607"/>
      <c r="N2660" s="643"/>
      <c r="O2660" s="666"/>
      <c r="P2660" s="464"/>
    </row>
    <row r="2661" spans="1:16" s="616" customFormat="1" ht="14">
      <c r="A2661" s="319"/>
      <c r="B2661" s="314"/>
      <c r="C2661" s="320"/>
      <c r="D2661" s="402"/>
      <c r="E2661" s="402"/>
      <c r="F2661" s="667"/>
      <c r="G2661" s="391"/>
      <c r="H2661" s="391"/>
      <c r="I2661" s="402"/>
      <c r="J2661" s="607"/>
      <c r="K2661" s="591"/>
      <c r="L2661" s="591"/>
      <c r="M2661" s="607"/>
      <c r="N2661" s="643"/>
      <c r="O2661" s="666"/>
      <c r="P2661" s="464"/>
    </row>
    <row r="2662" spans="1:16" s="616" customFormat="1" ht="14">
      <c r="A2662" s="319"/>
      <c r="B2662" s="314"/>
      <c r="C2662" s="320"/>
      <c r="D2662" s="402"/>
      <c r="E2662" s="402"/>
      <c r="F2662" s="667"/>
      <c r="G2662" s="391"/>
      <c r="H2662" s="391"/>
      <c r="I2662" s="402"/>
      <c r="J2662" s="607"/>
      <c r="K2662" s="591"/>
      <c r="L2662" s="591"/>
      <c r="M2662" s="607"/>
      <c r="N2662" s="643"/>
      <c r="O2662" s="666"/>
      <c r="P2662" s="464"/>
    </row>
    <row r="2663" spans="1:16" s="616" customFormat="1" ht="14">
      <c r="A2663" s="319"/>
      <c r="B2663" s="314"/>
      <c r="C2663" s="320"/>
      <c r="D2663" s="402"/>
      <c r="E2663" s="402"/>
      <c r="F2663" s="668"/>
      <c r="G2663" s="391"/>
      <c r="H2663" s="391"/>
      <c r="I2663" s="402"/>
      <c r="J2663" s="607"/>
      <c r="K2663" s="591"/>
      <c r="L2663" s="591"/>
      <c r="M2663" s="607"/>
      <c r="N2663" s="643"/>
      <c r="O2663" s="666"/>
      <c r="P2663" s="464"/>
    </row>
    <row r="2664" spans="1:16" s="616" customFormat="1" ht="14">
      <c r="A2664" s="316"/>
      <c r="B2664" s="317"/>
      <c r="C2664" s="318"/>
      <c r="D2664" s="402"/>
      <c r="E2664" s="402"/>
      <c r="F2664" s="663"/>
      <c r="G2664" s="664"/>
      <c r="H2664" s="664"/>
      <c r="I2664" s="402"/>
      <c r="J2664" s="607"/>
      <c r="K2664" s="607"/>
      <c r="L2664" s="665"/>
      <c r="M2664" s="607"/>
      <c r="N2664" s="643"/>
      <c r="O2664" s="666"/>
      <c r="P2664" s="464"/>
    </row>
    <row r="2665" spans="1:16" s="616" customFormat="1" ht="14">
      <c r="A2665" s="319"/>
      <c r="B2665" s="314"/>
      <c r="C2665" s="320"/>
      <c r="D2665" s="402"/>
      <c r="E2665" s="402"/>
      <c r="F2665" s="663"/>
      <c r="G2665" s="391"/>
      <c r="H2665" s="391"/>
      <c r="I2665" s="402"/>
      <c r="J2665" s="607"/>
      <c r="K2665" s="591"/>
      <c r="L2665" s="591"/>
      <c r="M2665" s="607"/>
      <c r="N2665" s="643"/>
      <c r="O2665" s="666"/>
      <c r="P2665" s="464"/>
    </row>
    <row r="2666" spans="1:16" s="616" customFormat="1" ht="14">
      <c r="A2666" s="319"/>
      <c r="B2666" s="314"/>
      <c r="C2666" s="320"/>
      <c r="D2666" s="402"/>
      <c r="E2666" s="402"/>
      <c r="F2666" s="663"/>
      <c r="G2666" s="391"/>
      <c r="H2666" s="391"/>
      <c r="I2666" s="402"/>
      <c r="J2666" s="607"/>
      <c r="K2666" s="591"/>
      <c r="L2666" s="591"/>
      <c r="M2666" s="607"/>
      <c r="N2666" s="643"/>
      <c r="O2666" s="666"/>
      <c r="P2666" s="464"/>
    </row>
    <row r="2667" spans="1:16" s="616" customFormat="1" ht="14">
      <c r="A2667" s="316"/>
      <c r="B2667" s="317"/>
      <c r="C2667" s="318"/>
      <c r="D2667" s="402"/>
      <c r="E2667" s="402"/>
      <c r="F2667" s="663"/>
      <c r="G2667" s="664"/>
      <c r="H2667" s="664"/>
      <c r="I2667" s="402"/>
      <c r="J2667" s="607"/>
      <c r="K2667" s="607"/>
      <c r="L2667" s="665"/>
      <c r="M2667" s="607"/>
      <c r="N2667" s="643"/>
      <c r="O2667" s="666"/>
      <c r="P2667" s="464"/>
    </row>
    <row r="2668" spans="1:16" s="616" customFormat="1" ht="14">
      <c r="A2668" s="316"/>
      <c r="B2668" s="317"/>
      <c r="C2668" s="318"/>
      <c r="D2668" s="402"/>
      <c r="E2668" s="402"/>
      <c r="F2668" s="663"/>
      <c r="G2668" s="664"/>
      <c r="H2668" s="664"/>
      <c r="I2668" s="402"/>
      <c r="J2668" s="607"/>
      <c r="K2668" s="607"/>
      <c r="L2668" s="665"/>
      <c r="M2668" s="607"/>
      <c r="N2668" s="643"/>
      <c r="O2668" s="666"/>
      <c r="P2668" s="464"/>
    </row>
    <row r="2669" spans="1:16" s="616" customFormat="1" ht="14">
      <c r="A2669" s="319"/>
      <c r="B2669" s="314"/>
      <c r="C2669" s="320"/>
      <c r="D2669" s="402"/>
      <c r="E2669" s="402"/>
      <c r="F2669" s="667"/>
      <c r="G2669" s="391"/>
      <c r="H2669" s="391"/>
      <c r="I2669" s="402"/>
      <c r="J2669" s="607"/>
      <c r="K2669" s="591"/>
      <c r="L2669" s="591"/>
      <c r="M2669" s="607"/>
      <c r="N2669" s="643"/>
      <c r="O2669" s="666"/>
      <c r="P2669" s="464"/>
    </row>
    <row r="2670" spans="1:16" s="616" customFormat="1" ht="14">
      <c r="A2670" s="319"/>
      <c r="B2670" s="314"/>
      <c r="C2670" s="320"/>
      <c r="D2670" s="402"/>
      <c r="E2670" s="402"/>
      <c r="F2670" s="667"/>
      <c r="G2670" s="391"/>
      <c r="H2670" s="391"/>
      <c r="I2670" s="402"/>
      <c r="J2670" s="607"/>
      <c r="K2670" s="591"/>
      <c r="L2670" s="591"/>
      <c r="M2670" s="607"/>
      <c r="N2670" s="643"/>
      <c r="O2670" s="666"/>
      <c r="P2670" s="464"/>
    </row>
    <row r="2671" spans="1:16" s="616" customFormat="1" ht="14">
      <c r="A2671" s="319"/>
      <c r="B2671" s="314"/>
      <c r="C2671" s="320"/>
      <c r="D2671" s="402"/>
      <c r="E2671" s="402"/>
      <c r="F2671" s="668"/>
      <c r="G2671" s="391"/>
      <c r="H2671" s="391"/>
      <c r="I2671" s="402"/>
      <c r="J2671" s="607"/>
      <c r="K2671" s="591"/>
      <c r="L2671" s="591"/>
      <c r="M2671" s="607"/>
      <c r="N2671" s="643"/>
      <c r="O2671" s="666"/>
      <c r="P2671" s="464"/>
    </row>
    <row r="2672" spans="1:16" s="616" customFormat="1" ht="14">
      <c r="A2672" s="316"/>
      <c r="B2672" s="317"/>
      <c r="C2672" s="318"/>
      <c r="D2672" s="402"/>
      <c r="E2672" s="402"/>
      <c r="F2672" s="663"/>
      <c r="G2672" s="664"/>
      <c r="H2672" s="664"/>
      <c r="I2672" s="402"/>
      <c r="J2672" s="607"/>
      <c r="K2672" s="607"/>
      <c r="L2672" s="665"/>
      <c r="M2672" s="607"/>
      <c r="N2672" s="643"/>
      <c r="O2672" s="666"/>
      <c r="P2672" s="464"/>
    </row>
    <row r="2673" spans="1:16" s="616" customFormat="1" ht="14">
      <c r="A2673" s="319"/>
      <c r="B2673" s="314"/>
      <c r="C2673" s="320"/>
      <c r="D2673" s="402"/>
      <c r="E2673" s="402"/>
      <c r="F2673" s="663"/>
      <c r="G2673" s="391"/>
      <c r="H2673" s="391"/>
      <c r="I2673" s="402"/>
      <c r="J2673" s="607"/>
      <c r="K2673" s="591"/>
      <c r="L2673" s="591"/>
      <c r="M2673" s="607"/>
      <c r="N2673" s="643"/>
      <c r="O2673" s="666"/>
      <c r="P2673" s="464"/>
    </row>
    <row r="2674" spans="1:16" s="616" customFormat="1" ht="14">
      <c r="A2674" s="319"/>
      <c r="B2674" s="314"/>
      <c r="C2674" s="320"/>
      <c r="D2674" s="402"/>
      <c r="E2674" s="402"/>
      <c r="F2674" s="663"/>
      <c r="G2674" s="391"/>
      <c r="H2674" s="391"/>
      <c r="I2674" s="402"/>
      <c r="J2674" s="607"/>
      <c r="K2674" s="591"/>
      <c r="L2674" s="591"/>
      <c r="M2674" s="607"/>
      <c r="N2674" s="643"/>
      <c r="O2674" s="666"/>
      <c r="P2674" s="464"/>
    </row>
    <row r="2675" spans="1:16" s="616" customFormat="1" ht="14">
      <c r="A2675" s="316"/>
      <c r="B2675" s="317"/>
      <c r="C2675" s="318"/>
      <c r="D2675" s="402"/>
      <c r="E2675" s="402"/>
      <c r="F2675" s="663"/>
      <c r="G2675" s="664"/>
      <c r="H2675" s="664"/>
      <c r="I2675" s="402"/>
      <c r="J2675" s="607"/>
      <c r="K2675" s="607"/>
      <c r="L2675" s="665"/>
      <c r="M2675" s="607"/>
      <c r="N2675" s="643"/>
      <c r="O2675" s="666"/>
      <c r="P2675" s="464"/>
    </row>
    <row r="2676" spans="1:16" s="616" customFormat="1" ht="14">
      <c r="A2676" s="319"/>
      <c r="B2676" s="314"/>
      <c r="C2676" s="320"/>
      <c r="D2676" s="402"/>
      <c r="E2676" s="402"/>
      <c r="F2676" s="667"/>
      <c r="G2676" s="398"/>
      <c r="H2676" s="398"/>
      <c r="I2676" s="402"/>
      <c r="J2676" s="607"/>
      <c r="K2676" s="591"/>
      <c r="L2676" s="591"/>
      <c r="M2676" s="607"/>
      <c r="N2676" s="643"/>
      <c r="O2676" s="666"/>
      <c r="P2676" s="464"/>
    </row>
    <row r="2677" spans="1:16" s="616" customFormat="1" ht="14">
      <c r="A2677" s="319"/>
      <c r="B2677" s="314"/>
      <c r="C2677" s="320"/>
      <c r="D2677" s="402"/>
      <c r="E2677" s="402"/>
      <c r="F2677" s="667"/>
      <c r="G2677" s="398"/>
      <c r="H2677" s="398"/>
      <c r="I2677" s="402"/>
      <c r="J2677" s="607"/>
      <c r="K2677" s="591"/>
      <c r="L2677" s="591"/>
      <c r="M2677" s="607"/>
      <c r="N2677" s="643"/>
      <c r="O2677" s="666"/>
      <c r="P2677" s="464"/>
    </row>
    <row r="2678" spans="1:16" s="616" customFormat="1" ht="14">
      <c r="A2678" s="319"/>
      <c r="B2678" s="314"/>
      <c r="C2678" s="320"/>
      <c r="D2678" s="402"/>
      <c r="E2678" s="402"/>
      <c r="F2678" s="667"/>
      <c r="G2678" s="398"/>
      <c r="H2678" s="398"/>
      <c r="I2678" s="402"/>
      <c r="J2678" s="607"/>
      <c r="K2678" s="591"/>
      <c r="L2678" s="591"/>
      <c r="M2678" s="607"/>
      <c r="N2678" s="643"/>
      <c r="O2678" s="666"/>
      <c r="P2678" s="464"/>
    </row>
    <row r="2679" spans="1:16" s="616" customFormat="1" ht="14">
      <c r="A2679" s="319"/>
      <c r="B2679" s="314"/>
      <c r="C2679" s="320"/>
      <c r="D2679" s="402"/>
      <c r="E2679" s="402"/>
      <c r="F2679" s="667"/>
      <c r="G2679" s="398"/>
      <c r="H2679" s="398"/>
      <c r="I2679" s="402"/>
      <c r="J2679" s="607"/>
      <c r="K2679" s="591"/>
      <c r="L2679" s="591"/>
      <c r="M2679" s="607"/>
      <c r="N2679" s="643"/>
      <c r="O2679" s="666"/>
      <c r="P2679" s="464"/>
    </row>
    <row r="2680" spans="1:16" s="616" customFormat="1" ht="14">
      <c r="A2680" s="319"/>
      <c r="B2680" s="314"/>
      <c r="C2680" s="320"/>
      <c r="D2680" s="402"/>
      <c r="E2680" s="402"/>
      <c r="F2680" s="667"/>
      <c r="G2680" s="398"/>
      <c r="H2680" s="398"/>
      <c r="I2680" s="402"/>
      <c r="J2680" s="607"/>
      <c r="K2680" s="591"/>
      <c r="L2680" s="591"/>
      <c r="M2680" s="607"/>
      <c r="N2680" s="643"/>
      <c r="O2680" s="666"/>
      <c r="P2680" s="464"/>
    </row>
    <row r="2681" spans="1:16" s="616" customFormat="1" ht="14">
      <c r="A2681" s="319"/>
      <c r="B2681" s="314"/>
      <c r="C2681" s="320"/>
      <c r="D2681" s="402"/>
      <c r="E2681" s="402"/>
      <c r="F2681" s="667"/>
      <c r="G2681" s="398"/>
      <c r="H2681" s="398"/>
      <c r="I2681" s="402"/>
      <c r="J2681" s="607"/>
      <c r="K2681" s="591"/>
      <c r="L2681" s="591"/>
      <c r="M2681" s="607"/>
      <c r="N2681" s="643"/>
      <c r="O2681" s="666"/>
      <c r="P2681" s="464"/>
    </row>
    <row r="2682" spans="1:16" s="616" customFormat="1" ht="14">
      <c r="A2682" s="319"/>
      <c r="B2682" s="314"/>
      <c r="C2682" s="320"/>
      <c r="D2682" s="402"/>
      <c r="E2682" s="402"/>
      <c r="F2682" s="667"/>
      <c r="G2682" s="398"/>
      <c r="H2682" s="398"/>
      <c r="I2682" s="402"/>
      <c r="J2682" s="607"/>
      <c r="K2682" s="591"/>
      <c r="L2682" s="591"/>
      <c r="M2682" s="607"/>
      <c r="N2682" s="643"/>
      <c r="O2682" s="666"/>
      <c r="P2682" s="464"/>
    </row>
    <row r="2683" spans="1:16" s="616" customFormat="1" ht="14">
      <c r="A2683" s="319"/>
      <c r="B2683" s="314"/>
      <c r="C2683" s="320"/>
      <c r="D2683" s="402"/>
      <c r="E2683" s="402"/>
      <c r="F2683" s="667"/>
      <c r="G2683" s="398"/>
      <c r="H2683" s="398"/>
      <c r="I2683" s="402"/>
      <c r="J2683" s="607"/>
      <c r="K2683" s="591"/>
      <c r="L2683" s="591"/>
      <c r="M2683" s="607"/>
      <c r="N2683" s="643"/>
      <c r="O2683" s="666"/>
      <c r="P2683" s="464"/>
    </row>
    <row r="2684" spans="1:16" s="616" customFormat="1" ht="14">
      <c r="A2684" s="319"/>
      <c r="B2684" s="314"/>
      <c r="C2684" s="320"/>
      <c r="D2684" s="402"/>
      <c r="E2684" s="402"/>
      <c r="F2684" s="667"/>
      <c r="G2684" s="398"/>
      <c r="H2684" s="398"/>
      <c r="I2684" s="402"/>
      <c r="J2684" s="607"/>
      <c r="K2684" s="591"/>
      <c r="L2684" s="591"/>
      <c r="M2684" s="607"/>
      <c r="N2684" s="643"/>
      <c r="O2684" s="666"/>
      <c r="P2684" s="464"/>
    </row>
    <row r="2685" spans="1:16" s="616" customFormat="1" ht="14">
      <c r="A2685" s="319"/>
      <c r="B2685" s="314"/>
      <c r="C2685" s="320"/>
      <c r="D2685" s="402"/>
      <c r="E2685" s="402"/>
      <c r="F2685" s="667"/>
      <c r="G2685" s="398"/>
      <c r="H2685" s="398"/>
      <c r="I2685" s="402"/>
      <c r="J2685" s="607"/>
      <c r="K2685" s="591"/>
      <c r="L2685" s="591"/>
      <c r="M2685" s="607"/>
      <c r="N2685" s="643"/>
      <c r="O2685" s="666"/>
      <c r="P2685" s="464"/>
    </row>
    <row r="2686" spans="1:16" s="616" customFormat="1" ht="14">
      <c r="A2686" s="319"/>
      <c r="B2686" s="314"/>
      <c r="C2686" s="320"/>
      <c r="D2686" s="402"/>
      <c r="E2686" s="402"/>
      <c r="F2686" s="663"/>
      <c r="G2686" s="398"/>
      <c r="H2686" s="398"/>
      <c r="I2686" s="402"/>
      <c r="J2686" s="607"/>
      <c r="K2686" s="591"/>
      <c r="L2686" s="591"/>
      <c r="M2686" s="607"/>
      <c r="N2686" s="643"/>
      <c r="O2686" s="666"/>
      <c r="P2686" s="464"/>
    </row>
    <row r="2687" spans="1:16" s="616" customFormat="1" ht="14">
      <c r="A2687" s="319"/>
      <c r="B2687" s="314"/>
      <c r="C2687" s="320"/>
      <c r="D2687" s="402"/>
      <c r="E2687" s="402"/>
      <c r="F2687" s="667"/>
      <c r="G2687" s="398"/>
      <c r="H2687" s="398"/>
      <c r="I2687" s="402"/>
      <c r="J2687" s="607"/>
      <c r="K2687" s="591"/>
      <c r="L2687" s="591"/>
      <c r="M2687" s="607"/>
      <c r="N2687" s="643"/>
      <c r="O2687" s="666"/>
      <c r="P2687" s="464"/>
    </row>
    <row r="2688" spans="1:16" s="53" customFormat="1">
      <c r="A2688" s="81"/>
      <c r="B2688" s="88"/>
      <c r="C2688" s="74"/>
      <c r="D2688" s="68"/>
      <c r="E2688" s="68"/>
      <c r="F2688" s="13"/>
      <c r="G2688" s="82"/>
      <c r="H2688" s="82"/>
      <c r="I2688" s="82"/>
      <c r="J2688" s="73"/>
      <c r="K2688" s="73"/>
      <c r="M2688" s="85"/>
      <c r="N2688" s="83"/>
      <c r="O2688" s="86"/>
      <c r="P2688" s="335"/>
    </row>
    <row r="2689" spans="1:17">
      <c r="G2689" s="76"/>
      <c r="H2689" s="76"/>
      <c r="Q2689" s="6"/>
    </row>
    <row r="2690" spans="1:17">
      <c r="G2690" s="76"/>
      <c r="H2690" s="76"/>
      <c r="Q2690" s="6"/>
    </row>
    <row r="2691" spans="1:17">
      <c r="G2691" s="76"/>
      <c r="H2691" s="76"/>
      <c r="Q2691" s="6"/>
    </row>
    <row r="2692" spans="1:17">
      <c r="G2692" s="76"/>
      <c r="H2692" s="76"/>
      <c r="Q2692" s="6"/>
    </row>
    <row r="2693" spans="1:17">
      <c r="G2693" s="76"/>
      <c r="H2693" s="76"/>
      <c r="Q2693" s="6"/>
    </row>
    <row r="2694" spans="1:17">
      <c r="G2694" s="76"/>
      <c r="H2694" s="76"/>
      <c r="Q2694" s="6"/>
    </row>
    <row r="2695" spans="1:17">
      <c r="G2695" s="76"/>
      <c r="H2695" s="76"/>
      <c r="Q2695" s="6"/>
    </row>
    <row r="2696" spans="1:17">
      <c r="G2696" s="76"/>
      <c r="H2696" s="76"/>
      <c r="Q2696" s="6"/>
    </row>
    <row r="2697" spans="1:17">
      <c r="G2697" s="76"/>
      <c r="H2697" s="76"/>
      <c r="Q2697" s="6"/>
    </row>
    <row r="2698" spans="1:17">
      <c r="G2698" s="76"/>
      <c r="H2698" s="76"/>
      <c r="Q2698" s="6"/>
    </row>
    <row r="2699" spans="1:17">
      <c r="G2699" s="76"/>
      <c r="H2699" s="76"/>
      <c r="Q2699" s="6"/>
    </row>
    <row r="2700" spans="1:17">
      <c r="G2700" s="76"/>
      <c r="H2700" s="76"/>
      <c r="Q2700" s="6"/>
    </row>
    <row r="2701" spans="1:17">
      <c r="G2701" s="76"/>
      <c r="H2701" s="76"/>
      <c r="Q2701" s="6"/>
    </row>
    <row r="2702" spans="1:17">
      <c r="G2702" s="76"/>
      <c r="H2702" s="76"/>
      <c r="Q2702" s="6"/>
    </row>
    <row r="2703" spans="1:17">
      <c r="A2703" s="6"/>
      <c r="B2703" s="6"/>
      <c r="C2703" s="6"/>
      <c r="D2703" s="6"/>
      <c r="E2703" s="6"/>
      <c r="F2703" s="6"/>
      <c r="G2703" s="76"/>
      <c r="H2703" s="76"/>
      <c r="I2703" s="6"/>
      <c r="J2703" s="6"/>
      <c r="K2703" s="6"/>
      <c r="L2703" s="6"/>
      <c r="M2703" s="6"/>
      <c r="N2703" s="6"/>
      <c r="O2703" s="6"/>
      <c r="Q2703" s="6"/>
    </row>
    <row r="2704" spans="1:17">
      <c r="A2704" s="6"/>
      <c r="B2704" s="6"/>
      <c r="C2704" s="6"/>
      <c r="D2704" s="6"/>
      <c r="E2704" s="6"/>
      <c r="F2704" s="6"/>
      <c r="G2704" s="76"/>
      <c r="H2704" s="76"/>
      <c r="I2704" s="6"/>
      <c r="J2704" s="6"/>
      <c r="K2704" s="6"/>
      <c r="L2704" s="6"/>
      <c r="M2704" s="6"/>
      <c r="N2704" s="6"/>
      <c r="O2704" s="6"/>
      <c r="Q2704" s="6"/>
    </row>
    <row r="2705" spans="1:17">
      <c r="A2705" s="6"/>
      <c r="B2705" s="6"/>
      <c r="C2705" s="6"/>
      <c r="D2705" s="6"/>
      <c r="E2705" s="6"/>
      <c r="F2705" s="6"/>
      <c r="G2705" s="76"/>
      <c r="H2705" s="76"/>
      <c r="I2705" s="6"/>
      <c r="J2705" s="6"/>
      <c r="K2705" s="6"/>
      <c r="L2705" s="6"/>
      <c r="M2705" s="6"/>
      <c r="N2705" s="6"/>
      <c r="O2705" s="6"/>
      <c r="Q2705" s="6"/>
    </row>
    <row r="2706" spans="1:17">
      <c r="A2706" s="6"/>
      <c r="B2706" s="6"/>
      <c r="C2706" s="6"/>
      <c r="D2706" s="6"/>
      <c r="E2706" s="6"/>
      <c r="F2706" s="6"/>
      <c r="G2706" s="76"/>
      <c r="H2706" s="76"/>
      <c r="I2706" s="6"/>
      <c r="J2706" s="6"/>
      <c r="K2706" s="6"/>
      <c r="L2706" s="6"/>
      <c r="M2706" s="6"/>
      <c r="N2706" s="6"/>
      <c r="O2706" s="6"/>
      <c r="Q2706" s="6"/>
    </row>
    <row r="2707" spans="1:17">
      <c r="A2707" s="6"/>
      <c r="B2707" s="6"/>
      <c r="C2707" s="6"/>
      <c r="D2707" s="6"/>
      <c r="E2707" s="6"/>
      <c r="F2707" s="6"/>
      <c r="G2707" s="76"/>
      <c r="H2707" s="76"/>
      <c r="I2707" s="6"/>
      <c r="J2707" s="6"/>
      <c r="K2707" s="6"/>
      <c r="L2707" s="6"/>
      <c r="M2707" s="6"/>
      <c r="N2707" s="6"/>
      <c r="O2707" s="6"/>
      <c r="Q2707" s="6"/>
    </row>
    <row r="2708" spans="1:17">
      <c r="A2708" s="6"/>
      <c r="B2708" s="6"/>
      <c r="C2708" s="6"/>
      <c r="D2708" s="6"/>
      <c r="E2708" s="6"/>
      <c r="F2708" s="6"/>
      <c r="G2708" s="76"/>
      <c r="H2708" s="76"/>
      <c r="I2708" s="6"/>
      <c r="J2708" s="6"/>
      <c r="K2708" s="6"/>
      <c r="L2708" s="6"/>
      <c r="M2708" s="6"/>
      <c r="N2708" s="6"/>
      <c r="O2708" s="6"/>
      <c r="Q2708" s="6"/>
    </row>
    <row r="2709" spans="1:17">
      <c r="A2709" s="6"/>
      <c r="B2709" s="6"/>
      <c r="C2709" s="6"/>
      <c r="D2709" s="6"/>
      <c r="E2709" s="6"/>
      <c r="F2709" s="6"/>
      <c r="G2709" s="76"/>
      <c r="H2709" s="76"/>
      <c r="I2709" s="6"/>
      <c r="J2709" s="6"/>
      <c r="K2709" s="6"/>
      <c r="L2709" s="6"/>
      <c r="M2709" s="6"/>
      <c r="N2709" s="6"/>
      <c r="O2709" s="6"/>
      <c r="Q2709" s="6"/>
    </row>
    <row r="2710" spans="1:17">
      <c r="A2710" s="6"/>
      <c r="B2710" s="6"/>
      <c r="C2710" s="6"/>
      <c r="D2710" s="6"/>
      <c r="E2710" s="6"/>
      <c r="F2710" s="6"/>
      <c r="G2710" s="76"/>
      <c r="H2710" s="76"/>
      <c r="I2710" s="6"/>
      <c r="J2710" s="6"/>
      <c r="K2710" s="6"/>
      <c r="L2710" s="6"/>
      <c r="M2710" s="6"/>
      <c r="N2710" s="6"/>
      <c r="O2710" s="6"/>
      <c r="Q2710" s="6"/>
    </row>
    <row r="2711" spans="1:17">
      <c r="A2711" s="6"/>
      <c r="B2711" s="6"/>
      <c r="C2711" s="6"/>
      <c r="D2711" s="6"/>
      <c r="E2711" s="6"/>
      <c r="F2711" s="6"/>
      <c r="G2711" s="76"/>
      <c r="H2711" s="76"/>
      <c r="I2711" s="6"/>
      <c r="J2711" s="6"/>
      <c r="K2711" s="6"/>
      <c r="L2711" s="6"/>
      <c r="M2711" s="6"/>
      <c r="N2711" s="6"/>
      <c r="O2711" s="6"/>
      <c r="Q2711" s="6"/>
    </row>
    <row r="2712" spans="1:17">
      <c r="A2712" s="6"/>
      <c r="B2712" s="6"/>
      <c r="C2712" s="6"/>
      <c r="D2712" s="6"/>
      <c r="E2712" s="6"/>
      <c r="F2712" s="6"/>
      <c r="G2712" s="76"/>
      <c r="H2712" s="76"/>
      <c r="I2712" s="6"/>
      <c r="J2712" s="6"/>
      <c r="K2712" s="6"/>
      <c r="L2712" s="6"/>
      <c r="M2712" s="6"/>
      <c r="N2712" s="6"/>
      <c r="O2712" s="6"/>
      <c r="Q2712" s="6"/>
    </row>
    <row r="2713" spans="1:17">
      <c r="A2713" s="6"/>
      <c r="B2713" s="6"/>
      <c r="C2713" s="6"/>
      <c r="D2713" s="6"/>
      <c r="E2713" s="6"/>
      <c r="F2713" s="6"/>
      <c r="G2713" s="76"/>
      <c r="H2713" s="76"/>
      <c r="I2713" s="6"/>
      <c r="J2713" s="6"/>
      <c r="K2713" s="6"/>
      <c r="L2713" s="6"/>
      <c r="M2713" s="6"/>
      <c r="N2713" s="6"/>
      <c r="O2713" s="6"/>
      <c r="Q2713" s="6"/>
    </row>
    <row r="2714" spans="1:17">
      <c r="A2714" s="6"/>
      <c r="B2714" s="6"/>
      <c r="C2714" s="6"/>
      <c r="D2714" s="6"/>
      <c r="E2714" s="6"/>
      <c r="F2714" s="6"/>
      <c r="G2714" s="76"/>
      <c r="H2714" s="76"/>
      <c r="I2714" s="6"/>
      <c r="J2714" s="6"/>
      <c r="K2714" s="6"/>
      <c r="L2714" s="6"/>
      <c r="M2714" s="6"/>
      <c r="N2714" s="6"/>
      <c r="O2714" s="6"/>
      <c r="Q2714" s="6"/>
    </row>
    <row r="2715" spans="1:17">
      <c r="A2715" s="6"/>
      <c r="B2715" s="6"/>
      <c r="C2715" s="6"/>
      <c r="D2715" s="6"/>
      <c r="E2715" s="6"/>
      <c r="F2715" s="6"/>
      <c r="G2715" s="76"/>
      <c r="H2715" s="76"/>
      <c r="I2715" s="6"/>
      <c r="J2715" s="6"/>
      <c r="K2715" s="6"/>
      <c r="L2715" s="6"/>
      <c r="M2715" s="6"/>
      <c r="N2715" s="6"/>
      <c r="O2715" s="6"/>
      <c r="Q2715" s="6"/>
    </row>
    <row r="2716" spans="1:17">
      <c r="A2716" s="6"/>
      <c r="B2716" s="6"/>
      <c r="C2716" s="6"/>
      <c r="D2716" s="6"/>
      <c r="E2716" s="6"/>
      <c r="F2716" s="6"/>
      <c r="G2716" s="76"/>
      <c r="H2716" s="76"/>
      <c r="I2716" s="6"/>
      <c r="J2716" s="6"/>
      <c r="K2716" s="6"/>
      <c r="L2716" s="6"/>
      <c r="M2716" s="6"/>
      <c r="N2716" s="6"/>
      <c r="O2716" s="6"/>
      <c r="Q2716" s="6"/>
    </row>
    <row r="2717" spans="1:17">
      <c r="A2717" s="6"/>
      <c r="B2717" s="6"/>
      <c r="C2717" s="6"/>
      <c r="D2717" s="6"/>
      <c r="E2717" s="6"/>
      <c r="F2717" s="6"/>
      <c r="G2717" s="76"/>
      <c r="H2717" s="76"/>
      <c r="I2717" s="6"/>
      <c r="J2717" s="6"/>
      <c r="K2717" s="6"/>
      <c r="L2717" s="6"/>
      <c r="M2717" s="6"/>
      <c r="N2717" s="6"/>
      <c r="O2717" s="6"/>
      <c r="Q2717" s="6"/>
    </row>
    <row r="2718" spans="1:17">
      <c r="A2718" s="6"/>
      <c r="B2718" s="6"/>
      <c r="C2718" s="6"/>
      <c r="D2718" s="6"/>
      <c r="E2718" s="6"/>
      <c r="F2718" s="6"/>
      <c r="G2718" s="76"/>
      <c r="H2718" s="76"/>
      <c r="I2718" s="6"/>
      <c r="J2718" s="6"/>
      <c r="K2718" s="6"/>
      <c r="L2718" s="6"/>
      <c r="M2718" s="6"/>
      <c r="N2718" s="6"/>
      <c r="O2718" s="6"/>
      <c r="Q2718" s="6"/>
    </row>
    <row r="2719" spans="1:17">
      <c r="A2719" s="6"/>
      <c r="B2719" s="6"/>
      <c r="C2719" s="6"/>
      <c r="D2719" s="6"/>
      <c r="E2719" s="6"/>
      <c r="F2719" s="6"/>
      <c r="G2719" s="76"/>
      <c r="H2719" s="76"/>
      <c r="I2719" s="6"/>
      <c r="J2719" s="6"/>
      <c r="K2719" s="6"/>
      <c r="L2719" s="6"/>
      <c r="M2719" s="6"/>
      <c r="N2719" s="6"/>
      <c r="O2719" s="6"/>
      <c r="Q2719" s="6"/>
    </row>
    <row r="2720" spans="1:17">
      <c r="A2720" s="6"/>
      <c r="B2720" s="6"/>
      <c r="C2720" s="6"/>
      <c r="D2720" s="6"/>
      <c r="E2720" s="6"/>
      <c r="F2720" s="6"/>
      <c r="G2720" s="76"/>
      <c r="H2720" s="76"/>
      <c r="I2720" s="6"/>
      <c r="J2720" s="6"/>
      <c r="K2720" s="6"/>
      <c r="L2720" s="6"/>
      <c r="M2720" s="6"/>
      <c r="N2720" s="6"/>
      <c r="O2720" s="6"/>
      <c r="Q2720" s="6"/>
    </row>
    <row r="2721" spans="1:17">
      <c r="A2721" s="6"/>
      <c r="B2721" s="6"/>
      <c r="C2721" s="6"/>
      <c r="D2721" s="6"/>
      <c r="E2721" s="6"/>
      <c r="F2721" s="6"/>
      <c r="G2721" s="76"/>
      <c r="H2721" s="76"/>
      <c r="I2721" s="6"/>
      <c r="J2721" s="6"/>
      <c r="K2721" s="6"/>
      <c r="L2721" s="6"/>
      <c r="M2721" s="6"/>
      <c r="N2721" s="6"/>
      <c r="O2721" s="6"/>
      <c r="Q2721" s="6"/>
    </row>
    <row r="2722" spans="1:17">
      <c r="A2722" s="6"/>
      <c r="B2722" s="6"/>
      <c r="C2722" s="6"/>
      <c r="D2722" s="6"/>
      <c r="E2722" s="6"/>
      <c r="F2722" s="6"/>
      <c r="G2722" s="76"/>
      <c r="H2722" s="76"/>
      <c r="I2722" s="6"/>
      <c r="J2722" s="6"/>
      <c r="K2722" s="6"/>
      <c r="L2722" s="6"/>
      <c r="M2722" s="6"/>
      <c r="N2722" s="6"/>
      <c r="O2722" s="6"/>
      <c r="Q2722" s="6"/>
    </row>
    <row r="2723" spans="1:17">
      <c r="A2723" s="6"/>
      <c r="B2723" s="6"/>
      <c r="C2723" s="6"/>
      <c r="D2723" s="6"/>
      <c r="E2723" s="6"/>
      <c r="F2723" s="6"/>
      <c r="G2723" s="76"/>
      <c r="H2723" s="76"/>
      <c r="I2723" s="6"/>
      <c r="J2723" s="6"/>
      <c r="K2723" s="6"/>
      <c r="L2723" s="6"/>
      <c r="M2723" s="6"/>
      <c r="N2723" s="6"/>
      <c r="O2723" s="6"/>
      <c r="Q2723" s="6"/>
    </row>
    <row r="2724" spans="1:17">
      <c r="A2724" s="6"/>
      <c r="B2724" s="6"/>
      <c r="C2724" s="6"/>
      <c r="D2724" s="6"/>
      <c r="E2724" s="6"/>
      <c r="F2724" s="6"/>
      <c r="G2724" s="76"/>
      <c r="H2724" s="76"/>
      <c r="I2724" s="6"/>
      <c r="J2724" s="6"/>
      <c r="K2724" s="6"/>
      <c r="L2724" s="6"/>
      <c r="M2724" s="6"/>
      <c r="N2724" s="6"/>
      <c r="O2724" s="6"/>
      <c r="Q2724" s="6"/>
    </row>
    <row r="2725" spans="1:17">
      <c r="A2725" s="6"/>
      <c r="B2725" s="6"/>
      <c r="C2725" s="6"/>
      <c r="D2725" s="6"/>
      <c r="E2725" s="6"/>
      <c r="F2725" s="6"/>
      <c r="G2725" s="76"/>
      <c r="H2725" s="76"/>
      <c r="I2725" s="6"/>
      <c r="J2725" s="6"/>
      <c r="K2725" s="6"/>
      <c r="L2725" s="6"/>
      <c r="M2725" s="6"/>
      <c r="N2725" s="6"/>
      <c r="O2725" s="6"/>
      <c r="Q2725" s="6"/>
    </row>
    <row r="2726" spans="1:17">
      <c r="A2726" s="6"/>
      <c r="B2726" s="6"/>
      <c r="C2726" s="6"/>
      <c r="D2726" s="6"/>
      <c r="E2726" s="6"/>
      <c r="F2726" s="6"/>
      <c r="G2726" s="76"/>
      <c r="H2726" s="76"/>
      <c r="I2726" s="6"/>
      <c r="J2726" s="6"/>
      <c r="K2726" s="6"/>
      <c r="L2726" s="6"/>
      <c r="M2726" s="6"/>
      <c r="N2726" s="6"/>
      <c r="O2726" s="6"/>
      <c r="Q2726" s="6"/>
    </row>
    <row r="2727" spans="1:17">
      <c r="A2727" s="6"/>
      <c r="B2727" s="6"/>
      <c r="C2727" s="6"/>
      <c r="D2727" s="6"/>
      <c r="E2727" s="6"/>
      <c r="F2727" s="6"/>
      <c r="G2727" s="76"/>
      <c r="H2727" s="76"/>
      <c r="I2727" s="6"/>
      <c r="J2727" s="6"/>
      <c r="K2727" s="6"/>
      <c r="L2727" s="6"/>
      <c r="M2727" s="6"/>
      <c r="N2727" s="6"/>
      <c r="O2727" s="6"/>
      <c r="Q2727" s="6"/>
    </row>
    <row r="2728" spans="1:17">
      <c r="A2728" s="6"/>
      <c r="B2728" s="6"/>
      <c r="C2728" s="6"/>
      <c r="D2728" s="6"/>
      <c r="E2728" s="6"/>
      <c r="F2728" s="6"/>
      <c r="G2728" s="76"/>
      <c r="H2728" s="76"/>
      <c r="I2728" s="6"/>
      <c r="J2728" s="6"/>
      <c r="K2728" s="6"/>
      <c r="L2728" s="6"/>
      <c r="M2728" s="6"/>
      <c r="N2728" s="6"/>
      <c r="O2728" s="6"/>
      <c r="Q2728" s="6"/>
    </row>
    <row r="2729" spans="1:17">
      <c r="A2729" s="6"/>
      <c r="B2729" s="6"/>
      <c r="C2729" s="6"/>
      <c r="D2729" s="6"/>
      <c r="E2729" s="6"/>
      <c r="F2729" s="6"/>
      <c r="G2729" s="76"/>
      <c r="H2729" s="76"/>
      <c r="I2729" s="6"/>
      <c r="J2729" s="6"/>
      <c r="K2729" s="6"/>
      <c r="L2729" s="6"/>
      <c r="M2729" s="6"/>
      <c r="N2729" s="6"/>
      <c r="O2729" s="6"/>
      <c r="Q2729" s="6"/>
    </row>
    <row r="2730" spans="1:17">
      <c r="A2730" s="6"/>
      <c r="B2730" s="6"/>
      <c r="C2730" s="6"/>
      <c r="D2730" s="6"/>
      <c r="E2730" s="6"/>
      <c r="F2730" s="6"/>
      <c r="G2730" s="76"/>
      <c r="H2730" s="76"/>
      <c r="I2730" s="6"/>
      <c r="J2730" s="6"/>
      <c r="K2730" s="6"/>
      <c r="L2730" s="6"/>
      <c r="M2730" s="6"/>
      <c r="N2730" s="6"/>
      <c r="O2730" s="6"/>
      <c r="Q2730" s="6"/>
    </row>
    <row r="2731" spans="1:17">
      <c r="A2731" s="6"/>
      <c r="B2731" s="6"/>
      <c r="C2731" s="6"/>
      <c r="D2731" s="6"/>
      <c r="E2731" s="6"/>
      <c r="F2731" s="6"/>
      <c r="G2731" s="76"/>
      <c r="H2731" s="76"/>
      <c r="I2731" s="6"/>
      <c r="J2731" s="6"/>
      <c r="K2731" s="6"/>
      <c r="L2731" s="6"/>
      <c r="M2731" s="6"/>
      <c r="N2731" s="6"/>
      <c r="O2731" s="6"/>
      <c r="Q2731" s="6"/>
    </row>
    <row r="2732" spans="1:17">
      <c r="A2732" s="6"/>
      <c r="B2732" s="6"/>
      <c r="C2732" s="6"/>
      <c r="D2732" s="6"/>
      <c r="E2732" s="6"/>
      <c r="F2732" s="6"/>
      <c r="G2732" s="76"/>
      <c r="H2732" s="76"/>
      <c r="I2732" s="6"/>
      <c r="J2732" s="6"/>
      <c r="K2732" s="6"/>
      <c r="L2732" s="6"/>
      <c r="M2732" s="6"/>
      <c r="N2732" s="6"/>
      <c r="O2732" s="6"/>
      <c r="Q2732" s="6"/>
    </row>
    <row r="2733" spans="1:17">
      <c r="A2733" s="6"/>
      <c r="B2733" s="6"/>
      <c r="C2733" s="6"/>
      <c r="D2733" s="6"/>
      <c r="E2733" s="6"/>
      <c r="F2733" s="6"/>
      <c r="G2733" s="76"/>
      <c r="H2733" s="76"/>
      <c r="I2733" s="6"/>
      <c r="J2733" s="6"/>
      <c r="K2733" s="6"/>
      <c r="L2733" s="6"/>
      <c r="M2733" s="6"/>
      <c r="N2733" s="6"/>
      <c r="O2733" s="6"/>
      <c r="Q2733" s="6"/>
    </row>
    <row r="2734" spans="1:17">
      <c r="A2734" s="6"/>
      <c r="B2734" s="6"/>
      <c r="C2734" s="6"/>
      <c r="D2734" s="6"/>
      <c r="E2734" s="6"/>
      <c r="F2734" s="6"/>
      <c r="G2734" s="76"/>
      <c r="H2734" s="76"/>
      <c r="I2734" s="6"/>
      <c r="J2734" s="6"/>
      <c r="K2734" s="6"/>
      <c r="L2734" s="6"/>
      <c r="M2734" s="6"/>
      <c r="N2734" s="6"/>
      <c r="O2734" s="6"/>
      <c r="Q2734" s="6"/>
    </row>
    <row r="2735" spans="1:17">
      <c r="A2735" s="6"/>
      <c r="B2735" s="6"/>
      <c r="C2735" s="6"/>
      <c r="D2735" s="6"/>
      <c r="E2735" s="6"/>
      <c r="F2735" s="6"/>
      <c r="G2735" s="76"/>
      <c r="H2735" s="76"/>
      <c r="I2735" s="6"/>
      <c r="J2735" s="6"/>
      <c r="K2735" s="6"/>
      <c r="L2735" s="6"/>
      <c r="M2735" s="6"/>
      <c r="N2735" s="6"/>
      <c r="O2735" s="6"/>
      <c r="Q2735" s="6"/>
    </row>
    <row r="2736" spans="1:17">
      <c r="A2736" s="6"/>
      <c r="B2736" s="6"/>
      <c r="C2736" s="6"/>
      <c r="D2736" s="6"/>
      <c r="E2736" s="6"/>
      <c r="F2736" s="6"/>
      <c r="G2736" s="76"/>
      <c r="H2736" s="76"/>
      <c r="I2736" s="6"/>
      <c r="J2736" s="6"/>
      <c r="K2736" s="6"/>
      <c r="L2736" s="6"/>
      <c r="M2736" s="6"/>
      <c r="N2736" s="6"/>
      <c r="O2736" s="6"/>
      <c r="Q2736" s="6"/>
    </row>
    <row r="2737" spans="1:17">
      <c r="A2737" s="6"/>
      <c r="B2737" s="6"/>
      <c r="C2737" s="6"/>
      <c r="D2737" s="6"/>
      <c r="E2737" s="6"/>
      <c r="F2737" s="6"/>
      <c r="G2737" s="76"/>
      <c r="H2737" s="76"/>
      <c r="I2737" s="6"/>
      <c r="J2737" s="6"/>
      <c r="K2737" s="6"/>
      <c r="L2737" s="6"/>
      <c r="M2737" s="6"/>
      <c r="N2737" s="6"/>
      <c r="O2737" s="6"/>
      <c r="Q2737" s="6"/>
    </row>
    <row r="2738" spans="1:17">
      <c r="A2738" s="6"/>
      <c r="B2738" s="6"/>
      <c r="C2738" s="6"/>
      <c r="D2738" s="6"/>
      <c r="E2738" s="6"/>
      <c r="F2738" s="6"/>
      <c r="G2738" s="76"/>
      <c r="H2738" s="76"/>
      <c r="I2738" s="6"/>
      <c r="J2738" s="6"/>
      <c r="K2738" s="6"/>
      <c r="L2738" s="6"/>
      <c r="M2738" s="6"/>
      <c r="N2738" s="6"/>
      <c r="O2738" s="6"/>
      <c r="Q2738" s="6"/>
    </row>
    <row r="2739" spans="1:17">
      <c r="A2739" s="6"/>
      <c r="B2739" s="6"/>
      <c r="C2739" s="6"/>
      <c r="D2739" s="6"/>
      <c r="E2739" s="6"/>
      <c r="F2739" s="6"/>
      <c r="G2739" s="76"/>
      <c r="H2739" s="76"/>
      <c r="I2739" s="6"/>
      <c r="J2739" s="6"/>
      <c r="K2739" s="6"/>
      <c r="L2739" s="6"/>
      <c r="M2739" s="6"/>
      <c r="N2739" s="6"/>
      <c r="O2739" s="6"/>
      <c r="Q2739" s="6"/>
    </row>
    <row r="2740" spans="1:17">
      <c r="A2740" s="6"/>
      <c r="B2740" s="6"/>
      <c r="C2740" s="6"/>
      <c r="D2740" s="6"/>
      <c r="E2740" s="6"/>
      <c r="F2740" s="6"/>
      <c r="G2740" s="76"/>
      <c r="H2740" s="76"/>
      <c r="I2740" s="6"/>
      <c r="J2740" s="6"/>
      <c r="K2740" s="6"/>
      <c r="L2740" s="6"/>
      <c r="M2740" s="6"/>
      <c r="N2740" s="6"/>
      <c r="O2740" s="6"/>
      <c r="Q2740" s="6"/>
    </row>
    <row r="2741" spans="1:17">
      <c r="A2741" s="6"/>
      <c r="B2741" s="6"/>
      <c r="C2741" s="6"/>
      <c r="D2741" s="6"/>
      <c r="E2741" s="6"/>
      <c r="F2741" s="6"/>
      <c r="G2741" s="76"/>
      <c r="H2741" s="76"/>
      <c r="I2741" s="6"/>
      <c r="J2741" s="6"/>
      <c r="K2741" s="6"/>
      <c r="L2741" s="6"/>
      <c r="M2741" s="6"/>
      <c r="N2741" s="6"/>
      <c r="O2741" s="6"/>
      <c r="Q2741" s="6"/>
    </row>
    <row r="2742" spans="1:17">
      <c r="A2742" s="6"/>
      <c r="B2742" s="6"/>
      <c r="C2742" s="6"/>
      <c r="D2742" s="6"/>
      <c r="E2742" s="6"/>
      <c r="F2742" s="6"/>
      <c r="G2742" s="76"/>
      <c r="H2742" s="76"/>
      <c r="I2742" s="6"/>
      <c r="J2742" s="6"/>
      <c r="K2742" s="6"/>
      <c r="L2742" s="6"/>
      <c r="M2742" s="6"/>
      <c r="N2742" s="6"/>
      <c r="O2742" s="6"/>
      <c r="Q2742" s="6"/>
    </row>
    <row r="2743" spans="1:17">
      <c r="A2743" s="6"/>
      <c r="B2743" s="6"/>
      <c r="C2743" s="6"/>
      <c r="D2743" s="6"/>
      <c r="E2743" s="6"/>
      <c r="F2743" s="6"/>
      <c r="G2743" s="76"/>
      <c r="H2743" s="76"/>
      <c r="I2743" s="6"/>
      <c r="J2743" s="6"/>
      <c r="K2743" s="6"/>
      <c r="L2743" s="6"/>
      <c r="M2743" s="6"/>
      <c r="N2743" s="6"/>
      <c r="O2743" s="6"/>
      <c r="Q2743" s="6"/>
    </row>
    <row r="2744" spans="1:17">
      <c r="A2744" s="6"/>
      <c r="B2744" s="6"/>
      <c r="C2744" s="6"/>
      <c r="D2744" s="6"/>
      <c r="E2744" s="6"/>
      <c r="F2744" s="6"/>
      <c r="G2744" s="76"/>
      <c r="H2744" s="76"/>
      <c r="I2744" s="6"/>
      <c r="J2744" s="6"/>
      <c r="K2744" s="6"/>
      <c r="L2744" s="6"/>
      <c r="M2744" s="6"/>
      <c r="N2744" s="6"/>
      <c r="O2744" s="6"/>
      <c r="Q2744" s="6"/>
    </row>
    <row r="2745" spans="1:17">
      <c r="A2745" s="6"/>
      <c r="B2745" s="6"/>
      <c r="C2745" s="6"/>
      <c r="D2745" s="6"/>
      <c r="E2745" s="6"/>
      <c r="F2745" s="6"/>
      <c r="G2745" s="76"/>
      <c r="H2745" s="76"/>
      <c r="I2745" s="6"/>
      <c r="J2745" s="6"/>
      <c r="K2745" s="6"/>
      <c r="L2745" s="6"/>
      <c r="M2745" s="6"/>
      <c r="N2745" s="6"/>
      <c r="O2745" s="6"/>
      <c r="Q2745" s="6"/>
    </row>
    <row r="2746" spans="1:17">
      <c r="A2746" s="6"/>
      <c r="B2746" s="6"/>
      <c r="C2746" s="6"/>
      <c r="D2746" s="6"/>
      <c r="E2746" s="6"/>
      <c r="F2746" s="6"/>
      <c r="G2746" s="76"/>
      <c r="H2746" s="76"/>
      <c r="I2746" s="6"/>
      <c r="J2746" s="6"/>
      <c r="K2746" s="6"/>
      <c r="L2746" s="6"/>
      <c r="M2746" s="6"/>
      <c r="N2746" s="6"/>
      <c r="O2746" s="6"/>
      <c r="Q2746" s="6"/>
    </row>
    <row r="2747" spans="1:17">
      <c r="A2747" s="6"/>
      <c r="B2747" s="6"/>
      <c r="C2747" s="6"/>
      <c r="D2747" s="6"/>
      <c r="E2747" s="6"/>
      <c r="F2747" s="6"/>
      <c r="G2747" s="76"/>
      <c r="H2747" s="76"/>
      <c r="I2747" s="6"/>
      <c r="J2747" s="6"/>
      <c r="K2747" s="6"/>
      <c r="L2747" s="6"/>
      <c r="M2747" s="6"/>
      <c r="N2747" s="6"/>
      <c r="O2747" s="6"/>
      <c r="Q2747" s="6"/>
    </row>
    <row r="2748" spans="1:17">
      <c r="A2748" s="6"/>
      <c r="B2748" s="6"/>
      <c r="C2748" s="6"/>
      <c r="D2748" s="6"/>
      <c r="E2748" s="6"/>
      <c r="F2748" s="6"/>
      <c r="G2748" s="76"/>
      <c r="H2748" s="76"/>
      <c r="I2748" s="6"/>
      <c r="J2748" s="6"/>
      <c r="K2748" s="6"/>
      <c r="L2748" s="6"/>
      <c r="M2748" s="6"/>
      <c r="N2748" s="6"/>
      <c r="O2748" s="6"/>
      <c r="Q2748" s="6"/>
    </row>
    <row r="2749" spans="1:17">
      <c r="A2749" s="6"/>
      <c r="B2749" s="6"/>
      <c r="C2749" s="6"/>
      <c r="D2749" s="6"/>
      <c r="E2749" s="6"/>
      <c r="F2749" s="6"/>
      <c r="G2749" s="76"/>
      <c r="H2749" s="76"/>
      <c r="I2749" s="6"/>
      <c r="J2749" s="6"/>
      <c r="K2749" s="6"/>
      <c r="L2749" s="6"/>
      <c r="M2749" s="6"/>
      <c r="N2749" s="6"/>
      <c r="O2749" s="6"/>
      <c r="Q2749" s="6"/>
    </row>
    <row r="2750" spans="1:17">
      <c r="A2750" s="6"/>
      <c r="B2750" s="6"/>
      <c r="C2750" s="6"/>
      <c r="D2750" s="6"/>
      <c r="E2750" s="6"/>
      <c r="F2750" s="6"/>
      <c r="G2750" s="76"/>
      <c r="H2750" s="76"/>
      <c r="I2750" s="6"/>
      <c r="J2750" s="6"/>
      <c r="K2750" s="6"/>
      <c r="L2750" s="6"/>
      <c r="M2750" s="6"/>
      <c r="N2750" s="6"/>
      <c r="O2750" s="6"/>
      <c r="Q2750" s="6"/>
    </row>
    <row r="2751" spans="1:17">
      <c r="A2751" s="6"/>
      <c r="B2751" s="6"/>
      <c r="C2751" s="6"/>
      <c r="D2751" s="6"/>
      <c r="E2751" s="6"/>
      <c r="F2751" s="6"/>
      <c r="G2751" s="76"/>
      <c r="H2751" s="76"/>
      <c r="I2751" s="6"/>
      <c r="J2751" s="6"/>
      <c r="K2751" s="6"/>
      <c r="L2751" s="6"/>
      <c r="M2751" s="6"/>
      <c r="N2751" s="6"/>
      <c r="O2751" s="6"/>
      <c r="Q2751" s="6"/>
    </row>
    <row r="2752" spans="1:17">
      <c r="A2752" s="6"/>
      <c r="B2752" s="6"/>
      <c r="C2752" s="6"/>
      <c r="D2752" s="6"/>
      <c r="E2752" s="6"/>
      <c r="F2752" s="6"/>
      <c r="G2752" s="76"/>
      <c r="H2752" s="76"/>
      <c r="I2752" s="6"/>
      <c r="J2752" s="6"/>
      <c r="K2752" s="6"/>
      <c r="L2752" s="6"/>
      <c r="M2752" s="6"/>
      <c r="N2752" s="6"/>
      <c r="O2752" s="6"/>
      <c r="Q2752" s="6"/>
    </row>
    <row r="2753" spans="1:17">
      <c r="A2753" s="6"/>
      <c r="B2753" s="6"/>
      <c r="C2753" s="6"/>
      <c r="D2753" s="6"/>
      <c r="E2753" s="6"/>
      <c r="F2753" s="6"/>
      <c r="G2753" s="76"/>
      <c r="H2753" s="76"/>
      <c r="I2753" s="6"/>
      <c r="J2753" s="6"/>
      <c r="K2753" s="6"/>
      <c r="L2753" s="6"/>
      <c r="M2753" s="6"/>
      <c r="N2753" s="6"/>
      <c r="O2753" s="6"/>
      <c r="Q2753" s="6"/>
    </row>
    <row r="2754" spans="1:17">
      <c r="A2754" s="6"/>
      <c r="B2754" s="6"/>
      <c r="C2754" s="6"/>
      <c r="D2754" s="6"/>
      <c r="E2754" s="6"/>
      <c r="F2754" s="6"/>
      <c r="G2754" s="76"/>
      <c r="H2754" s="76"/>
      <c r="I2754" s="6"/>
      <c r="J2754" s="6"/>
      <c r="K2754" s="6"/>
      <c r="L2754" s="6"/>
      <c r="M2754" s="6"/>
      <c r="N2754" s="6"/>
      <c r="O2754" s="6"/>
      <c r="Q2754" s="6"/>
    </row>
    <row r="2755" spans="1:17">
      <c r="A2755" s="6"/>
      <c r="B2755" s="6"/>
      <c r="C2755" s="6"/>
      <c r="D2755" s="6"/>
      <c r="E2755" s="6"/>
      <c r="F2755" s="6"/>
      <c r="G2755" s="76"/>
      <c r="H2755" s="76"/>
      <c r="I2755" s="6"/>
      <c r="J2755" s="6"/>
      <c r="K2755" s="6"/>
      <c r="L2755" s="6"/>
      <c r="M2755" s="6"/>
      <c r="N2755" s="6"/>
      <c r="O2755" s="6"/>
      <c r="Q2755" s="6"/>
    </row>
    <row r="2756" spans="1:17">
      <c r="A2756" s="6"/>
      <c r="B2756" s="6"/>
      <c r="C2756" s="6"/>
      <c r="D2756" s="6"/>
      <c r="E2756" s="6"/>
      <c r="F2756" s="6"/>
      <c r="G2756" s="76"/>
      <c r="H2756" s="76"/>
      <c r="I2756" s="6"/>
      <c r="J2756" s="6"/>
      <c r="K2756" s="6"/>
      <c r="L2756" s="6"/>
      <c r="M2756" s="6"/>
      <c r="N2756" s="6"/>
      <c r="O2756" s="6"/>
      <c r="Q2756" s="6"/>
    </row>
    <row r="2757" spans="1:17">
      <c r="A2757" s="6"/>
      <c r="B2757" s="6"/>
      <c r="C2757" s="6"/>
      <c r="D2757" s="6"/>
      <c r="E2757" s="6"/>
      <c r="F2757" s="6"/>
      <c r="G2757" s="76"/>
      <c r="H2757" s="76"/>
      <c r="I2757" s="6"/>
      <c r="J2757" s="6"/>
      <c r="K2757" s="6"/>
      <c r="L2757" s="6"/>
      <c r="M2757" s="6"/>
      <c r="N2757" s="6"/>
      <c r="O2757" s="6"/>
      <c r="Q2757" s="6"/>
    </row>
    <row r="2758" spans="1:17">
      <c r="A2758" s="6"/>
      <c r="B2758" s="6"/>
      <c r="C2758" s="6"/>
      <c r="D2758" s="6"/>
      <c r="E2758" s="6"/>
      <c r="F2758" s="6"/>
      <c r="G2758" s="76"/>
      <c r="H2758" s="76"/>
      <c r="I2758" s="6"/>
      <c r="J2758" s="6"/>
      <c r="K2758" s="6"/>
      <c r="L2758" s="6"/>
      <c r="M2758" s="6"/>
      <c r="N2758" s="6"/>
      <c r="O2758" s="6"/>
      <c r="Q2758" s="6"/>
    </row>
    <row r="2759" spans="1:17">
      <c r="A2759" s="6"/>
      <c r="B2759" s="6"/>
      <c r="C2759" s="6"/>
      <c r="D2759" s="6"/>
      <c r="E2759" s="6"/>
      <c r="F2759" s="6"/>
      <c r="G2759" s="76"/>
      <c r="H2759" s="76"/>
      <c r="I2759" s="6"/>
      <c r="J2759" s="6"/>
      <c r="K2759" s="6"/>
      <c r="L2759" s="6"/>
      <c r="M2759" s="6"/>
      <c r="N2759" s="6"/>
      <c r="O2759" s="6"/>
      <c r="Q2759" s="6"/>
    </row>
    <row r="2760" spans="1:17">
      <c r="A2760" s="6"/>
      <c r="B2760" s="6"/>
      <c r="C2760" s="6"/>
      <c r="D2760" s="6"/>
      <c r="E2760" s="6"/>
      <c r="F2760" s="6"/>
      <c r="G2760" s="76"/>
      <c r="H2760" s="76"/>
      <c r="I2760" s="6"/>
      <c r="J2760" s="6"/>
      <c r="K2760" s="6"/>
      <c r="L2760" s="6"/>
      <c r="M2760" s="6"/>
      <c r="N2760" s="6"/>
      <c r="O2760" s="6"/>
      <c r="Q2760" s="6"/>
    </row>
    <row r="2761" spans="1:17">
      <c r="A2761" s="6"/>
      <c r="B2761" s="6"/>
      <c r="C2761" s="6"/>
      <c r="D2761" s="6"/>
      <c r="E2761" s="6"/>
      <c r="F2761" s="6"/>
      <c r="G2761" s="76"/>
      <c r="H2761" s="76"/>
      <c r="I2761" s="6"/>
      <c r="J2761" s="6"/>
      <c r="K2761" s="6"/>
      <c r="L2761" s="6"/>
      <c r="M2761" s="6"/>
      <c r="N2761" s="6"/>
      <c r="O2761" s="6"/>
      <c r="Q2761" s="6"/>
    </row>
    <row r="2762" spans="1:17">
      <c r="A2762" s="6"/>
      <c r="B2762" s="6"/>
      <c r="C2762" s="6"/>
      <c r="D2762" s="6"/>
      <c r="E2762" s="6"/>
      <c r="F2762" s="6"/>
      <c r="G2762" s="76"/>
      <c r="H2762" s="76"/>
      <c r="I2762" s="6"/>
      <c r="J2762" s="6"/>
      <c r="K2762" s="6"/>
      <c r="L2762" s="6"/>
      <c r="M2762" s="6"/>
      <c r="N2762" s="6"/>
      <c r="O2762" s="6"/>
      <c r="Q2762" s="6"/>
    </row>
    <row r="2763" spans="1:17">
      <c r="A2763" s="6"/>
      <c r="B2763" s="6"/>
      <c r="C2763" s="6"/>
      <c r="D2763" s="6"/>
      <c r="E2763" s="6"/>
      <c r="F2763" s="6"/>
      <c r="G2763" s="76"/>
      <c r="H2763" s="76"/>
      <c r="I2763" s="6"/>
      <c r="J2763" s="6"/>
      <c r="K2763" s="6"/>
      <c r="L2763" s="6"/>
      <c r="M2763" s="6"/>
      <c r="N2763" s="6"/>
      <c r="O2763" s="6"/>
      <c r="Q2763" s="6"/>
    </row>
    <row r="2764" spans="1:17">
      <c r="A2764" s="6"/>
      <c r="B2764" s="6"/>
      <c r="C2764" s="6"/>
      <c r="D2764" s="6"/>
      <c r="E2764" s="6"/>
      <c r="F2764" s="6"/>
      <c r="G2764" s="76"/>
      <c r="H2764" s="76"/>
      <c r="I2764" s="6"/>
      <c r="J2764" s="6"/>
      <c r="K2764" s="6"/>
      <c r="L2764" s="6"/>
      <c r="M2764" s="6"/>
      <c r="N2764" s="6"/>
      <c r="O2764" s="6"/>
      <c r="Q2764" s="6"/>
    </row>
    <row r="2765" spans="1:17">
      <c r="A2765" s="6"/>
      <c r="B2765" s="6"/>
      <c r="C2765" s="6"/>
      <c r="D2765" s="6"/>
      <c r="E2765" s="6"/>
      <c r="F2765" s="6"/>
      <c r="G2765" s="76"/>
      <c r="H2765" s="76"/>
      <c r="I2765" s="6"/>
      <c r="J2765" s="6"/>
      <c r="K2765" s="6"/>
      <c r="L2765" s="6"/>
      <c r="M2765" s="6"/>
      <c r="N2765" s="6"/>
      <c r="O2765" s="6"/>
      <c r="Q2765" s="6"/>
    </row>
    <row r="2766" spans="1:17">
      <c r="A2766" s="6"/>
      <c r="B2766" s="6"/>
      <c r="C2766" s="6"/>
      <c r="D2766" s="6"/>
      <c r="E2766" s="6"/>
      <c r="F2766" s="6"/>
      <c r="G2766" s="76"/>
      <c r="H2766" s="76"/>
      <c r="I2766" s="6"/>
      <c r="J2766" s="6"/>
      <c r="K2766" s="6"/>
      <c r="L2766" s="6"/>
      <c r="M2766" s="6"/>
      <c r="N2766" s="6"/>
      <c r="O2766" s="6"/>
      <c r="Q2766" s="6"/>
    </row>
    <row r="2767" spans="1:17">
      <c r="A2767" s="6"/>
      <c r="B2767" s="6"/>
      <c r="C2767" s="6"/>
      <c r="D2767" s="6"/>
      <c r="E2767" s="6"/>
      <c r="F2767" s="6"/>
      <c r="G2767" s="76"/>
      <c r="H2767" s="76"/>
      <c r="I2767" s="6"/>
      <c r="J2767" s="6"/>
      <c r="K2767" s="6"/>
      <c r="L2767" s="6"/>
      <c r="M2767" s="6"/>
      <c r="N2767" s="6"/>
      <c r="O2767" s="6"/>
      <c r="Q2767" s="6"/>
    </row>
    <row r="2768" spans="1:17">
      <c r="A2768" s="6"/>
      <c r="B2768" s="6"/>
      <c r="C2768" s="6"/>
      <c r="D2768" s="6"/>
      <c r="E2768" s="6"/>
      <c r="F2768" s="6"/>
      <c r="G2768" s="76"/>
      <c r="H2768" s="76"/>
      <c r="I2768" s="6"/>
      <c r="J2768" s="6"/>
      <c r="K2768" s="6"/>
      <c r="L2768" s="6"/>
      <c r="M2768" s="6"/>
      <c r="N2768" s="6"/>
      <c r="O2768" s="6"/>
      <c r="Q2768" s="6"/>
    </row>
    <row r="2769" spans="1:17">
      <c r="A2769" s="6"/>
      <c r="B2769" s="6"/>
      <c r="C2769" s="6"/>
      <c r="D2769" s="6"/>
      <c r="E2769" s="6"/>
      <c r="F2769" s="6"/>
      <c r="G2769" s="76"/>
      <c r="H2769" s="76"/>
      <c r="I2769" s="6"/>
      <c r="J2769" s="6"/>
      <c r="K2769" s="6"/>
      <c r="L2769" s="6"/>
      <c r="M2769" s="6"/>
      <c r="N2769" s="6"/>
      <c r="O2769" s="6"/>
      <c r="Q2769" s="6"/>
    </row>
    <row r="2770" spans="1:17">
      <c r="A2770" s="6"/>
      <c r="B2770" s="6"/>
      <c r="C2770" s="6"/>
      <c r="D2770" s="6"/>
      <c r="E2770" s="6"/>
      <c r="F2770" s="6"/>
      <c r="G2770" s="76"/>
      <c r="H2770" s="76"/>
      <c r="I2770" s="6"/>
      <c r="J2770" s="6"/>
      <c r="K2770" s="6"/>
      <c r="L2770" s="6"/>
      <c r="M2770" s="6"/>
      <c r="N2770" s="6"/>
      <c r="O2770" s="6"/>
      <c r="Q2770" s="6"/>
    </row>
    <row r="2771" spans="1:17">
      <c r="A2771" s="6"/>
      <c r="B2771" s="6"/>
      <c r="C2771" s="6"/>
      <c r="D2771" s="6"/>
      <c r="E2771" s="6"/>
      <c r="F2771" s="6"/>
      <c r="G2771" s="76"/>
      <c r="H2771" s="76"/>
      <c r="I2771" s="6"/>
      <c r="J2771" s="6"/>
      <c r="K2771" s="6"/>
      <c r="L2771" s="6"/>
      <c r="M2771" s="6"/>
      <c r="N2771" s="6"/>
      <c r="O2771" s="6"/>
      <c r="Q2771" s="6"/>
    </row>
    <row r="2772" spans="1:17">
      <c r="A2772" s="6"/>
      <c r="B2772" s="6"/>
      <c r="C2772" s="6"/>
      <c r="D2772" s="6"/>
      <c r="E2772" s="6"/>
      <c r="F2772" s="6"/>
      <c r="G2772" s="76"/>
      <c r="H2772" s="76"/>
      <c r="I2772" s="6"/>
      <c r="J2772" s="6"/>
      <c r="K2772" s="6"/>
      <c r="L2772" s="6"/>
      <c r="M2772" s="6"/>
      <c r="N2772" s="6"/>
      <c r="O2772" s="6"/>
      <c r="Q2772" s="6"/>
    </row>
    <row r="2773" spans="1:17">
      <c r="A2773" s="6"/>
      <c r="B2773" s="6"/>
      <c r="C2773" s="6"/>
      <c r="D2773" s="6"/>
      <c r="E2773" s="6"/>
      <c r="F2773" s="6"/>
      <c r="G2773" s="76"/>
      <c r="H2773" s="76"/>
      <c r="I2773" s="6"/>
      <c r="J2773" s="6"/>
      <c r="K2773" s="6"/>
      <c r="L2773" s="6"/>
      <c r="M2773" s="6"/>
      <c r="N2773" s="6"/>
      <c r="O2773" s="6"/>
      <c r="Q2773" s="6"/>
    </row>
    <row r="2774" spans="1:17">
      <c r="A2774" s="6"/>
      <c r="B2774" s="6"/>
      <c r="C2774" s="6"/>
      <c r="D2774" s="6"/>
      <c r="E2774" s="6"/>
      <c r="F2774" s="6"/>
      <c r="G2774" s="76"/>
      <c r="H2774" s="76"/>
      <c r="I2774" s="6"/>
      <c r="J2774" s="6"/>
      <c r="K2774" s="6"/>
      <c r="L2774" s="6"/>
      <c r="M2774" s="6"/>
      <c r="N2774" s="6"/>
      <c r="O2774" s="6"/>
      <c r="Q2774" s="6"/>
    </row>
    <row r="2775" spans="1:17">
      <c r="A2775" s="6"/>
      <c r="B2775" s="6"/>
      <c r="C2775" s="6"/>
      <c r="D2775" s="6"/>
      <c r="E2775" s="6"/>
      <c r="F2775" s="6"/>
      <c r="G2775" s="76"/>
      <c r="H2775" s="76"/>
      <c r="I2775" s="6"/>
      <c r="J2775" s="6"/>
      <c r="K2775" s="6"/>
      <c r="L2775" s="6"/>
      <c r="M2775" s="6"/>
      <c r="N2775" s="6"/>
      <c r="O2775" s="6"/>
      <c r="Q2775" s="6"/>
    </row>
    <row r="2776" spans="1:17">
      <c r="A2776" s="6"/>
      <c r="B2776" s="6"/>
      <c r="C2776" s="6"/>
      <c r="D2776" s="6"/>
      <c r="E2776" s="6"/>
      <c r="F2776" s="6"/>
      <c r="G2776" s="76"/>
      <c r="H2776" s="76"/>
      <c r="I2776" s="6"/>
      <c r="J2776" s="6"/>
      <c r="K2776" s="6"/>
      <c r="L2776" s="6"/>
      <c r="M2776" s="6"/>
      <c r="N2776" s="6"/>
      <c r="O2776" s="6"/>
      <c r="Q2776" s="6"/>
    </row>
    <row r="2777" spans="1:17">
      <c r="A2777" s="6"/>
      <c r="B2777" s="6"/>
      <c r="C2777" s="6"/>
      <c r="D2777" s="6"/>
      <c r="E2777" s="6"/>
      <c r="F2777" s="6"/>
      <c r="G2777" s="76"/>
      <c r="H2777" s="76"/>
      <c r="I2777" s="6"/>
      <c r="J2777" s="6"/>
      <c r="K2777" s="6"/>
      <c r="L2777" s="6"/>
      <c r="M2777" s="6"/>
      <c r="N2777" s="6"/>
      <c r="O2777" s="6"/>
      <c r="Q2777" s="6"/>
    </row>
    <row r="2778" spans="1:17">
      <c r="A2778" s="6"/>
      <c r="B2778" s="6"/>
      <c r="C2778" s="6"/>
      <c r="D2778" s="6"/>
      <c r="E2778" s="6"/>
      <c r="F2778" s="6"/>
      <c r="G2778" s="76"/>
      <c r="H2778" s="76"/>
      <c r="I2778" s="6"/>
      <c r="J2778" s="6"/>
      <c r="K2778" s="6"/>
      <c r="L2778" s="6"/>
      <c r="M2778" s="6"/>
      <c r="N2778" s="6"/>
      <c r="O2778" s="6"/>
      <c r="Q2778" s="6"/>
    </row>
    <row r="2779" spans="1:17">
      <c r="A2779" s="6"/>
      <c r="B2779" s="6"/>
      <c r="C2779" s="6"/>
      <c r="D2779" s="6"/>
      <c r="E2779" s="6"/>
      <c r="F2779" s="6"/>
      <c r="G2779" s="76"/>
      <c r="H2779" s="76"/>
      <c r="I2779" s="6"/>
      <c r="J2779" s="6"/>
      <c r="K2779" s="6"/>
      <c r="L2779" s="6"/>
      <c r="M2779" s="6"/>
      <c r="N2779" s="6"/>
      <c r="O2779" s="6"/>
      <c r="Q2779" s="6"/>
    </row>
    <row r="2780" spans="1:17">
      <c r="A2780" s="6"/>
      <c r="B2780" s="6"/>
      <c r="C2780" s="6"/>
      <c r="D2780" s="6"/>
      <c r="E2780" s="6"/>
      <c r="F2780" s="6"/>
      <c r="G2780" s="76"/>
      <c r="H2780" s="76"/>
      <c r="I2780" s="6"/>
      <c r="J2780" s="6"/>
      <c r="K2780" s="6"/>
      <c r="L2780" s="6"/>
      <c r="M2780" s="6"/>
      <c r="N2780" s="6"/>
      <c r="O2780" s="6"/>
      <c r="Q2780" s="6"/>
    </row>
    <row r="2781" spans="1:17">
      <c r="A2781" s="6"/>
      <c r="B2781" s="6"/>
      <c r="C2781" s="6"/>
      <c r="D2781" s="6"/>
      <c r="E2781" s="6"/>
      <c r="F2781" s="6"/>
      <c r="G2781" s="76"/>
      <c r="H2781" s="76"/>
      <c r="I2781" s="6"/>
      <c r="J2781" s="6"/>
      <c r="K2781" s="6"/>
      <c r="L2781" s="6"/>
      <c r="M2781" s="6"/>
      <c r="N2781" s="6"/>
      <c r="O2781" s="6"/>
      <c r="Q2781" s="6"/>
    </row>
    <row r="2782" spans="1:17">
      <c r="A2782" s="6"/>
      <c r="B2782" s="6"/>
      <c r="C2782" s="6"/>
      <c r="D2782" s="6"/>
      <c r="E2782" s="6"/>
      <c r="F2782" s="6"/>
      <c r="G2782" s="76"/>
      <c r="H2782" s="76"/>
      <c r="I2782" s="6"/>
      <c r="J2782" s="6"/>
      <c r="K2782" s="6"/>
      <c r="L2782" s="6"/>
      <c r="M2782" s="6"/>
      <c r="N2782" s="6"/>
      <c r="O2782" s="6"/>
      <c r="Q2782" s="6"/>
    </row>
    <row r="2783" spans="1:17">
      <c r="A2783" s="6"/>
      <c r="B2783" s="6"/>
      <c r="C2783" s="6"/>
      <c r="D2783" s="6"/>
      <c r="E2783" s="6"/>
      <c r="F2783" s="6"/>
      <c r="G2783" s="76"/>
      <c r="H2783" s="76"/>
      <c r="I2783" s="6"/>
      <c r="J2783" s="6"/>
      <c r="K2783" s="6"/>
      <c r="L2783" s="6"/>
      <c r="M2783" s="6"/>
      <c r="N2783" s="6"/>
      <c r="O2783" s="6"/>
      <c r="Q2783" s="6"/>
    </row>
    <row r="2784" spans="1:17">
      <c r="A2784" s="6"/>
      <c r="B2784" s="6"/>
      <c r="C2784" s="6"/>
      <c r="D2784" s="6"/>
      <c r="E2784" s="6"/>
      <c r="F2784" s="6"/>
      <c r="G2784" s="76"/>
      <c r="H2784" s="76"/>
      <c r="I2784" s="6"/>
      <c r="J2784" s="6"/>
      <c r="K2784" s="6"/>
      <c r="L2784" s="6"/>
      <c r="M2784" s="6"/>
      <c r="N2784" s="6"/>
      <c r="O2784" s="6"/>
      <c r="Q2784" s="6"/>
    </row>
    <row r="2785" spans="1:17">
      <c r="A2785" s="6"/>
      <c r="B2785" s="6"/>
      <c r="C2785" s="6"/>
      <c r="D2785" s="6"/>
      <c r="E2785" s="6"/>
      <c r="F2785" s="6"/>
      <c r="G2785" s="76"/>
      <c r="H2785" s="76"/>
      <c r="I2785" s="6"/>
      <c r="J2785" s="6"/>
      <c r="K2785" s="6"/>
      <c r="L2785" s="6"/>
      <c r="M2785" s="6"/>
      <c r="N2785" s="6"/>
      <c r="O2785" s="6"/>
      <c r="Q2785" s="6"/>
    </row>
    <row r="2786" spans="1:17">
      <c r="A2786" s="6"/>
      <c r="B2786" s="6"/>
      <c r="C2786" s="6"/>
      <c r="D2786" s="6"/>
      <c r="E2786" s="6"/>
      <c r="F2786" s="6"/>
      <c r="G2786" s="76"/>
      <c r="H2786" s="76"/>
      <c r="I2786" s="6"/>
      <c r="J2786" s="6"/>
      <c r="K2786" s="6"/>
      <c r="L2786" s="6"/>
      <c r="M2786" s="6"/>
      <c r="N2786" s="6"/>
      <c r="O2786" s="6"/>
      <c r="Q2786" s="6"/>
    </row>
    <row r="2787" spans="1:17">
      <c r="A2787" s="6"/>
      <c r="B2787" s="6"/>
      <c r="C2787" s="6"/>
      <c r="D2787" s="6"/>
      <c r="E2787" s="6"/>
      <c r="F2787" s="6"/>
      <c r="G2787" s="76"/>
      <c r="H2787" s="76"/>
      <c r="I2787" s="6"/>
      <c r="J2787" s="6"/>
      <c r="K2787" s="6"/>
      <c r="L2787" s="6"/>
      <c r="M2787" s="6"/>
      <c r="N2787" s="6"/>
      <c r="O2787" s="6"/>
      <c r="Q2787" s="6"/>
    </row>
    <row r="2788" spans="1:17">
      <c r="A2788" s="6"/>
      <c r="B2788" s="6"/>
      <c r="C2788" s="6"/>
      <c r="D2788" s="6"/>
      <c r="E2788" s="6"/>
      <c r="F2788" s="6"/>
      <c r="G2788" s="76"/>
      <c r="H2788" s="76"/>
      <c r="I2788" s="6"/>
      <c r="J2788" s="6"/>
      <c r="K2788" s="6"/>
      <c r="L2788" s="6"/>
      <c r="M2788" s="6"/>
      <c r="N2788" s="6"/>
      <c r="O2788" s="6"/>
      <c r="Q2788" s="6"/>
    </row>
    <row r="2789" spans="1:17">
      <c r="A2789" s="6"/>
      <c r="B2789" s="6"/>
      <c r="C2789" s="6"/>
      <c r="D2789" s="6"/>
      <c r="E2789" s="6"/>
      <c r="F2789" s="6"/>
      <c r="G2789" s="76"/>
      <c r="H2789" s="76"/>
      <c r="I2789" s="6"/>
      <c r="J2789" s="6"/>
      <c r="K2789" s="6"/>
      <c r="L2789" s="6"/>
      <c r="M2789" s="6"/>
      <c r="N2789" s="6"/>
      <c r="O2789" s="6"/>
      <c r="Q2789" s="6"/>
    </row>
    <row r="2790" spans="1:17">
      <c r="A2790" s="6"/>
      <c r="B2790" s="6"/>
      <c r="C2790" s="6"/>
      <c r="D2790" s="6"/>
      <c r="E2790" s="6"/>
      <c r="F2790" s="6"/>
      <c r="G2790" s="76"/>
      <c r="H2790" s="76"/>
      <c r="I2790" s="6"/>
      <c r="J2790" s="6"/>
      <c r="K2790" s="6"/>
      <c r="L2790" s="6"/>
      <c r="M2790" s="6"/>
      <c r="N2790" s="6"/>
      <c r="O2790" s="6"/>
      <c r="Q2790" s="6"/>
    </row>
    <row r="2791" spans="1:17">
      <c r="A2791" s="6"/>
      <c r="B2791" s="6"/>
      <c r="C2791" s="6"/>
      <c r="D2791" s="6"/>
      <c r="E2791" s="6"/>
      <c r="F2791" s="6"/>
      <c r="G2791" s="76"/>
      <c r="H2791" s="76"/>
      <c r="I2791" s="6"/>
      <c r="J2791" s="6"/>
      <c r="K2791" s="6"/>
      <c r="L2791" s="6"/>
      <c r="M2791" s="6"/>
      <c r="N2791" s="6"/>
      <c r="O2791" s="6"/>
      <c r="Q2791" s="6"/>
    </row>
    <row r="2792" spans="1:17">
      <c r="A2792" s="6"/>
      <c r="B2792" s="6"/>
      <c r="C2792" s="6"/>
      <c r="D2792" s="6"/>
      <c r="E2792" s="6"/>
      <c r="F2792" s="6"/>
      <c r="G2792" s="76"/>
      <c r="H2792" s="76"/>
      <c r="I2792" s="6"/>
      <c r="J2792" s="6"/>
      <c r="K2792" s="6"/>
      <c r="L2792" s="6"/>
      <c r="M2792" s="6"/>
      <c r="N2792" s="6"/>
      <c r="O2792" s="6"/>
      <c r="Q2792" s="6"/>
    </row>
    <row r="2793" spans="1:17">
      <c r="A2793" s="6"/>
      <c r="B2793" s="6"/>
      <c r="C2793" s="6"/>
      <c r="D2793" s="6"/>
      <c r="E2793" s="6"/>
      <c r="F2793" s="6"/>
      <c r="G2793" s="76"/>
      <c r="H2793" s="76"/>
      <c r="I2793" s="6"/>
      <c r="J2793" s="6"/>
      <c r="K2793" s="6"/>
      <c r="L2793" s="6"/>
      <c r="M2793" s="6"/>
      <c r="N2793" s="6"/>
      <c r="O2793" s="6"/>
      <c r="Q2793" s="6"/>
    </row>
    <row r="2794" spans="1:17">
      <c r="A2794" s="6"/>
      <c r="B2794" s="6"/>
      <c r="C2794" s="6"/>
      <c r="D2794" s="6"/>
      <c r="E2794" s="6"/>
      <c r="F2794" s="6"/>
      <c r="G2794" s="76"/>
      <c r="H2794" s="76"/>
      <c r="I2794" s="6"/>
      <c r="J2794" s="6"/>
      <c r="K2794" s="6"/>
      <c r="L2794" s="6"/>
      <c r="M2794" s="6"/>
      <c r="N2794" s="6"/>
      <c r="O2794" s="6"/>
      <c r="Q2794" s="6"/>
    </row>
    <row r="2795" spans="1:17">
      <c r="A2795" s="6"/>
      <c r="B2795" s="6"/>
      <c r="C2795" s="6"/>
      <c r="D2795" s="6"/>
      <c r="E2795" s="6"/>
      <c r="F2795" s="6"/>
      <c r="G2795" s="76"/>
      <c r="H2795" s="76"/>
      <c r="I2795" s="6"/>
      <c r="J2795" s="6"/>
      <c r="K2795" s="6"/>
      <c r="L2795" s="6"/>
      <c r="M2795" s="6"/>
      <c r="N2795" s="6"/>
      <c r="O2795" s="6"/>
      <c r="Q2795" s="6"/>
    </row>
    <row r="2796" spans="1:17">
      <c r="A2796" s="6"/>
      <c r="B2796" s="6"/>
      <c r="C2796" s="6"/>
      <c r="D2796" s="6"/>
      <c r="E2796" s="6"/>
      <c r="F2796" s="6"/>
      <c r="G2796" s="76"/>
      <c r="H2796" s="76"/>
      <c r="I2796" s="6"/>
      <c r="J2796" s="6"/>
      <c r="K2796" s="6"/>
      <c r="L2796" s="6"/>
      <c r="M2796" s="6"/>
      <c r="N2796" s="6"/>
      <c r="O2796" s="6"/>
      <c r="Q2796" s="6"/>
    </row>
    <row r="2797" spans="1:17">
      <c r="A2797" s="6"/>
      <c r="B2797" s="6"/>
      <c r="C2797" s="6"/>
      <c r="D2797" s="6"/>
      <c r="E2797" s="6"/>
      <c r="F2797" s="6"/>
      <c r="G2797" s="76"/>
      <c r="H2797" s="76"/>
      <c r="I2797" s="6"/>
      <c r="J2797" s="6"/>
      <c r="K2797" s="6"/>
      <c r="L2797" s="6"/>
      <c r="M2797" s="6"/>
      <c r="N2797" s="6"/>
      <c r="O2797" s="6"/>
      <c r="Q2797" s="6"/>
    </row>
    <row r="2798" spans="1:17">
      <c r="A2798" s="6"/>
      <c r="B2798" s="6"/>
      <c r="C2798" s="6"/>
      <c r="D2798" s="6"/>
      <c r="E2798" s="6"/>
      <c r="F2798" s="6"/>
      <c r="G2798" s="76"/>
      <c r="H2798" s="76"/>
      <c r="I2798" s="6"/>
      <c r="J2798" s="6"/>
      <c r="K2798" s="6"/>
      <c r="L2798" s="6"/>
      <c r="M2798" s="6"/>
      <c r="N2798" s="6"/>
      <c r="O2798" s="6"/>
      <c r="Q2798" s="6"/>
    </row>
    <row r="2799" spans="1:17">
      <c r="A2799" s="6"/>
      <c r="B2799" s="6"/>
      <c r="C2799" s="6"/>
      <c r="D2799" s="6"/>
      <c r="E2799" s="6"/>
      <c r="F2799" s="6"/>
      <c r="G2799" s="76"/>
      <c r="H2799" s="76"/>
      <c r="I2799" s="6"/>
      <c r="J2799" s="6"/>
      <c r="K2799" s="6"/>
      <c r="L2799" s="6"/>
      <c r="M2799" s="6"/>
      <c r="N2799" s="6"/>
      <c r="O2799" s="6"/>
      <c r="Q2799" s="6"/>
    </row>
    <row r="2800" spans="1:17">
      <c r="A2800" s="6"/>
      <c r="B2800" s="6"/>
      <c r="C2800" s="6"/>
      <c r="D2800" s="6"/>
      <c r="E2800" s="6"/>
      <c r="F2800" s="6"/>
      <c r="G2800" s="76"/>
      <c r="H2800" s="76"/>
      <c r="I2800" s="6"/>
      <c r="J2800" s="6"/>
      <c r="K2800" s="6"/>
      <c r="L2800" s="6"/>
      <c r="M2800" s="6"/>
      <c r="N2800" s="6"/>
      <c r="O2800" s="6"/>
      <c r="Q2800" s="6"/>
    </row>
    <row r="2801" spans="1:17">
      <c r="A2801" s="6"/>
      <c r="B2801" s="6"/>
      <c r="C2801" s="6"/>
      <c r="D2801" s="6"/>
      <c r="E2801" s="6"/>
      <c r="F2801" s="6"/>
      <c r="G2801" s="76"/>
      <c r="H2801" s="76"/>
      <c r="I2801" s="6"/>
      <c r="J2801" s="6"/>
      <c r="K2801" s="6"/>
      <c r="L2801" s="6"/>
      <c r="M2801" s="6"/>
      <c r="N2801" s="6"/>
      <c r="O2801" s="6"/>
      <c r="Q2801" s="6"/>
    </row>
    <row r="2802" spans="1:17">
      <c r="A2802" s="6"/>
      <c r="B2802" s="6"/>
      <c r="C2802" s="6"/>
      <c r="D2802" s="6"/>
      <c r="E2802" s="6"/>
      <c r="F2802" s="6"/>
      <c r="G2802" s="76"/>
      <c r="H2802" s="76"/>
      <c r="I2802" s="6"/>
      <c r="J2802" s="6"/>
      <c r="K2802" s="6"/>
      <c r="L2802" s="6"/>
      <c r="M2802" s="6"/>
      <c r="N2802" s="6"/>
      <c r="O2802" s="6"/>
      <c r="Q2802" s="6"/>
    </row>
    <row r="2803" spans="1:17">
      <c r="A2803" s="6"/>
      <c r="B2803" s="6"/>
      <c r="C2803" s="6"/>
      <c r="D2803" s="6"/>
      <c r="E2803" s="6"/>
      <c r="F2803" s="6"/>
      <c r="G2803" s="76"/>
      <c r="H2803" s="76"/>
      <c r="I2803" s="6"/>
      <c r="J2803" s="6"/>
      <c r="K2803" s="6"/>
      <c r="L2803" s="6"/>
      <c r="M2803" s="6"/>
      <c r="N2803" s="6"/>
      <c r="O2803" s="6"/>
      <c r="Q2803" s="6"/>
    </row>
    <row r="2804" spans="1:17">
      <c r="A2804" s="6"/>
      <c r="B2804" s="6"/>
      <c r="C2804" s="6"/>
      <c r="D2804" s="6"/>
      <c r="E2804" s="6"/>
      <c r="F2804" s="6"/>
      <c r="G2804" s="76"/>
      <c r="H2804" s="76"/>
      <c r="I2804" s="6"/>
      <c r="J2804" s="6"/>
      <c r="K2804" s="6"/>
      <c r="L2804" s="6"/>
      <c r="M2804" s="6"/>
      <c r="N2804" s="6"/>
      <c r="O2804" s="6"/>
      <c r="Q2804" s="6"/>
    </row>
    <row r="2805" spans="1:17">
      <c r="A2805" s="6"/>
      <c r="B2805" s="6"/>
      <c r="C2805" s="6"/>
      <c r="D2805" s="6"/>
      <c r="E2805" s="6"/>
      <c r="F2805" s="6"/>
      <c r="G2805" s="76"/>
      <c r="H2805" s="76"/>
      <c r="I2805" s="6"/>
      <c r="J2805" s="6"/>
      <c r="K2805" s="6"/>
      <c r="L2805" s="6"/>
      <c r="M2805" s="6"/>
      <c r="N2805" s="6"/>
      <c r="O2805" s="6"/>
      <c r="Q2805" s="6"/>
    </row>
    <row r="2806" spans="1:17">
      <c r="A2806" s="6"/>
      <c r="B2806" s="6"/>
      <c r="C2806" s="6"/>
      <c r="D2806" s="6"/>
      <c r="E2806" s="6"/>
      <c r="F2806" s="6"/>
      <c r="G2806" s="76"/>
      <c r="H2806" s="76"/>
      <c r="I2806" s="6"/>
      <c r="J2806" s="6"/>
      <c r="K2806" s="6"/>
      <c r="L2806" s="6"/>
      <c r="M2806" s="6"/>
      <c r="N2806" s="6"/>
      <c r="O2806" s="6"/>
      <c r="Q2806" s="6"/>
    </row>
    <row r="2807" spans="1:17">
      <c r="A2807" s="6"/>
      <c r="B2807" s="6"/>
      <c r="C2807" s="6"/>
      <c r="D2807" s="6"/>
      <c r="E2807" s="6"/>
      <c r="F2807" s="6"/>
      <c r="G2807" s="76"/>
      <c r="H2807" s="76"/>
      <c r="I2807" s="6"/>
      <c r="J2807" s="6"/>
      <c r="K2807" s="6"/>
      <c r="L2807" s="6"/>
      <c r="M2807" s="6"/>
      <c r="N2807" s="6"/>
      <c r="O2807" s="6"/>
      <c r="Q2807" s="6"/>
    </row>
    <row r="2808" spans="1:17">
      <c r="A2808" s="6"/>
      <c r="B2808" s="6"/>
      <c r="C2808" s="6"/>
      <c r="D2808" s="6"/>
      <c r="E2808" s="6"/>
      <c r="F2808" s="6"/>
      <c r="G2808" s="76"/>
      <c r="H2808" s="76"/>
      <c r="I2808" s="6"/>
      <c r="J2808" s="6"/>
      <c r="K2808" s="6"/>
      <c r="L2808" s="6"/>
      <c r="M2808" s="6"/>
      <c r="N2808" s="6"/>
      <c r="O2808" s="6"/>
      <c r="Q2808" s="6"/>
    </row>
    <row r="2809" spans="1:17">
      <c r="A2809" s="6"/>
      <c r="B2809" s="6"/>
      <c r="C2809" s="6"/>
      <c r="D2809" s="6"/>
      <c r="E2809" s="6"/>
      <c r="F2809" s="6"/>
      <c r="G2809" s="76"/>
      <c r="H2809" s="76"/>
      <c r="I2809" s="6"/>
      <c r="J2809" s="6"/>
      <c r="K2809" s="6"/>
      <c r="L2809" s="6"/>
      <c r="M2809" s="6"/>
      <c r="N2809" s="6"/>
      <c r="O2809" s="6"/>
      <c r="Q2809" s="6"/>
    </row>
    <row r="2810" spans="1:17">
      <c r="A2810" s="6"/>
      <c r="B2810" s="6"/>
      <c r="C2810" s="6"/>
      <c r="D2810" s="6"/>
      <c r="E2810" s="6"/>
      <c r="F2810" s="6"/>
      <c r="G2810" s="76"/>
      <c r="H2810" s="76"/>
      <c r="I2810" s="6"/>
      <c r="J2810" s="6"/>
      <c r="K2810" s="6"/>
      <c r="L2810" s="6"/>
      <c r="M2810" s="6"/>
      <c r="N2810" s="6"/>
      <c r="O2810" s="6"/>
      <c r="Q2810" s="6"/>
    </row>
    <row r="2811" spans="1:17">
      <c r="A2811" s="6"/>
      <c r="B2811" s="6"/>
      <c r="C2811" s="6"/>
      <c r="D2811" s="6"/>
      <c r="E2811" s="6"/>
      <c r="F2811" s="6"/>
      <c r="G2811" s="76"/>
      <c r="H2811" s="76"/>
      <c r="I2811" s="6"/>
      <c r="J2811" s="6"/>
      <c r="K2811" s="6"/>
      <c r="L2811" s="6"/>
      <c r="M2811" s="6"/>
      <c r="N2811" s="6"/>
      <c r="O2811" s="6"/>
      <c r="Q2811" s="6"/>
    </row>
    <row r="2812" spans="1:17">
      <c r="A2812" s="6"/>
      <c r="B2812" s="6"/>
      <c r="C2812" s="6"/>
      <c r="D2812" s="6"/>
      <c r="E2812" s="6"/>
      <c r="F2812" s="6"/>
      <c r="G2812" s="76"/>
      <c r="H2812" s="76"/>
      <c r="I2812" s="6"/>
      <c r="J2812" s="6"/>
      <c r="K2812" s="6"/>
      <c r="L2812" s="6"/>
      <c r="M2812" s="6"/>
      <c r="N2812" s="6"/>
      <c r="O2812" s="6"/>
      <c r="Q2812" s="6"/>
    </row>
    <row r="2813" spans="1:17">
      <c r="A2813" s="6"/>
      <c r="B2813" s="6"/>
      <c r="C2813" s="6"/>
      <c r="D2813" s="6"/>
      <c r="E2813" s="6"/>
      <c r="F2813" s="6"/>
      <c r="G2813" s="76"/>
      <c r="H2813" s="76"/>
      <c r="I2813" s="6"/>
      <c r="J2813" s="6"/>
      <c r="K2813" s="6"/>
      <c r="L2813" s="6"/>
      <c r="M2813" s="6"/>
      <c r="N2813" s="6"/>
      <c r="O2813" s="6"/>
      <c r="Q2813" s="6"/>
    </row>
    <row r="2814" spans="1:17">
      <c r="A2814" s="6"/>
      <c r="B2814" s="6"/>
      <c r="C2814" s="6"/>
      <c r="D2814" s="6"/>
      <c r="E2814" s="6"/>
      <c r="F2814" s="6"/>
      <c r="G2814" s="76"/>
      <c r="H2814" s="76"/>
      <c r="I2814" s="6"/>
      <c r="J2814" s="6"/>
      <c r="K2814" s="6"/>
      <c r="L2814" s="6"/>
      <c r="M2814" s="6"/>
      <c r="N2814" s="6"/>
      <c r="O2814" s="6"/>
      <c r="Q2814" s="6"/>
    </row>
    <row r="2815" spans="1:17">
      <c r="A2815" s="6"/>
      <c r="B2815" s="6"/>
      <c r="C2815" s="6"/>
      <c r="D2815" s="6"/>
      <c r="E2815" s="6"/>
      <c r="F2815" s="6"/>
      <c r="G2815" s="76"/>
      <c r="H2815" s="76"/>
      <c r="I2815" s="6"/>
      <c r="J2815" s="6"/>
      <c r="K2815" s="6"/>
      <c r="L2815" s="6"/>
      <c r="M2815" s="6"/>
      <c r="N2815" s="6"/>
      <c r="O2815" s="6"/>
      <c r="Q2815" s="6"/>
    </row>
    <row r="2816" spans="1:17">
      <c r="A2816" s="6"/>
      <c r="B2816" s="6"/>
      <c r="C2816" s="6"/>
      <c r="D2816" s="6"/>
      <c r="E2816" s="6"/>
      <c r="F2816" s="6"/>
      <c r="G2816" s="76"/>
      <c r="H2816" s="76"/>
      <c r="I2816" s="6"/>
      <c r="J2816" s="6"/>
      <c r="K2816" s="6"/>
      <c r="L2816" s="6"/>
      <c r="M2816" s="6"/>
      <c r="N2816" s="6"/>
      <c r="O2816" s="6"/>
      <c r="Q2816" s="6"/>
    </row>
    <row r="2817" spans="1:17">
      <c r="A2817" s="6"/>
      <c r="B2817" s="6"/>
      <c r="C2817" s="6"/>
      <c r="D2817" s="6"/>
      <c r="E2817" s="6"/>
      <c r="F2817" s="6"/>
      <c r="G2817" s="76"/>
      <c r="H2817" s="76"/>
      <c r="I2817" s="6"/>
      <c r="J2817" s="6"/>
      <c r="K2817" s="6"/>
      <c r="L2817" s="6"/>
      <c r="M2817" s="6"/>
      <c r="N2817" s="6"/>
      <c r="O2817" s="6"/>
      <c r="Q2817" s="6"/>
    </row>
    <row r="2818" spans="1:17">
      <c r="A2818" s="6"/>
      <c r="B2818" s="6"/>
      <c r="C2818" s="6"/>
      <c r="D2818" s="6"/>
      <c r="E2818" s="6"/>
      <c r="F2818" s="6"/>
      <c r="G2818" s="76"/>
      <c r="H2818" s="76"/>
      <c r="I2818" s="6"/>
      <c r="J2818" s="6"/>
      <c r="K2818" s="6"/>
      <c r="L2818" s="6"/>
      <c r="M2818" s="6"/>
      <c r="N2818" s="6"/>
      <c r="O2818" s="6"/>
      <c r="Q2818" s="6"/>
    </row>
    <row r="2819" spans="1:17">
      <c r="A2819" s="6"/>
      <c r="B2819" s="6"/>
      <c r="C2819" s="6"/>
      <c r="D2819" s="6"/>
      <c r="E2819" s="6"/>
      <c r="F2819" s="6"/>
      <c r="G2819" s="76"/>
      <c r="H2819" s="76"/>
      <c r="I2819" s="6"/>
      <c r="J2819" s="6"/>
      <c r="K2819" s="6"/>
      <c r="L2819" s="6"/>
      <c r="M2819" s="6"/>
      <c r="N2819" s="6"/>
      <c r="O2819" s="6"/>
      <c r="Q2819" s="6"/>
    </row>
    <row r="2820" spans="1:17">
      <c r="A2820" s="6"/>
      <c r="B2820" s="6"/>
      <c r="C2820" s="6"/>
      <c r="D2820" s="6"/>
      <c r="E2820" s="6"/>
      <c r="F2820" s="6"/>
      <c r="G2820" s="76"/>
      <c r="H2820" s="76"/>
      <c r="I2820" s="6"/>
      <c r="J2820" s="6"/>
      <c r="K2820" s="6"/>
      <c r="L2820" s="6"/>
      <c r="M2820" s="6"/>
      <c r="N2820" s="6"/>
      <c r="O2820" s="6"/>
      <c r="Q2820" s="6"/>
    </row>
    <row r="2821" spans="1:17">
      <c r="A2821" s="6"/>
      <c r="B2821" s="6"/>
      <c r="C2821" s="6"/>
      <c r="D2821" s="6"/>
      <c r="E2821" s="6"/>
      <c r="F2821" s="6"/>
      <c r="G2821" s="76"/>
      <c r="H2821" s="76"/>
      <c r="I2821" s="6"/>
      <c r="J2821" s="6"/>
      <c r="K2821" s="6"/>
      <c r="L2821" s="6"/>
      <c r="M2821" s="6"/>
      <c r="N2821" s="6"/>
      <c r="O2821" s="6"/>
      <c r="Q2821" s="6"/>
    </row>
    <row r="2822" spans="1:17">
      <c r="A2822" s="6"/>
      <c r="B2822" s="6"/>
      <c r="C2822" s="6"/>
      <c r="D2822" s="6"/>
      <c r="E2822" s="6"/>
      <c r="F2822" s="6"/>
      <c r="G2822" s="76"/>
      <c r="H2822" s="76"/>
      <c r="I2822" s="6"/>
      <c r="J2822" s="6"/>
      <c r="K2822" s="6"/>
      <c r="L2822" s="6"/>
      <c r="M2822" s="6"/>
      <c r="N2822" s="6"/>
      <c r="O2822" s="6"/>
      <c r="Q2822" s="6"/>
    </row>
    <row r="2823" spans="1:17">
      <c r="A2823" s="6"/>
      <c r="B2823" s="6"/>
      <c r="C2823" s="6"/>
      <c r="D2823" s="6"/>
      <c r="E2823" s="6"/>
      <c r="F2823" s="6"/>
      <c r="G2823" s="76"/>
      <c r="H2823" s="76"/>
      <c r="I2823" s="6"/>
      <c r="J2823" s="6"/>
      <c r="K2823" s="6"/>
      <c r="L2823" s="6"/>
      <c r="M2823" s="6"/>
      <c r="N2823" s="6"/>
      <c r="O2823" s="6"/>
      <c r="Q2823" s="6"/>
    </row>
    <row r="2824" spans="1:17">
      <c r="A2824" s="6"/>
      <c r="B2824" s="6"/>
      <c r="C2824" s="6"/>
      <c r="D2824" s="6"/>
      <c r="E2824" s="6"/>
      <c r="F2824" s="6"/>
      <c r="G2824" s="76"/>
      <c r="H2824" s="76"/>
      <c r="I2824" s="6"/>
      <c r="J2824" s="6"/>
      <c r="K2824" s="6"/>
      <c r="L2824" s="6"/>
      <c r="M2824" s="6"/>
      <c r="N2824" s="6"/>
      <c r="O2824" s="6"/>
      <c r="Q2824" s="6"/>
    </row>
    <row r="2825" spans="1:17">
      <c r="A2825" s="6"/>
      <c r="B2825" s="6"/>
      <c r="C2825" s="6"/>
      <c r="D2825" s="6"/>
      <c r="E2825" s="6"/>
      <c r="F2825" s="6"/>
      <c r="G2825" s="76"/>
      <c r="H2825" s="76"/>
      <c r="I2825" s="6"/>
      <c r="J2825" s="6"/>
      <c r="K2825" s="6"/>
      <c r="L2825" s="6"/>
      <c r="M2825" s="6"/>
      <c r="N2825" s="6"/>
      <c r="O2825" s="6"/>
      <c r="Q2825" s="6"/>
    </row>
    <row r="2826" spans="1:17">
      <c r="A2826" s="6"/>
      <c r="B2826" s="6"/>
      <c r="C2826" s="6"/>
      <c r="D2826" s="6"/>
      <c r="E2826" s="6"/>
      <c r="F2826" s="6"/>
      <c r="G2826" s="76"/>
      <c r="H2826" s="76"/>
      <c r="I2826" s="6"/>
      <c r="J2826" s="6"/>
      <c r="K2826" s="6"/>
      <c r="L2826" s="6"/>
      <c r="M2826" s="6"/>
      <c r="N2826" s="6"/>
      <c r="O2826" s="6"/>
      <c r="Q2826" s="6"/>
    </row>
    <row r="2827" spans="1:17">
      <c r="A2827" s="6"/>
      <c r="B2827" s="6"/>
      <c r="C2827" s="6"/>
      <c r="D2827" s="6"/>
      <c r="E2827" s="6"/>
      <c r="F2827" s="6"/>
      <c r="G2827" s="76"/>
      <c r="H2827" s="76"/>
      <c r="I2827" s="6"/>
      <c r="J2827" s="6"/>
      <c r="K2827" s="6"/>
      <c r="L2827" s="6"/>
      <c r="M2827" s="6"/>
      <c r="N2827" s="6"/>
      <c r="O2827" s="6"/>
      <c r="Q2827" s="6"/>
    </row>
    <row r="2828" spans="1:17">
      <c r="A2828" s="6"/>
      <c r="B2828" s="6"/>
      <c r="C2828" s="6"/>
      <c r="D2828" s="6"/>
      <c r="E2828" s="6"/>
      <c r="F2828" s="6"/>
      <c r="G2828" s="76"/>
      <c r="H2828" s="76"/>
      <c r="I2828" s="6"/>
      <c r="J2828" s="6"/>
      <c r="K2828" s="6"/>
      <c r="L2828" s="6"/>
      <c r="M2828" s="6"/>
      <c r="N2828" s="6"/>
      <c r="O2828" s="6"/>
      <c r="Q2828" s="6"/>
    </row>
    <row r="2829" spans="1:17">
      <c r="A2829" s="6"/>
      <c r="B2829" s="6"/>
      <c r="C2829" s="6"/>
      <c r="D2829" s="6"/>
      <c r="E2829" s="6"/>
      <c r="F2829" s="6"/>
      <c r="G2829" s="76"/>
      <c r="H2829" s="76"/>
      <c r="I2829" s="6"/>
      <c r="J2829" s="6"/>
      <c r="K2829" s="6"/>
      <c r="L2829" s="6"/>
      <c r="M2829" s="6"/>
      <c r="N2829" s="6"/>
      <c r="O2829" s="6"/>
      <c r="Q2829" s="6"/>
    </row>
    <row r="2830" spans="1:17">
      <c r="A2830" s="6"/>
      <c r="B2830" s="6"/>
      <c r="C2830" s="6"/>
      <c r="D2830" s="6"/>
      <c r="E2830" s="6"/>
      <c r="F2830" s="6"/>
      <c r="G2830" s="76"/>
      <c r="H2830" s="76"/>
      <c r="I2830" s="6"/>
      <c r="J2830" s="6"/>
      <c r="K2830" s="6"/>
      <c r="L2830" s="6"/>
      <c r="M2830" s="6"/>
      <c r="N2830" s="6"/>
      <c r="O2830" s="6"/>
      <c r="Q2830" s="6"/>
    </row>
    <row r="2831" spans="1:17">
      <c r="A2831" s="6"/>
      <c r="B2831" s="6"/>
      <c r="C2831" s="6"/>
      <c r="D2831" s="6"/>
      <c r="E2831" s="6"/>
      <c r="F2831" s="6"/>
      <c r="G2831" s="76"/>
      <c r="H2831" s="76"/>
      <c r="I2831" s="6"/>
      <c r="J2831" s="6"/>
      <c r="K2831" s="6"/>
      <c r="L2831" s="6"/>
      <c r="M2831" s="6"/>
      <c r="N2831" s="6"/>
      <c r="O2831" s="6"/>
      <c r="Q2831" s="6"/>
    </row>
    <row r="2832" spans="1:17">
      <c r="A2832" s="6"/>
      <c r="B2832" s="6"/>
      <c r="C2832" s="6"/>
      <c r="D2832" s="6"/>
      <c r="E2832" s="6"/>
      <c r="F2832" s="6"/>
      <c r="G2832" s="76"/>
      <c r="H2832" s="76"/>
      <c r="I2832" s="6"/>
      <c r="J2832" s="6"/>
      <c r="K2832" s="6"/>
      <c r="L2832" s="6"/>
      <c r="M2832" s="6"/>
      <c r="N2832" s="6"/>
      <c r="O2832" s="6"/>
      <c r="Q2832" s="6"/>
    </row>
    <row r="2833" spans="1:17">
      <c r="A2833" s="6"/>
      <c r="B2833" s="6"/>
      <c r="C2833" s="6"/>
      <c r="D2833" s="6"/>
      <c r="E2833" s="6"/>
      <c r="F2833" s="6"/>
      <c r="G2833" s="76"/>
      <c r="H2833" s="76"/>
      <c r="I2833" s="6"/>
      <c r="J2833" s="6"/>
      <c r="K2833" s="6"/>
      <c r="L2833" s="6"/>
      <c r="M2833" s="6"/>
      <c r="N2833" s="6"/>
      <c r="O2833" s="6"/>
      <c r="Q2833" s="6"/>
    </row>
    <row r="2834" spans="1:17">
      <c r="A2834" s="6"/>
      <c r="B2834" s="6"/>
      <c r="C2834" s="6"/>
      <c r="D2834" s="6"/>
      <c r="E2834" s="6"/>
      <c r="F2834" s="6"/>
      <c r="G2834" s="76"/>
      <c r="H2834" s="76"/>
      <c r="I2834" s="6"/>
      <c r="J2834" s="6"/>
      <c r="K2834" s="6"/>
      <c r="L2834" s="6"/>
      <c r="M2834" s="6"/>
      <c r="N2834" s="6"/>
      <c r="O2834" s="6"/>
      <c r="Q2834" s="6"/>
    </row>
    <row r="2835" spans="1:17">
      <c r="A2835" s="6"/>
      <c r="B2835" s="6"/>
      <c r="C2835" s="6"/>
      <c r="D2835" s="6"/>
      <c r="E2835" s="6"/>
      <c r="F2835" s="6"/>
      <c r="G2835" s="76"/>
      <c r="H2835" s="76"/>
      <c r="I2835" s="6"/>
      <c r="J2835" s="6"/>
      <c r="K2835" s="6"/>
      <c r="L2835" s="6"/>
      <c r="M2835" s="6"/>
      <c r="N2835" s="6"/>
      <c r="O2835" s="6"/>
      <c r="Q2835" s="6"/>
    </row>
    <row r="2836" spans="1:17">
      <c r="A2836" s="6"/>
      <c r="B2836" s="6"/>
      <c r="C2836" s="6"/>
      <c r="D2836" s="6"/>
      <c r="E2836" s="6"/>
      <c r="F2836" s="6"/>
      <c r="G2836" s="76"/>
      <c r="H2836" s="76"/>
      <c r="I2836" s="6"/>
      <c r="J2836" s="6"/>
      <c r="K2836" s="6"/>
      <c r="L2836" s="6"/>
      <c r="M2836" s="6"/>
      <c r="N2836" s="6"/>
      <c r="O2836" s="6"/>
      <c r="Q2836" s="6"/>
    </row>
    <row r="2837" spans="1:17">
      <c r="A2837" s="6"/>
      <c r="B2837" s="6"/>
      <c r="C2837" s="6"/>
      <c r="D2837" s="6"/>
      <c r="E2837" s="6"/>
      <c r="F2837" s="6"/>
      <c r="G2837" s="76"/>
      <c r="H2837" s="76"/>
      <c r="I2837" s="6"/>
      <c r="J2837" s="6"/>
      <c r="K2837" s="6"/>
      <c r="L2837" s="6"/>
      <c r="M2837" s="6"/>
      <c r="N2837" s="6"/>
      <c r="O2837" s="6"/>
      <c r="Q2837" s="6"/>
    </row>
    <row r="2838" spans="1:17">
      <c r="A2838" s="6"/>
      <c r="B2838" s="6"/>
      <c r="C2838" s="6"/>
      <c r="D2838" s="6"/>
      <c r="E2838" s="6"/>
      <c r="F2838" s="6"/>
      <c r="G2838" s="76"/>
      <c r="H2838" s="76"/>
      <c r="I2838" s="6"/>
      <c r="J2838" s="6"/>
      <c r="K2838" s="6"/>
      <c r="L2838" s="6"/>
      <c r="M2838" s="6"/>
      <c r="N2838" s="6"/>
      <c r="O2838" s="6"/>
      <c r="Q2838" s="6"/>
    </row>
    <row r="2839" spans="1:17">
      <c r="A2839" s="6"/>
      <c r="B2839" s="6"/>
      <c r="C2839" s="6"/>
      <c r="D2839" s="6"/>
      <c r="E2839" s="6"/>
      <c r="F2839" s="6"/>
      <c r="G2839" s="76"/>
      <c r="H2839" s="76"/>
      <c r="I2839" s="6"/>
      <c r="J2839" s="6"/>
      <c r="K2839" s="6"/>
      <c r="L2839" s="6"/>
      <c r="M2839" s="6"/>
      <c r="N2839" s="6"/>
      <c r="O2839" s="6"/>
      <c r="Q2839" s="6"/>
    </row>
    <row r="2840" spans="1:17">
      <c r="A2840" s="6"/>
      <c r="B2840" s="6"/>
      <c r="C2840" s="6"/>
      <c r="D2840" s="6"/>
      <c r="E2840" s="6"/>
      <c r="F2840" s="6"/>
      <c r="G2840" s="76"/>
      <c r="H2840" s="76"/>
      <c r="I2840" s="6"/>
      <c r="J2840" s="6"/>
      <c r="K2840" s="6"/>
      <c r="L2840" s="6"/>
      <c r="M2840" s="6"/>
      <c r="N2840" s="6"/>
      <c r="O2840" s="6"/>
      <c r="Q2840" s="6"/>
    </row>
    <row r="2841" spans="1:17">
      <c r="A2841" s="6"/>
      <c r="B2841" s="6"/>
      <c r="C2841" s="6"/>
      <c r="D2841" s="6"/>
      <c r="E2841" s="6"/>
      <c r="F2841" s="6"/>
      <c r="G2841" s="76"/>
      <c r="H2841" s="76"/>
      <c r="I2841" s="6"/>
      <c r="J2841" s="6"/>
      <c r="K2841" s="6"/>
      <c r="L2841" s="6"/>
      <c r="M2841" s="6"/>
      <c r="N2841" s="6"/>
      <c r="O2841" s="6"/>
      <c r="Q2841" s="6"/>
    </row>
    <row r="2842" spans="1:17">
      <c r="A2842" s="6"/>
      <c r="B2842" s="6"/>
      <c r="C2842" s="6"/>
      <c r="D2842" s="6"/>
      <c r="E2842" s="6"/>
      <c r="F2842" s="6"/>
      <c r="G2842" s="76"/>
      <c r="H2842" s="76"/>
      <c r="I2842" s="6"/>
      <c r="J2842" s="6"/>
      <c r="K2842" s="6"/>
      <c r="L2842" s="6"/>
      <c r="M2842" s="6"/>
      <c r="N2842" s="6"/>
      <c r="O2842" s="6"/>
      <c r="Q2842" s="6"/>
    </row>
    <row r="2843" spans="1:17">
      <c r="A2843" s="6"/>
      <c r="B2843" s="6"/>
      <c r="C2843" s="6"/>
      <c r="D2843" s="6"/>
      <c r="E2843" s="6"/>
      <c r="F2843" s="6"/>
      <c r="G2843" s="76"/>
      <c r="H2843" s="76"/>
      <c r="I2843" s="6"/>
      <c r="J2843" s="6"/>
      <c r="K2843" s="6"/>
      <c r="L2843" s="6"/>
      <c r="M2843" s="6"/>
      <c r="N2843" s="6"/>
      <c r="O2843" s="6"/>
      <c r="Q2843" s="6"/>
    </row>
    <row r="2844" spans="1:17">
      <c r="A2844" s="6"/>
      <c r="B2844" s="6"/>
      <c r="C2844" s="6"/>
      <c r="D2844" s="6"/>
      <c r="E2844" s="6"/>
      <c r="F2844" s="6"/>
      <c r="G2844" s="76"/>
      <c r="H2844" s="76"/>
      <c r="I2844" s="6"/>
      <c r="J2844" s="6"/>
      <c r="K2844" s="6"/>
      <c r="L2844" s="6"/>
      <c r="M2844" s="6"/>
      <c r="N2844" s="6"/>
      <c r="O2844" s="6"/>
      <c r="Q2844" s="6"/>
    </row>
    <row r="2845" spans="1:17">
      <c r="A2845" s="6"/>
      <c r="B2845" s="6"/>
      <c r="C2845" s="6"/>
      <c r="D2845" s="6"/>
      <c r="E2845" s="6"/>
      <c r="F2845" s="6"/>
      <c r="G2845" s="76"/>
      <c r="H2845" s="76"/>
      <c r="I2845" s="6"/>
      <c r="J2845" s="6"/>
      <c r="K2845" s="6"/>
      <c r="L2845" s="6"/>
      <c r="M2845" s="6"/>
      <c r="N2845" s="6"/>
      <c r="O2845" s="6"/>
      <c r="Q2845" s="6"/>
    </row>
    <row r="2846" spans="1:17">
      <c r="A2846" s="6"/>
      <c r="B2846" s="6"/>
      <c r="C2846" s="6"/>
      <c r="D2846" s="6"/>
      <c r="E2846" s="6"/>
      <c r="F2846" s="6"/>
      <c r="G2846" s="76"/>
      <c r="H2846" s="76"/>
      <c r="I2846" s="6"/>
      <c r="J2846" s="6"/>
      <c r="K2846" s="6"/>
      <c r="L2846" s="6"/>
      <c r="M2846" s="6"/>
      <c r="N2846" s="6"/>
      <c r="O2846" s="6"/>
      <c r="Q2846" s="6"/>
    </row>
    <row r="2847" spans="1:17">
      <c r="A2847" s="6"/>
      <c r="B2847" s="6"/>
      <c r="C2847" s="6"/>
      <c r="D2847" s="6"/>
      <c r="E2847" s="6"/>
      <c r="F2847" s="6"/>
      <c r="G2847" s="76"/>
      <c r="H2847" s="76"/>
      <c r="I2847" s="6"/>
      <c r="J2847" s="6"/>
      <c r="K2847" s="6"/>
      <c r="L2847" s="6"/>
      <c r="M2847" s="6"/>
      <c r="N2847" s="6"/>
      <c r="O2847" s="6"/>
      <c r="Q2847" s="6"/>
    </row>
    <row r="2848" spans="1:17">
      <c r="A2848" s="6"/>
      <c r="B2848" s="6"/>
      <c r="C2848" s="6"/>
      <c r="D2848" s="6"/>
      <c r="E2848" s="6"/>
      <c r="F2848" s="6"/>
      <c r="G2848" s="76"/>
      <c r="H2848" s="76"/>
      <c r="I2848" s="6"/>
      <c r="J2848" s="6"/>
      <c r="K2848" s="6"/>
      <c r="L2848" s="6"/>
      <c r="M2848" s="6"/>
      <c r="N2848" s="6"/>
      <c r="O2848" s="6"/>
      <c r="Q2848" s="6"/>
    </row>
    <row r="2849" spans="1:17">
      <c r="A2849" s="6"/>
      <c r="B2849" s="6"/>
      <c r="C2849" s="6"/>
      <c r="D2849" s="6"/>
      <c r="E2849" s="6"/>
      <c r="F2849" s="6"/>
      <c r="G2849" s="76"/>
      <c r="H2849" s="76"/>
      <c r="I2849" s="6"/>
      <c r="J2849" s="6"/>
      <c r="K2849" s="6"/>
      <c r="L2849" s="6"/>
      <c r="M2849" s="6"/>
      <c r="N2849" s="6"/>
      <c r="O2849" s="6"/>
      <c r="Q2849" s="6"/>
    </row>
    <row r="2850" spans="1:17">
      <c r="A2850" s="6"/>
      <c r="B2850" s="6"/>
      <c r="C2850" s="6"/>
      <c r="D2850" s="6"/>
      <c r="E2850" s="6"/>
      <c r="F2850" s="6"/>
      <c r="G2850" s="76"/>
      <c r="H2850" s="76"/>
      <c r="I2850" s="6"/>
      <c r="J2850" s="6"/>
      <c r="K2850" s="6"/>
      <c r="L2850" s="6"/>
      <c r="M2850" s="6"/>
      <c r="N2850" s="6"/>
      <c r="O2850" s="6"/>
      <c r="Q2850" s="6"/>
    </row>
    <row r="2851" spans="1:17">
      <c r="A2851" s="6"/>
      <c r="B2851" s="6"/>
      <c r="C2851" s="6"/>
      <c r="D2851" s="6"/>
      <c r="E2851" s="6"/>
      <c r="F2851" s="6"/>
      <c r="G2851" s="76"/>
      <c r="H2851" s="76"/>
      <c r="I2851" s="6"/>
      <c r="J2851" s="6"/>
      <c r="K2851" s="6"/>
      <c r="L2851" s="6"/>
      <c r="M2851" s="6"/>
      <c r="N2851" s="6"/>
      <c r="O2851" s="6"/>
      <c r="Q2851" s="6"/>
    </row>
    <row r="2852" spans="1:17">
      <c r="A2852" s="6"/>
      <c r="B2852" s="6"/>
      <c r="C2852" s="6"/>
      <c r="D2852" s="6"/>
      <c r="E2852" s="6"/>
      <c r="F2852" s="6"/>
      <c r="G2852" s="76"/>
      <c r="H2852" s="76"/>
      <c r="I2852" s="6"/>
      <c r="J2852" s="6"/>
      <c r="K2852" s="6"/>
      <c r="L2852" s="6"/>
      <c r="M2852" s="6"/>
      <c r="N2852" s="6"/>
      <c r="O2852" s="6"/>
      <c r="Q2852" s="6"/>
    </row>
    <row r="2853" spans="1:17">
      <c r="A2853" s="6"/>
      <c r="B2853" s="6"/>
      <c r="C2853" s="6"/>
      <c r="D2853" s="6"/>
      <c r="E2853" s="6"/>
      <c r="F2853" s="6"/>
      <c r="G2853" s="76"/>
      <c r="H2853" s="76"/>
      <c r="I2853" s="6"/>
      <c r="J2853" s="6"/>
      <c r="K2853" s="6"/>
      <c r="L2853" s="6"/>
      <c r="M2853" s="6"/>
      <c r="N2853" s="6"/>
      <c r="O2853" s="6"/>
      <c r="Q2853" s="6"/>
    </row>
    <row r="2854" spans="1:17">
      <c r="A2854" s="6"/>
      <c r="B2854" s="6"/>
      <c r="C2854" s="6"/>
      <c r="D2854" s="6"/>
      <c r="E2854" s="6"/>
      <c r="F2854" s="6"/>
      <c r="G2854" s="76"/>
      <c r="H2854" s="76"/>
      <c r="I2854" s="6"/>
      <c r="J2854" s="6"/>
      <c r="K2854" s="6"/>
      <c r="L2854" s="6"/>
      <c r="M2854" s="6"/>
      <c r="N2854" s="6"/>
      <c r="O2854" s="6"/>
      <c r="Q2854" s="6"/>
    </row>
    <row r="2855" spans="1:17">
      <c r="A2855" s="6"/>
      <c r="B2855" s="6"/>
      <c r="C2855" s="6"/>
      <c r="D2855" s="6"/>
      <c r="E2855" s="6"/>
      <c r="F2855" s="6"/>
      <c r="G2855" s="76"/>
      <c r="H2855" s="76"/>
      <c r="I2855" s="6"/>
      <c r="J2855" s="6"/>
      <c r="K2855" s="6"/>
      <c r="L2855" s="6"/>
      <c r="M2855" s="6"/>
      <c r="N2855" s="6"/>
      <c r="O2855" s="6"/>
      <c r="Q2855" s="6"/>
    </row>
    <row r="2856" spans="1:17">
      <c r="A2856" s="6"/>
      <c r="B2856" s="6"/>
      <c r="C2856" s="6"/>
      <c r="D2856" s="6"/>
      <c r="E2856" s="6"/>
      <c r="F2856" s="6"/>
      <c r="G2856" s="76"/>
      <c r="H2856" s="76"/>
      <c r="I2856" s="6"/>
      <c r="J2856" s="6"/>
      <c r="K2856" s="6"/>
      <c r="L2856" s="6"/>
      <c r="M2856" s="6"/>
      <c r="N2856" s="6"/>
      <c r="O2856" s="6"/>
      <c r="Q2856" s="6"/>
    </row>
    <row r="2857" spans="1:17">
      <c r="A2857" s="6"/>
      <c r="B2857" s="6"/>
      <c r="C2857" s="6"/>
      <c r="D2857" s="6"/>
      <c r="E2857" s="6"/>
      <c r="F2857" s="6"/>
      <c r="G2857" s="76"/>
      <c r="H2857" s="76"/>
      <c r="I2857" s="6"/>
      <c r="J2857" s="6"/>
      <c r="K2857" s="6"/>
      <c r="L2857" s="6"/>
      <c r="M2857" s="6"/>
      <c r="N2857" s="6"/>
      <c r="O2857" s="6"/>
      <c r="Q2857" s="6"/>
    </row>
    <row r="2858" spans="1:17">
      <c r="A2858" s="6"/>
      <c r="B2858" s="6"/>
      <c r="C2858" s="6"/>
      <c r="D2858" s="6"/>
      <c r="E2858" s="6"/>
      <c r="F2858" s="6"/>
      <c r="G2858" s="76"/>
      <c r="H2858" s="76"/>
      <c r="I2858" s="6"/>
      <c r="J2858" s="6"/>
      <c r="K2858" s="6"/>
      <c r="L2858" s="6"/>
      <c r="M2858" s="6"/>
      <c r="N2858" s="6"/>
      <c r="O2858" s="6"/>
      <c r="Q2858" s="6"/>
    </row>
    <row r="2859" spans="1:17">
      <c r="A2859" s="6"/>
      <c r="B2859" s="6"/>
      <c r="C2859" s="6"/>
      <c r="D2859" s="6"/>
      <c r="E2859" s="6"/>
      <c r="F2859" s="6"/>
      <c r="G2859" s="76"/>
      <c r="H2859" s="76"/>
      <c r="I2859" s="6"/>
      <c r="J2859" s="6"/>
      <c r="K2859" s="6"/>
      <c r="L2859" s="6"/>
      <c r="M2859" s="6"/>
      <c r="N2859" s="6"/>
      <c r="O2859" s="6"/>
      <c r="Q2859" s="6"/>
    </row>
    <row r="2860" spans="1:17">
      <c r="A2860" s="6"/>
      <c r="B2860" s="6"/>
      <c r="C2860" s="6"/>
      <c r="D2860" s="6"/>
      <c r="E2860" s="6"/>
      <c r="F2860" s="6"/>
      <c r="G2860" s="76"/>
      <c r="H2860" s="76"/>
      <c r="I2860" s="6"/>
      <c r="J2860" s="6"/>
      <c r="K2860" s="6"/>
      <c r="L2860" s="6"/>
      <c r="M2860" s="6"/>
      <c r="N2860" s="6"/>
      <c r="O2860" s="6"/>
      <c r="Q2860" s="6"/>
    </row>
    <row r="2861" spans="1:17">
      <c r="A2861" s="6"/>
      <c r="B2861" s="6"/>
      <c r="C2861" s="6"/>
      <c r="D2861" s="6"/>
      <c r="E2861" s="6"/>
      <c r="F2861" s="6"/>
      <c r="G2861" s="76"/>
      <c r="H2861" s="76"/>
      <c r="I2861" s="6"/>
      <c r="J2861" s="6"/>
      <c r="K2861" s="6"/>
      <c r="L2861" s="6"/>
      <c r="M2861" s="6"/>
      <c r="N2861" s="6"/>
      <c r="O2861" s="6"/>
      <c r="Q2861" s="6"/>
    </row>
    <row r="2862" spans="1:17">
      <c r="A2862" s="6"/>
      <c r="B2862" s="6"/>
      <c r="C2862" s="6"/>
      <c r="D2862" s="6"/>
      <c r="E2862" s="6"/>
      <c r="F2862" s="6"/>
      <c r="G2862" s="76"/>
      <c r="H2862" s="76"/>
      <c r="I2862" s="6"/>
      <c r="J2862" s="6"/>
      <c r="K2862" s="6"/>
      <c r="L2862" s="6"/>
      <c r="M2862" s="6"/>
      <c r="N2862" s="6"/>
      <c r="O2862" s="6"/>
      <c r="Q2862" s="6"/>
    </row>
    <row r="2863" spans="1:17">
      <c r="A2863" s="6"/>
      <c r="B2863" s="6"/>
      <c r="C2863" s="6"/>
      <c r="D2863" s="6"/>
      <c r="E2863" s="6"/>
      <c r="F2863" s="6"/>
      <c r="G2863" s="76"/>
      <c r="H2863" s="76"/>
      <c r="I2863" s="6"/>
      <c r="J2863" s="6"/>
      <c r="K2863" s="6"/>
      <c r="L2863" s="6"/>
      <c r="M2863" s="6"/>
      <c r="N2863" s="6"/>
      <c r="O2863" s="6"/>
      <c r="Q2863" s="6"/>
    </row>
    <row r="2864" spans="1:17">
      <c r="A2864" s="6"/>
      <c r="B2864" s="6"/>
      <c r="C2864" s="6"/>
      <c r="D2864" s="6"/>
      <c r="E2864" s="6"/>
      <c r="F2864" s="6"/>
      <c r="G2864" s="76"/>
      <c r="H2864" s="76"/>
      <c r="I2864" s="6"/>
      <c r="J2864" s="6"/>
      <c r="K2864" s="6"/>
      <c r="L2864" s="6"/>
      <c r="M2864" s="6"/>
      <c r="N2864" s="6"/>
      <c r="O2864" s="6"/>
      <c r="Q2864" s="6"/>
    </row>
    <row r="2865" spans="1:17">
      <c r="A2865" s="6"/>
      <c r="B2865" s="6"/>
      <c r="C2865" s="6"/>
      <c r="D2865" s="6"/>
      <c r="E2865" s="6"/>
      <c r="F2865" s="6"/>
      <c r="G2865" s="76"/>
      <c r="H2865" s="76"/>
      <c r="I2865" s="6"/>
      <c r="J2865" s="6"/>
      <c r="K2865" s="6"/>
      <c r="L2865" s="6"/>
      <c r="M2865" s="6"/>
      <c r="N2865" s="6"/>
      <c r="O2865" s="6"/>
      <c r="Q2865" s="6"/>
    </row>
    <row r="2866" spans="1:17">
      <c r="A2866" s="6"/>
      <c r="B2866" s="6"/>
      <c r="C2866" s="6"/>
      <c r="D2866" s="6"/>
      <c r="E2866" s="6"/>
      <c r="F2866" s="6"/>
      <c r="G2866" s="76"/>
      <c r="H2866" s="76"/>
      <c r="I2866" s="6"/>
      <c r="J2866" s="6"/>
      <c r="K2866" s="6"/>
      <c r="L2866" s="6"/>
      <c r="M2866" s="6"/>
      <c r="N2866" s="6"/>
      <c r="O2866" s="6"/>
      <c r="Q2866" s="6"/>
    </row>
    <row r="2867" spans="1:17">
      <c r="A2867" s="6"/>
      <c r="B2867" s="6"/>
      <c r="C2867" s="6"/>
      <c r="D2867" s="6"/>
      <c r="E2867" s="6"/>
      <c r="F2867" s="6"/>
      <c r="G2867" s="76"/>
      <c r="H2867" s="76"/>
      <c r="I2867" s="6"/>
      <c r="J2867" s="6"/>
      <c r="K2867" s="6"/>
      <c r="L2867" s="6"/>
      <c r="M2867" s="6"/>
      <c r="N2867" s="6"/>
      <c r="O2867" s="6"/>
      <c r="Q2867" s="6"/>
    </row>
    <row r="2868" spans="1:17">
      <c r="A2868" s="6"/>
      <c r="B2868" s="6"/>
      <c r="C2868" s="6"/>
      <c r="D2868" s="6"/>
      <c r="E2868" s="6"/>
      <c r="F2868" s="6"/>
      <c r="G2868" s="76"/>
      <c r="H2868" s="76"/>
      <c r="I2868" s="6"/>
      <c r="J2868" s="6"/>
      <c r="K2868" s="6"/>
      <c r="L2868" s="6"/>
      <c r="M2868" s="6"/>
      <c r="N2868" s="6"/>
      <c r="O2868" s="6"/>
      <c r="Q2868" s="6"/>
    </row>
    <row r="2869" spans="1:17">
      <c r="A2869" s="6"/>
      <c r="B2869" s="6"/>
      <c r="C2869" s="6"/>
      <c r="D2869" s="6"/>
      <c r="E2869" s="6"/>
      <c r="F2869" s="6"/>
      <c r="G2869" s="76"/>
      <c r="H2869" s="76"/>
      <c r="I2869" s="6"/>
      <c r="J2869" s="6"/>
      <c r="K2869" s="6"/>
      <c r="L2869" s="6"/>
      <c r="M2869" s="6"/>
      <c r="N2869" s="6"/>
      <c r="O2869" s="6"/>
      <c r="Q2869" s="6"/>
    </row>
    <row r="2870" spans="1:17">
      <c r="A2870" s="6"/>
      <c r="B2870" s="6"/>
      <c r="C2870" s="6"/>
      <c r="D2870" s="6"/>
      <c r="E2870" s="6"/>
      <c r="F2870" s="6"/>
      <c r="G2870" s="76"/>
      <c r="H2870" s="76"/>
      <c r="I2870" s="6"/>
      <c r="J2870" s="6"/>
      <c r="K2870" s="6"/>
      <c r="L2870" s="6"/>
      <c r="M2870" s="6"/>
      <c r="N2870" s="6"/>
      <c r="O2870" s="6"/>
      <c r="Q2870" s="6"/>
    </row>
    <row r="2871" spans="1:17">
      <c r="A2871" s="6"/>
      <c r="B2871" s="6"/>
      <c r="C2871" s="6"/>
      <c r="D2871" s="6"/>
      <c r="E2871" s="6"/>
      <c r="F2871" s="6"/>
      <c r="G2871" s="76"/>
      <c r="H2871" s="76"/>
      <c r="I2871" s="6"/>
      <c r="J2871" s="6"/>
      <c r="K2871" s="6"/>
      <c r="L2871" s="6"/>
      <c r="M2871" s="6"/>
      <c r="N2871" s="6"/>
      <c r="O2871" s="6"/>
      <c r="Q2871" s="6"/>
    </row>
    <row r="2872" spans="1:17">
      <c r="A2872" s="6"/>
      <c r="B2872" s="6"/>
      <c r="C2872" s="6"/>
      <c r="D2872" s="6"/>
      <c r="E2872" s="6"/>
      <c r="F2872" s="6"/>
      <c r="G2872" s="76"/>
      <c r="H2872" s="76"/>
      <c r="I2872" s="6"/>
      <c r="J2872" s="6"/>
      <c r="K2872" s="6"/>
      <c r="L2872" s="6"/>
      <c r="M2872" s="6"/>
      <c r="N2872" s="6"/>
      <c r="O2872" s="6"/>
      <c r="Q2872" s="6"/>
    </row>
    <row r="2873" spans="1:17">
      <c r="A2873" s="6"/>
      <c r="B2873" s="6"/>
      <c r="C2873" s="6"/>
      <c r="D2873" s="6"/>
      <c r="E2873" s="6"/>
      <c r="F2873" s="6"/>
      <c r="G2873" s="76"/>
      <c r="H2873" s="76"/>
      <c r="I2873" s="6"/>
      <c r="J2873" s="6"/>
      <c r="K2873" s="6"/>
      <c r="L2873" s="6"/>
      <c r="M2873" s="6"/>
      <c r="N2873" s="6"/>
      <c r="O2873" s="6"/>
      <c r="Q2873" s="6"/>
    </row>
    <row r="2874" spans="1:17">
      <c r="A2874" s="6"/>
      <c r="B2874" s="6"/>
      <c r="C2874" s="6"/>
      <c r="D2874" s="6"/>
      <c r="E2874" s="6"/>
      <c r="F2874" s="6"/>
      <c r="G2874" s="76"/>
      <c r="H2874" s="76"/>
      <c r="I2874" s="6"/>
      <c r="J2874" s="6"/>
      <c r="K2874" s="6"/>
      <c r="L2874" s="6"/>
      <c r="M2874" s="6"/>
      <c r="N2874" s="6"/>
      <c r="O2874" s="6"/>
      <c r="Q2874" s="6"/>
    </row>
    <row r="2875" spans="1:17">
      <c r="A2875" s="6"/>
      <c r="B2875" s="6"/>
      <c r="C2875" s="6"/>
      <c r="D2875" s="6"/>
      <c r="E2875" s="6"/>
      <c r="F2875" s="6"/>
      <c r="G2875" s="76"/>
      <c r="H2875" s="76"/>
      <c r="I2875" s="6"/>
      <c r="J2875" s="6"/>
      <c r="K2875" s="6"/>
      <c r="L2875" s="6"/>
      <c r="M2875" s="6"/>
      <c r="N2875" s="6"/>
      <c r="O2875" s="6"/>
      <c r="Q2875" s="6"/>
    </row>
    <row r="2876" spans="1:17">
      <c r="A2876" s="6"/>
      <c r="B2876" s="6"/>
      <c r="C2876" s="6"/>
      <c r="D2876" s="6"/>
      <c r="E2876" s="6"/>
      <c r="F2876" s="6"/>
      <c r="G2876" s="76"/>
      <c r="H2876" s="76"/>
      <c r="I2876" s="6"/>
      <c r="J2876" s="6"/>
      <c r="K2876" s="6"/>
      <c r="L2876" s="6"/>
      <c r="M2876" s="6"/>
      <c r="N2876" s="6"/>
      <c r="O2876" s="6"/>
      <c r="Q2876" s="6"/>
    </row>
    <row r="2877" spans="1:17">
      <c r="A2877" s="6"/>
      <c r="B2877" s="6"/>
      <c r="C2877" s="6"/>
      <c r="D2877" s="6"/>
      <c r="E2877" s="6"/>
      <c r="F2877" s="6"/>
      <c r="G2877" s="76"/>
      <c r="H2877" s="76"/>
      <c r="I2877" s="6"/>
      <c r="J2877" s="6"/>
      <c r="K2877" s="6"/>
      <c r="L2877" s="6"/>
      <c r="M2877" s="6"/>
      <c r="N2877" s="6"/>
      <c r="O2877" s="6"/>
      <c r="Q2877" s="6"/>
    </row>
    <row r="2878" spans="1:17">
      <c r="A2878" s="6"/>
      <c r="B2878" s="6"/>
      <c r="C2878" s="6"/>
      <c r="D2878" s="6"/>
      <c r="E2878" s="6"/>
      <c r="F2878" s="6"/>
      <c r="G2878" s="76"/>
      <c r="H2878" s="76"/>
      <c r="I2878" s="6"/>
      <c r="J2878" s="6"/>
      <c r="K2878" s="6"/>
      <c r="L2878" s="6"/>
      <c r="M2878" s="6"/>
      <c r="N2878" s="6"/>
      <c r="O2878" s="6"/>
      <c r="Q2878" s="6"/>
    </row>
    <row r="2879" spans="1:17">
      <c r="A2879" s="6"/>
      <c r="B2879" s="6"/>
      <c r="C2879" s="6"/>
      <c r="D2879" s="6"/>
      <c r="E2879" s="6"/>
      <c r="F2879" s="6"/>
      <c r="G2879" s="76"/>
      <c r="H2879" s="76"/>
      <c r="I2879" s="6"/>
      <c r="J2879" s="6"/>
      <c r="K2879" s="6"/>
      <c r="L2879" s="6"/>
      <c r="M2879" s="6"/>
      <c r="N2879" s="6"/>
      <c r="O2879" s="6"/>
      <c r="Q2879" s="6"/>
    </row>
    <row r="2880" spans="1:17">
      <c r="A2880" s="6"/>
      <c r="B2880" s="6"/>
      <c r="C2880" s="6"/>
      <c r="D2880" s="6"/>
      <c r="E2880" s="6"/>
      <c r="F2880" s="6"/>
      <c r="G2880" s="76"/>
      <c r="H2880" s="76"/>
      <c r="I2880" s="6"/>
      <c r="J2880" s="6"/>
      <c r="K2880" s="6"/>
      <c r="L2880" s="6"/>
      <c r="M2880" s="6"/>
      <c r="N2880" s="6"/>
      <c r="O2880" s="6"/>
      <c r="Q2880" s="6"/>
    </row>
    <row r="2881" spans="1:17">
      <c r="A2881" s="6"/>
      <c r="B2881" s="6"/>
      <c r="C2881" s="6"/>
      <c r="D2881" s="6"/>
      <c r="E2881" s="6"/>
      <c r="F2881" s="6"/>
      <c r="G2881" s="76"/>
      <c r="H2881" s="76"/>
      <c r="I2881" s="6"/>
      <c r="J2881" s="6"/>
      <c r="K2881" s="6"/>
      <c r="L2881" s="6"/>
      <c r="M2881" s="6"/>
      <c r="N2881" s="6"/>
      <c r="O2881" s="6"/>
      <c r="Q2881" s="6"/>
    </row>
    <row r="2882" spans="1:17">
      <c r="A2882" s="6"/>
      <c r="B2882" s="6"/>
      <c r="C2882" s="6"/>
      <c r="D2882" s="6"/>
      <c r="E2882" s="6"/>
      <c r="F2882" s="6"/>
      <c r="G2882" s="76"/>
      <c r="H2882" s="76"/>
      <c r="I2882" s="6"/>
      <c r="J2882" s="6"/>
      <c r="K2882" s="6"/>
      <c r="L2882" s="6"/>
      <c r="M2882" s="6"/>
      <c r="N2882" s="6"/>
      <c r="O2882" s="6"/>
      <c r="Q2882" s="6"/>
    </row>
    <row r="2883" spans="1:17">
      <c r="A2883" s="6"/>
      <c r="B2883" s="6"/>
      <c r="C2883" s="6"/>
      <c r="D2883" s="6"/>
      <c r="E2883" s="6"/>
      <c r="F2883" s="6"/>
      <c r="G2883" s="76"/>
      <c r="H2883" s="76"/>
      <c r="I2883" s="6"/>
      <c r="J2883" s="6"/>
      <c r="K2883" s="6"/>
      <c r="L2883" s="6"/>
      <c r="M2883" s="6"/>
      <c r="N2883" s="6"/>
      <c r="O2883" s="6"/>
      <c r="Q2883" s="6"/>
    </row>
    <row r="2884" spans="1:17">
      <c r="A2884" s="6"/>
      <c r="B2884" s="6"/>
      <c r="C2884" s="6"/>
      <c r="D2884" s="6"/>
      <c r="E2884" s="6"/>
      <c r="F2884" s="6"/>
      <c r="G2884" s="76"/>
      <c r="H2884" s="76"/>
      <c r="I2884" s="6"/>
      <c r="J2884" s="6"/>
      <c r="K2884" s="6"/>
      <c r="L2884" s="6"/>
      <c r="M2884" s="6"/>
      <c r="N2884" s="6"/>
      <c r="O2884" s="6"/>
      <c r="Q2884" s="6"/>
    </row>
    <row r="2885" spans="1:17">
      <c r="A2885" s="6"/>
      <c r="B2885" s="6"/>
      <c r="C2885" s="6"/>
      <c r="D2885" s="6"/>
      <c r="E2885" s="6"/>
      <c r="F2885" s="6"/>
      <c r="G2885" s="76"/>
      <c r="H2885" s="76"/>
      <c r="I2885" s="6"/>
      <c r="J2885" s="6"/>
      <c r="K2885" s="6"/>
      <c r="L2885" s="6"/>
      <c r="M2885" s="6"/>
      <c r="N2885" s="6"/>
      <c r="O2885" s="6"/>
      <c r="Q2885" s="6"/>
    </row>
    <row r="2886" spans="1:17">
      <c r="A2886" s="6"/>
      <c r="B2886" s="6"/>
      <c r="C2886" s="6"/>
      <c r="D2886" s="6"/>
      <c r="E2886" s="6"/>
      <c r="F2886" s="6"/>
      <c r="G2886" s="76"/>
      <c r="H2886" s="76"/>
      <c r="I2886" s="6"/>
      <c r="J2886" s="6"/>
      <c r="K2886" s="6"/>
      <c r="L2886" s="6"/>
      <c r="M2886" s="6"/>
      <c r="N2886" s="6"/>
      <c r="O2886" s="6"/>
      <c r="Q2886" s="6"/>
    </row>
    <row r="2887" spans="1:17">
      <c r="A2887" s="6"/>
      <c r="B2887" s="6"/>
      <c r="C2887" s="6"/>
      <c r="D2887" s="6"/>
      <c r="E2887" s="6"/>
      <c r="F2887" s="6"/>
      <c r="G2887" s="76"/>
      <c r="H2887" s="76"/>
      <c r="I2887" s="6"/>
      <c r="J2887" s="6"/>
      <c r="K2887" s="6"/>
      <c r="L2887" s="6"/>
      <c r="M2887" s="6"/>
      <c r="N2887" s="6"/>
      <c r="O2887" s="6"/>
      <c r="Q2887" s="6"/>
    </row>
    <row r="2888" spans="1:17">
      <c r="A2888" s="6"/>
      <c r="B2888" s="6"/>
      <c r="C2888" s="6"/>
      <c r="D2888" s="6"/>
      <c r="E2888" s="6"/>
      <c r="F2888" s="6"/>
      <c r="G2888" s="76"/>
      <c r="H2888" s="76"/>
      <c r="I2888" s="6"/>
      <c r="J2888" s="6"/>
      <c r="K2888" s="6"/>
      <c r="L2888" s="6"/>
      <c r="M2888" s="6"/>
      <c r="N2888" s="6"/>
      <c r="O2888" s="6"/>
      <c r="Q2888" s="6"/>
    </row>
    <row r="2889" spans="1:17">
      <c r="A2889" s="6"/>
      <c r="B2889" s="6"/>
      <c r="C2889" s="6"/>
      <c r="D2889" s="6"/>
      <c r="E2889" s="6"/>
      <c r="F2889" s="6"/>
      <c r="G2889" s="76"/>
      <c r="H2889" s="76"/>
      <c r="I2889" s="6"/>
      <c r="J2889" s="6"/>
      <c r="K2889" s="6"/>
      <c r="L2889" s="6"/>
      <c r="M2889" s="6"/>
      <c r="N2889" s="6"/>
      <c r="O2889" s="6"/>
      <c r="Q2889" s="6"/>
    </row>
    <row r="2890" spans="1:17">
      <c r="A2890" s="6"/>
      <c r="B2890" s="6"/>
      <c r="C2890" s="6"/>
      <c r="D2890" s="6"/>
      <c r="E2890" s="6"/>
      <c r="F2890" s="6"/>
      <c r="G2890" s="76"/>
      <c r="H2890" s="76"/>
      <c r="I2890" s="6"/>
      <c r="J2890" s="6"/>
      <c r="K2890" s="6"/>
      <c r="L2890" s="6"/>
      <c r="M2890" s="6"/>
      <c r="N2890" s="6"/>
      <c r="O2890" s="6"/>
      <c r="Q2890" s="6"/>
    </row>
    <row r="2891" spans="1:17">
      <c r="A2891" s="6"/>
      <c r="B2891" s="6"/>
      <c r="C2891" s="6"/>
      <c r="D2891" s="6"/>
      <c r="E2891" s="6"/>
      <c r="F2891" s="6"/>
      <c r="G2891" s="76"/>
      <c r="H2891" s="76"/>
      <c r="I2891" s="6"/>
      <c r="J2891" s="6"/>
      <c r="K2891" s="6"/>
      <c r="L2891" s="6"/>
      <c r="M2891" s="6"/>
      <c r="N2891" s="6"/>
      <c r="O2891" s="6"/>
      <c r="Q2891" s="6"/>
    </row>
    <row r="2892" spans="1:17">
      <c r="A2892" s="6"/>
      <c r="B2892" s="6"/>
      <c r="C2892" s="6"/>
      <c r="D2892" s="6"/>
      <c r="E2892" s="6"/>
      <c r="F2892" s="6"/>
      <c r="G2892" s="76"/>
      <c r="H2892" s="76"/>
      <c r="I2892" s="6"/>
      <c r="J2892" s="6"/>
      <c r="K2892" s="6"/>
      <c r="L2892" s="6"/>
      <c r="M2892" s="6"/>
      <c r="N2892" s="6"/>
      <c r="O2892" s="6"/>
      <c r="Q2892" s="6"/>
    </row>
    <row r="2893" spans="1:17">
      <c r="A2893" s="6"/>
      <c r="B2893" s="6"/>
      <c r="C2893" s="6"/>
      <c r="D2893" s="6"/>
      <c r="E2893" s="6"/>
      <c r="F2893" s="6"/>
      <c r="G2893" s="76"/>
      <c r="H2893" s="76"/>
      <c r="I2893" s="6"/>
      <c r="J2893" s="6"/>
      <c r="K2893" s="6"/>
      <c r="L2893" s="6"/>
      <c r="M2893" s="6"/>
      <c r="N2893" s="6"/>
      <c r="O2893" s="6"/>
      <c r="Q2893" s="6"/>
    </row>
    <row r="2894" spans="1:17">
      <c r="A2894" s="6"/>
      <c r="B2894" s="6"/>
      <c r="C2894" s="6"/>
      <c r="D2894" s="6"/>
      <c r="E2894" s="6"/>
      <c r="F2894" s="6"/>
      <c r="G2894" s="76"/>
      <c r="H2894" s="76"/>
      <c r="I2894" s="6"/>
      <c r="J2894" s="6"/>
      <c r="K2894" s="6"/>
      <c r="L2894" s="6"/>
      <c r="M2894" s="6"/>
      <c r="N2894" s="6"/>
      <c r="O2894" s="6"/>
      <c r="Q2894" s="6"/>
    </row>
    <row r="2895" spans="1:17">
      <c r="A2895" s="6"/>
      <c r="B2895" s="6"/>
      <c r="C2895" s="6"/>
      <c r="D2895" s="6"/>
      <c r="E2895" s="6"/>
      <c r="F2895" s="6"/>
      <c r="G2895" s="76"/>
      <c r="H2895" s="76"/>
      <c r="I2895" s="6"/>
      <c r="J2895" s="6"/>
      <c r="K2895" s="6"/>
      <c r="L2895" s="6"/>
      <c r="M2895" s="6"/>
      <c r="N2895" s="6"/>
      <c r="O2895" s="6"/>
      <c r="Q2895" s="6"/>
    </row>
    <row r="2896" spans="1:17">
      <c r="A2896" s="6"/>
      <c r="B2896" s="6"/>
      <c r="C2896" s="6"/>
      <c r="D2896" s="6"/>
      <c r="E2896" s="6"/>
      <c r="F2896" s="6"/>
      <c r="G2896" s="76"/>
      <c r="H2896" s="76"/>
      <c r="I2896" s="6"/>
      <c r="J2896" s="6"/>
      <c r="K2896" s="6"/>
      <c r="L2896" s="6"/>
      <c r="M2896" s="6"/>
      <c r="N2896" s="6"/>
      <c r="O2896" s="6"/>
      <c r="Q2896" s="6"/>
    </row>
    <row r="2897" spans="1:17">
      <c r="A2897" s="6"/>
      <c r="B2897" s="6"/>
      <c r="C2897" s="6"/>
      <c r="D2897" s="6"/>
      <c r="E2897" s="6"/>
      <c r="F2897" s="6"/>
      <c r="G2897" s="76"/>
      <c r="H2897" s="76"/>
      <c r="I2897" s="6"/>
      <c r="J2897" s="6"/>
      <c r="K2897" s="6"/>
      <c r="L2897" s="6"/>
      <c r="M2897" s="6"/>
      <c r="N2897" s="6"/>
      <c r="O2897" s="6"/>
      <c r="Q2897" s="6"/>
    </row>
    <row r="2898" spans="1:17">
      <c r="A2898" s="6"/>
      <c r="B2898" s="6"/>
      <c r="C2898" s="6"/>
      <c r="D2898" s="6"/>
      <c r="E2898" s="6"/>
      <c r="F2898" s="6"/>
      <c r="G2898" s="76"/>
      <c r="H2898" s="76"/>
      <c r="I2898" s="6"/>
      <c r="J2898" s="6"/>
      <c r="K2898" s="6"/>
      <c r="L2898" s="6"/>
      <c r="M2898" s="6"/>
      <c r="N2898" s="6"/>
      <c r="O2898" s="6"/>
      <c r="Q2898" s="6"/>
    </row>
    <row r="2899" spans="1:17">
      <c r="A2899" s="6"/>
      <c r="B2899" s="6"/>
      <c r="C2899" s="6"/>
      <c r="D2899" s="6"/>
      <c r="E2899" s="6"/>
      <c r="F2899" s="6"/>
      <c r="G2899" s="76"/>
      <c r="H2899" s="76"/>
      <c r="I2899" s="6"/>
      <c r="J2899" s="6"/>
      <c r="K2899" s="6"/>
      <c r="L2899" s="6"/>
      <c r="M2899" s="6"/>
      <c r="N2899" s="6"/>
      <c r="O2899" s="6"/>
      <c r="Q2899" s="6"/>
    </row>
    <row r="2900" spans="1:17">
      <c r="A2900" s="6"/>
      <c r="B2900" s="6"/>
      <c r="C2900" s="6"/>
      <c r="D2900" s="6"/>
      <c r="E2900" s="6"/>
      <c r="F2900" s="6"/>
      <c r="G2900" s="76"/>
      <c r="H2900" s="76"/>
      <c r="I2900" s="6"/>
      <c r="J2900" s="6"/>
      <c r="K2900" s="6"/>
      <c r="L2900" s="6"/>
      <c r="M2900" s="6"/>
      <c r="N2900" s="6"/>
      <c r="O2900" s="6"/>
      <c r="Q2900" s="6"/>
    </row>
    <row r="2901" spans="1:17">
      <c r="A2901" s="6"/>
      <c r="B2901" s="6"/>
      <c r="C2901" s="6"/>
      <c r="D2901" s="6"/>
      <c r="E2901" s="6"/>
      <c r="F2901" s="6"/>
      <c r="G2901" s="76"/>
      <c r="H2901" s="76"/>
      <c r="I2901" s="6"/>
      <c r="J2901" s="6"/>
      <c r="K2901" s="6"/>
      <c r="L2901" s="6"/>
      <c r="M2901" s="6"/>
      <c r="N2901" s="6"/>
      <c r="O2901" s="6"/>
      <c r="Q2901" s="6"/>
    </row>
    <row r="2902" spans="1:17">
      <c r="A2902" s="6"/>
      <c r="B2902" s="6"/>
      <c r="C2902" s="6"/>
      <c r="D2902" s="6"/>
      <c r="E2902" s="6"/>
      <c r="F2902" s="6"/>
      <c r="G2902" s="76"/>
      <c r="H2902" s="76"/>
      <c r="I2902" s="6"/>
      <c r="J2902" s="6"/>
      <c r="K2902" s="6"/>
      <c r="L2902" s="6"/>
      <c r="M2902" s="6"/>
      <c r="N2902" s="6"/>
      <c r="O2902" s="6"/>
      <c r="Q2902" s="6"/>
    </row>
    <row r="2903" spans="1:17">
      <c r="A2903" s="6"/>
      <c r="B2903" s="6"/>
      <c r="C2903" s="6"/>
      <c r="D2903" s="6"/>
      <c r="E2903" s="6"/>
      <c r="F2903" s="6"/>
      <c r="G2903" s="76"/>
      <c r="H2903" s="76"/>
      <c r="I2903" s="6"/>
      <c r="J2903" s="6"/>
      <c r="K2903" s="6"/>
      <c r="L2903" s="6"/>
      <c r="M2903" s="6"/>
      <c r="N2903" s="6"/>
      <c r="O2903" s="6"/>
      <c r="Q2903" s="6"/>
    </row>
    <row r="2904" spans="1:17">
      <c r="A2904" s="6"/>
      <c r="B2904" s="6"/>
      <c r="C2904" s="6"/>
      <c r="D2904" s="6"/>
      <c r="E2904" s="6"/>
      <c r="F2904" s="6"/>
      <c r="G2904" s="76"/>
      <c r="H2904" s="76"/>
      <c r="I2904" s="6"/>
      <c r="J2904" s="6"/>
      <c r="K2904" s="6"/>
      <c r="L2904" s="6"/>
      <c r="M2904" s="6"/>
      <c r="N2904" s="6"/>
      <c r="O2904" s="6"/>
      <c r="Q2904" s="6"/>
    </row>
    <row r="2905" spans="1:17">
      <c r="A2905" s="6"/>
      <c r="B2905" s="6"/>
      <c r="C2905" s="6"/>
      <c r="D2905" s="6"/>
      <c r="E2905" s="6"/>
      <c r="F2905" s="6"/>
      <c r="G2905" s="76"/>
      <c r="H2905" s="76"/>
      <c r="I2905" s="6"/>
      <c r="J2905" s="6"/>
      <c r="K2905" s="6"/>
      <c r="L2905" s="6"/>
      <c r="M2905" s="6"/>
      <c r="N2905" s="6"/>
      <c r="O2905" s="6"/>
      <c r="Q2905" s="6"/>
    </row>
    <row r="2906" spans="1:17">
      <c r="A2906" s="6"/>
      <c r="B2906" s="6"/>
      <c r="C2906" s="6"/>
      <c r="D2906" s="6"/>
      <c r="E2906" s="6"/>
      <c r="F2906" s="6"/>
      <c r="G2906" s="76"/>
      <c r="H2906" s="76"/>
      <c r="I2906" s="6"/>
      <c r="J2906" s="6"/>
      <c r="K2906" s="6"/>
      <c r="L2906" s="6"/>
      <c r="M2906" s="6"/>
      <c r="N2906" s="6"/>
      <c r="O2906" s="6"/>
      <c r="Q2906" s="6"/>
    </row>
    <row r="2907" spans="1:17">
      <c r="A2907" s="6"/>
      <c r="B2907" s="6"/>
      <c r="C2907" s="6"/>
      <c r="D2907" s="6"/>
      <c r="E2907" s="6"/>
      <c r="F2907" s="6"/>
      <c r="G2907" s="76"/>
      <c r="H2907" s="76"/>
      <c r="I2907" s="6"/>
      <c r="J2907" s="6"/>
      <c r="K2907" s="6"/>
      <c r="L2907" s="6"/>
      <c r="M2907" s="6"/>
      <c r="N2907" s="6"/>
      <c r="O2907" s="6"/>
      <c r="Q2907" s="6"/>
    </row>
    <row r="2908" spans="1:17">
      <c r="A2908" s="6"/>
      <c r="B2908" s="6"/>
      <c r="C2908" s="6"/>
      <c r="D2908" s="6"/>
      <c r="E2908" s="6"/>
      <c r="F2908" s="6"/>
      <c r="G2908" s="76"/>
      <c r="H2908" s="76"/>
      <c r="I2908" s="6"/>
      <c r="J2908" s="6"/>
      <c r="K2908" s="6"/>
      <c r="L2908" s="6"/>
      <c r="M2908" s="6"/>
      <c r="N2908" s="6"/>
      <c r="O2908" s="6"/>
      <c r="Q2908" s="6"/>
    </row>
    <row r="2909" spans="1:17">
      <c r="A2909" s="6"/>
      <c r="B2909" s="6"/>
      <c r="C2909" s="6"/>
      <c r="D2909" s="6"/>
      <c r="E2909" s="6"/>
      <c r="F2909" s="6"/>
      <c r="G2909" s="76"/>
      <c r="H2909" s="76"/>
      <c r="I2909" s="6"/>
      <c r="J2909" s="6"/>
      <c r="K2909" s="6"/>
      <c r="L2909" s="6"/>
      <c r="M2909" s="6"/>
      <c r="N2909" s="6"/>
      <c r="O2909" s="6"/>
      <c r="Q2909" s="6"/>
    </row>
    <row r="2910" spans="1:17">
      <c r="A2910" s="6"/>
      <c r="B2910" s="6"/>
      <c r="C2910" s="6"/>
      <c r="D2910" s="6"/>
      <c r="E2910" s="6"/>
      <c r="F2910" s="6"/>
      <c r="G2910" s="76"/>
      <c r="H2910" s="76"/>
      <c r="I2910" s="6"/>
      <c r="J2910" s="6"/>
      <c r="K2910" s="6"/>
      <c r="L2910" s="6"/>
      <c r="M2910" s="6"/>
      <c r="N2910" s="6"/>
      <c r="O2910" s="6"/>
      <c r="Q2910" s="6"/>
    </row>
    <row r="2911" spans="1:17">
      <c r="A2911" s="6"/>
      <c r="B2911" s="6"/>
      <c r="C2911" s="6"/>
      <c r="D2911" s="6"/>
      <c r="E2911" s="6"/>
      <c r="F2911" s="6"/>
      <c r="G2911" s="76"/>
      <c r="H2911" s="76"/>
      <c r="I2911" s="6"/>
      <c r="J2911" s="6"/>
      <c r="K2911" s="6"/>
      <c r="L2911" s="6"/>
      <c r="M2911" s="6"/>
      <c r="N2911" s="6"/>
      <c r="O2911" s="6"/>
      <c r="Q2911" s="6"/>
    </row>
    <row r="2912" spans="1:17">
      <c r="A2912" s="6"/>
      <c r="B2912" s="6"/>
      <c r="C2912" s="6"/>
      <c r="D2912" s="6"/>
      <c r="E2912" s="6"/>
      <c r="F2912" s="6"/>
      <c r="G2912" s="76"/>
      <c r="H2912" s="76"/>
      <c r="I2912" s="6"/>
      <c r="J2912" s="6"/>
      <c r="K2912" s="6"/>
      <c r="L2912" s="6"/>
      <c r="M2912" s="6"/>
      <c r="N2912" s="6"/>
      <c r="O2912" s="6"/>
      <c r="Q2912" s="6"/>
    </row>
    <row r="2913" spans="1:17">
      <c r="A2913" s="6"/>
      <c r="B2913" s="6"/>
      <c r="C2913" s="6"/>
      <c r="D2913" s="6"/>
      <c r="E2913" s="6"/>
      <c r="F2913" s="6"/>
      <c r="G2913" s="76"/>
      <c r="H2913" s="76"/>
      <c r="I2913" s="6"/>
      <c r="J2913" s="6"/>
      <c r="K2913" s="6"/>
      <c r="L2913" s="6"/>
      <c r="M2913" s="6"/>
      <c r="N2913" s="6"/>
      <c r="O2913" s="6"/>
      <c r="Q2913" s="6"/>
    </row>
    <row r="2914" spans="1:17">
      <c r="A2914" s="6"/>
      <c r="B2914" s="6"/>
      <c r="C2914" s="6"/>
      <c r="D2914" s="6"/>
      <c r="E2914" s="6"/>
      <c r="F2914" s="6"/>
      <c r="G2914" s="76"/>
      <c r="H2914" s="76"/>
      <c r="I2914" s="6"/>
      <c r="J2914" s="6"/>
      <c r="K2914" s="6"/>
      <c r="L2914" s="6"/>
      <c r="M2914" s="6"/>
      <c r="N2914" s="6"/>
      <c r="O2914" s="6"/>
      <c r="Q2914" s="6"/>
    </row>
    <row r="2915" spans="1:17">
      <c r="A2915" s="6"/>
      <c r="B2915" s="6"/>
      <c r="C2915" s="6"/>
      <c r="D2915" s="6"/>
      <c r="E2915" s="6"/>
      <c r="F2915" s="6"/>
      <c r="G2915" s="76"/>
      <c r="H2915" s="76"/>
      <c r="I2915" s="6"/>
      <c r="J2915" s="6"/>
      <c r="K2915" s="6"/>
      <c r="L2915" s="6"/>
      <c r="M2915" s="6"/>
      <c r="N2915" s="6"/>
      <c r="O2915" s="6"/>
      <c r="Q2915" s="6"/>
    </row>
    <row r="2916" spans="1:17">
      <c r="A2916" s="6"/>
      <c r="B2916" s="6"/>
      <c r="C2916" s="6"/>
      <c r="D2916" s="6"/>
      <c r="E2916" s="6"/>
      <c r="F2916" s="6"/>
      <c r="G2916" s="76"/>
      <c r="H2916" s="76"/>
      <c r="I2916" s="6"/>
      <c r="J2916" s="6"/>
      <c r="K2916" s="6"/>
      <c r="L2916" s="6"/>
      <c r="M2916" s="6"/>
      <c r="N2916" s="6"/>
      <c r="O2916" s="6"/>
      <c r="Q2916" s="6"/>
    </row>
    <row r="2917" spans="1:17">
      <c r="A2917" s="6"/>
      <c r="B2917" s="6"/>
      <c r="C2917" s="6"/>
      <c r="D2917" s="6"/>
      <c r="E2917" s="6"/>
      <c r="F2917" s="6"/>
      <c r="G2917" s="76"/>
      <c r="H2917" s="76"/>
      <c r="I2917" s="6"/>
      <c r="J2917" s="6"/>
      <c r="K2917" s="6"/>
      <c r="L2917" s="6"/>
      <c r="M2917" s="6"/>
      <c r="N2917" s="6"/>
      <c r="O2917" s="6"/>
      <c r="Q2917" s="6"/>
    </row>
    <row r="2918" spans="1:17">
      <c r="A2918" s="6"/>
      <c r="B2918" s="6"/>
      <c r="C2918" s="6"/>
      <c r="D2918" s="6"/>
      <c r="E2918" s="6"/>
      <c r="F2918" s="6"/>
      <c r="G2918" s="76"/>
      <c r="H2918" s="76"/>
      <c r="I2918" s="6"/>
      <c r="J2918" s="6"/>
      <c r="K2918" s="6"/>
      <c r="L2918" s="6"/>
      <c r="M2918" s="6"/>
      <c r="N2918" s="6"/>
      <c r="O2918" s="6"/>
      <c r="Q2918" s="6"/>
    </row>
    <row r="2919" spans="1:17">
      <c r="A2919" s="6"/>
      <c r="B2919" s="6"/>
      <c r="C2919" s="6"/>
      <c r="D2919" s="6"/>
      <c r="E2919" s="6"/>
      <c r="F2919" s="6"/>
      <c r="G2919" s="76"/>
      <c r="H2919" s="76"/>
      <c r="I2919" s="6"/>
      <c r="J2919" s="6"/>
      <c r="K2919" s="6"/>
      <c r="L2919" s="6"/>
      <c r="M2919" s="6"/>
      <c r="N2919" s="6"/>
      <c r="O2919" s="6"/>
      <c r="Q2919" s="6"/>
    </row>
    <row r="2920" spans="1:17">
      <c r="A2920" s="6"/>
      <c r="B2920" s="6"/>
      <c r="C2920" s="6"/>
      <c r="D2920" s="6"/>
      <c r="E2920" s="6"/>
      <c r="F2920" s="6"/>
      <c r="G2920" s="76"/>
      <c r="H2920" s="76"/>
      <c r="I2920" s="6"/>
      <c r="J2920" s="6"/>
      <c r="K2920" s="6"/>
      <c r="L2920" s="6"/>
      <c r="M2920" s="6"/>
      <c r="N2920" s="6"/>
      <c r="O2920" s="6"/>
      <c r="Q2920" s="6"/>
    </row>
    <row r="2921" spans="1:17">
      <c r="A2921" s="6"/>
      <c r="B2921" s="6"/>
      <c r="C2921" s="6"/>
      <c r="D2921" s="6"/>
      <c r="E2921" s="6"/>
      <c r="F2921" s="6"/>
      <c r="G2921" s="76"/>
      <c r="H2921" s="76"/>
      <c r="I2921" s="6"/>
      <c r="J2921" s="6"/>
      <c r="K2921" s="6"/>
      <c r="L2921" s="6"/>
      <c r="M2921" s="6"/>
      <c r="N2921" s="6"/>
      <c r="O2921" s="6"/>
      <c r="Q2921" s="6"/>
    </row>
    <row r="2922" spans="1:17">
      <c r="A2922" s="6"/>
      <c r="B2922" s="6"/>
      <c r="C2922" s="6"/>
      <c r="D2922" s="6"/>
      <c r="E2922" s="6"/>
      <c r="F2922" s="6"/>
      <c r="G2922" s="76"/>
      <c r="H2922" s="76"/>
      <c r="I2922" s="6"/>
      <c r="J2922" s="6"/>
      <c r="K2922" s="6"/>
      <c r="L2922" s="6"/>
      <c r="M2922" s="6"/>
      <c r="N2922" s="6"/>
      <c r="O2922" s="6"/>
      <c r="Q2922" s="6"/>
    </row>
    <row r="2923" spans="1:17">
      <c r="A2923" s="6"/>
      <c r="B2923" s="6"/>
      <c r="C2923" s="6"/>
      <c r="D2923" s="6"/>
      <c r="E2923" s="6"/>
      <c r="F2923" s="6"/>
      <c r="G2923" s="76"/>
      <c r="H2923" s="76"/>
      <c r="I2923" s="6"/>
      <c r="J2923" s="6"/>
      <c r="K2923" s="6"/>
      <c r="L2923" s="6"/>
      <c r="M2923" s="6"/>
      <c r="N2923" s="6"/>
      <c r="O2923" s="6"/>
      <c r="Q2923" s="6"/>
    </row>
    <row r="2924" spans="1:17">
      <c r="A2924" s="6"/>
      <c r="B2924" s="6"/>
      <c r="C2924" s="6"/>
      <c r="D2924" s="6"/>
      <c r="E2924" s="6"/>
      <c r="F2924" s="6"/>
      <c r="G2924" s="76"/>
      <c r="H2924" s="76"/>
      <c r="I2924" s="6"/>
      <c r="J2924" s="6"/>
      <c r="K2924" s="6"/>
      <c r="L2924" s="6"/>
      <c r="M2924" s="6"/>
      <c r="N2924" s="6"/>
      <c r="O2924" s="6"/>
      <c r="Q2924" s="6"/>
    </row>
    <row r="2925" spans="1:17">
      <c r="A2925" s="6"/>
      <c r="B2925" s="6"/>
      <c r="C2925" s="6"/>
      <c r="D2925" s="6"/>
      <c r="E2925" s="6"/>
      <c r="F2925" s="6"/>
      <c r="G2925" s="76"/>
      <c r="H2925" s="76"/>
      <c r="I2925" s="6"/>
      <c r="J2925" s="6"/>
      <c r="K2925" s="6"/>
      <c r="L2925" s="6"/>
      <c r="M2925" s="6"/>
      <c r="N2925" s="6"/>
      <c r="O2925" s="6"/>
      <c r="Q2925" s="6"/>
    </row>
    <row r="2926" spans="1:17">
      <c r="A2926" s="6"/>
      <c r="B2926" s="6"/>
      <c r="C2926" s="6"/>
      <c r="D2926" s="6"/>
      <c r="E2926" s="6"/>
      <c r="F2926" s="6"/>
      <c r="G2926" s="76"/>
      <c r="H2926" s="76"/>
      <c r="I2926" s="6"/>
      <c r="J2926" s="6"/>
      <c r="K2926" s="6"/>
      <c r="L2926" s="6"/>
      <c r="M2926" s="6"/>
      <c r="N2926" s="6"/>
      <c r="O2926" s="6"/>
      <c r="Q2926" s="6"/>
    </row>
    <row r="2927" spans="1:17">
      <c r="A2927" s="6"/>
      <c r="B2927" s="6"/>
      <c r="C2927" s="6"/>
      <c r="D2927" s="6"/>
      <c r="E2927" s="6"/>
      <c r="F2927" s="6"/>
      <c r="G2927" s="76"/>
      <c r="H2927" s="76"/>
      <c r="I2927" s="6"/>
      <c r="J2927" s="6"/>
      <c r="K2927" s="6"/>
      <c r="L2927" s="6"/>
      <c r="M2927" s="6"/>
      <c r="N2927" s="6"/>
      <c r="O2927" s="6"/>
      <c r="Q2927" s="6"/>
    </row>
    <row r="2928" spans="1:17">
      <c r="A2928" s="6"/>
      <c r="B2928" s="6"/>
      <c r="C2928" s="6"/>
      <c r="D2928" s="6"/>
      <c r="E2928" s="6"/>
      <c r="F2928" s="6"/>
      <c r="G2928" s="76"/>
      <c r="H2928" s="76"/>
      <c r="I2928" s="6"/>
      <c r="J2928" s="6"/>
      <c r="K2928" s="6"/>
      <c r="L2928" s="6"/>
      <c r="M2928" s="6"/>
      <c r="N2928" s="6"/>
      <c r="O2928" s="6"/>
      <c r="Q2928" s="6"/>
    </row>
    <row r="2929" spans="1:17">
      <c r="A2929" s="6"/>
      <c r="B2929" s="6"/>
      <c r="C2929" s="6"/>
      <c r="D2929" s="6"/>
      <c r="E2929" s="6"/>
      <c r="F2929" s="6"/>
      <c r="G2929" s="76"/>
      <c r="H2929" s="76"/>
      <c r="I2929" s="6"/>
      <c r="J2929" s="6"/>
      <c r="K2929" s="6"/>
      <c r="L2929" s="6"/>
      <c r="M2929" s="6"/>
      <c r="N2929" s="6"/>
      <c r="O2929" s="6"/>
      <c r="Q2929" s="6"/>
    </row>
    <row r="2930" spans="1:17">
      <c r="A2930" s="6"/>
      <c r="B2930" s="6"/>
      <c r="C2930" s="6"/>
      <c r="D2930" s="6"/>
      <c r="E2930" s="6"/>
      <c r="F2930" s="6"/>
      <c r="G2930" s="76"/>
      <c r="H2930" s="76"/>
      <c r="I2930" s="6"/>
      <c r="J2930" s="6"/>
      <c r="K2930" s="6"/>
      <c r="L2930" s="6"/>
      <c r="M2930" s="6"/>
      <c r="N2930" s="6"/>
      <c r="O2930" s="6"/>
      <c r="Q2930" s="6"/>
    </row>
    <row r="2931" spans="1:17">
      <c r="A2931" s="6"/>
      <c r="B2931" s="6"/>
      <c r="C2931" s="6"/>
      <c r="D2931" s="6"/>
      <c r="E2931" s="6"/>
      <c r="F2931" s="6"/>
      <c r="G2931" s="76"/>
      <c r="H2931" s="76"/>
      <c r="I2931" s="6"/>
      <c r="J2931" s="6"/>
      <c r="K2931" s="6"/>
      <c r="L2931" s="6"/>
      <c r="M2931" s="6"/>
      <c r="N2931" s="6"/>
      <c r="O2931" s="6"/>
      <c r="Q2931" s="6"/>
    </row>
    <row r="2932" spans="1:17">
      <c r="A2932" s="6"/>
      <c r="B2932" s="6"/>
      <c r="C2932" s="6"/>
      <c r="D2932" s="6"/>
      <c r="E2932" s="6"/>
      <c r="F2932" s="6"/>
      <c r="G2932" s="76"/>
      <c r="H2932" s="76"/>
      <c r="I2932" s="6"/>
      <c r="J2932" s="6"/>
      <c r="K2932" s="6"/>
      <c r="L2932" s="6"/>
      <c r="M2932" s="6"/>
      <c r="N2932" s="6"/>
      <c r="O2932" s="6"/>
      <c r="Q2932" s="6"/>
    </row>
    <row r="2933" spans="1:17">
      <c r="A2933" s="6"/>
      <c r="B2933" s="6"/>
      <c r="C2933" s="6"/>
      <c r="D2933" s="6"/>
      <c r="E2933" s="6"/>
      <c r="F2933" s="6"/>
      <c r="G2933" s="76"/>
      <c r="H2933" s="76"/>
      <c r="I2933" s="6"/>
      <c r="J2933" s="6"/>
      <c r="K2933" s="6"/>
      <c r="L2933" s="6"/>
      <c r="M2933" s="6"/>
      <c r="N2933" s="6"/>
      <c r="O2933" s="6"/>
      <c r="Q2933" s="6"/>
    </row>
    <row r="2934" spans="1:17">
      <c r="A2934" s="6"/>
      <c r="B2934" s="6"/>
      <c r="C2934" s="6"/>
      <c r="D2934" s="6"/>
      <c r="E2934" s="6"/>
      <c r="F2934" s="6"/>
      <c r="G2934" s="76"/>
      <c r="H2934" s="76"/>
      <c r="I2934" s="6"/>
      <c r="J2934" s="6"/>
      <c r="K2934" s="6"/>
      <c r="L2934" s="6"/>
      <c r="M2934" s="6"/>
      <c r="N2934" s="6"/>
      <c r="O2934" s="6"/>
      <c r="Q2934" s="6"/>
    </row>
    <row r="2935" spans="1:17">
      <c r="A2935" s="6"/>
      <c r="B2935" s="6"/>
      <c r="C2935" s="6"/>
      <c r="D2935" s="6"/>
      <c r="E2935" s="6"/>
      <c r="F2935" s="6"/>
      <c r="G2935" s="76"/>
      <c r="H2935" s="76"/>
      <c r="I2935" s="6"/>
      <c r="J2935" s="6"/>
      <c r="K2935" s="6"/>
      <c r="L2935" s="6"/>
      <c r="M2935" s="6"/>
      <c r="N2935" s="6"/>
      <c r="O2935" s="6"/>
      <c r="Q2935" s="6"/>
    </row>
    <row r="2936" spans="1:17">
      <c r="A2936" s="6"/>
      <c r="B2936" s="6"/>
      <c r="C2936" s="6"/>
      <c r="D2936" s="6"/>
      <c r="E2936" s="6"/>
      <c r="F2936" s="6"/>
      <c r="G2936" s="76"/>
      <c r="H2936" s="76"/>
      <c r="I2936" s="6"/>
      <c r="J2936" s="6"/>
      <c r="K2936" s="6"/>
      <c r="L2936" s="6"/>
      <c r="M2936" s="6"/>
      <c r="N2936" s="6"/>
      <c r="O2936" s="6"/>
      <c r="Q2936" s="6"/>
    </row>
    <row r="2937" spans="1:17">
      <c r="A2937" s="6"/>
      <c r="B2937" s="6"/>
      <c r="C2937" s="6"/>
      <c r="D2937" s="6"/>
      <c r="E2937" s="6"/>
      <c r="F2937" s="6"/>
      <c r="G2937" s="76"/>
      <c r="H2937" s="76"/>
      <c r="I2937" s="6"/>
      <c r="J2937" s="6"/>
      <c r="K2937" s="6"/>
      <c r="L2937" s="6"/>
      <c r="M2937" s="6"/>
      <c r="N2937" s="6"/>
      <c r="O2937" s="6"/>
      <c r="Q2937" s="6"/>
    </row>
    <row r="2938" spans="1:17">
      <c r="A2938" s="6"/>
      <c r="B2938" s="6"/>
      <c r="C2938" s="6"/>
      <c r="D2938" s="6"/>
      <c r="E2938" s="6"/>
      <c r="F2938" s="6"/>
      <c r="G2938" s="76"/>
      <c r="H2938" s="76"/>
      <c r="I2938" s="6"/>
      <c r="J2938" s="6"/>
      <c r="K2938" s="6"/>
      <c r="L2938" s="6"/>
      <c r="M2938" s="6"/>
      <c r="N2938" s="6"/>
      <c r="O2938" s="6"/>
      <c r="Q2938" s="6"/>
    </row>
    <row r="2939" spans="1:17">
      <c r="A2939" s="6"/>
      <c r="B2939" s="6"/>
      <c r="C2939" s="6"/>
      <c r="D2939" s="6"/>
      <c r="E2939" s="6"/>
      <c r="F2939" s="6"/>
      <c r="G2939" s="76"/>
      <c r="H2939" s="76"/>
      <c r="I2939" s="6"/>
      <c r="J2939" s="6"/>
      <c r="K2939" s="6"/>
      <c r="L2939" s="6"/>
      <c r="M2939" s="6"/>
      <c r="N2939" s="6"/>
      <c r="O2939" s="6"/>
      <c r="Q2939" s="6"/>
    </row>
    <row r="2940" spans="1:17">
      <c r="A2940" s="6"/>
      <c r="B2940" s="6"/>
      <c r="C2940" s="6"/>
      <c r="D2940" s="6"/>
      <c r="E2940" s="6"/>
      <c r="F2940" s="6"/>
      <c r="G2940" s="76"/>
      <c r="H2940" s="76"/>
      <c r="I2940" s="6"/>
      <c r="J2940" s="6"/>
      <c r="K2940" s="6"/>
      <c r="L2940" s="6"/>
      <c r="M2940" s="6"/>
      <c r="N2940" s="6"/>
      <c r="O2940" s="6"/>
      <c r="Q2940" s="6"/>
    </row>
    <row r="2941" spans="1:17">
      <c r="A2941" s="6"/>
      <c r="B2941" s="6"/>
      <c r="C2941" s="6"/>
      <c r="D2941" s="6"/>
      <c r="E2941" s="6"/>
      <c r="F2941" s="6"/>
      <c r="G2941" s="76"/>
      <c r="H2941" s="76"/>
      <c r="I2941" s="6"/>
      <c r="J2941" s="6"/>
      <c r="K2941" s="6"/>
      <c r="L2941" s="6"/>
      <c r="M2941" s="6"/>
      <c r="N2941" s="6"/>
      <c r="O2941" s="6"/>
      <c r="Q2941" s="6"/>
    </row>
    <row r="2942" spans="1:17">
      <c r="A2942" s="6"/>
      <c r="B2942" s="6"/>
      <c r="C2942" s="6"/>
      <c r="D2942" s="6"/>
      <c r="E2942" s="6"/>
      <c r="F2942" s="6"/>
      <c r="G2942" s="76"/>
      <c r="H2942" s="76"/>
      <c r="I2942" s="6"/>
      <c r="J2942" s="6"/>
      <c r="K2942" s="6"/>
      <c r="L2942" s="6"/>
      <c r="M2942" s="6"/>
      <c r="N2942" s="6"/>
      <c r="O2942" s="6"/>
      <c r="Q2942" s="6"/>
    </row>
    <row r="2943" spans="1:17">
      <c r="A2943" s="6"/>
      <c r="B2943" s="6"/>
      <c r="C2943" s="6"/>
      <c r="D2943" s="6"/>
      <c r="E2943" s="6"/>
      <c r="F2943" s="6"/>
      <c r="G2943" s="76"/>
      <c r="H2943" s="76"/>
      <c r="I2943" s="6"/>
      <c r="J2943" s="6"/>
      <c r="K2943" s="6"/>
      <c r="L2943" s="6"/>
      <c r="M2943" s="6"/>
      <c r="N2943" s="6"/>
      <c r="O2943" s="6"/>
      <c r="Q2943" s="6"/>
    </row>
    <row r="2944" spans="1:17">
      <c r="A2944" s="6"/>
      <c r="B2944" s="6"/>
      <c r="C2944" s="6"/>
      <c r="D2944" s="6"/>
      <c r="E2944" s="6"/>
      <c r="F2944" s="6"/>
      <c r="G2944" s="76"/>
      <c r="H2944" s="76"/>
      <c r="I2944" s="6"/>
      <c r="J2944" s="6"/>
      <c r="K2944" s="6"/>
      <c r="L2944" s="6"/>
      <c r="M2944" s="6"/>
      <c r="N2944" s="6"/>
      <c r="O2944" s="6"/>
      <c r="Q2944" s="6"/>
    </row>
    <row r="2945" spans="1:17">
      <c r="A2945" s="6"/>
      <c r="B2945" s="6"/>
      <c r="C2945" s="6"/>
      <c r="D2945" s="6"/>
      <c r="E2945" s="6"/>
      <c r="F2945" s="6"/>
      <c r="G2945" s="76"/>
      <c r="H2945" s="76"/>
      <c r="I2945" s="6"/>
      <c r="J2945" s="6"/>
      <c r="K2945" s="6"/>
      <c r="L2945" s="6"/>
      <c r="M2945" s="6"/>
      <c r="N2945" s="6"/>
      <c r="O2945" s="6"/>
      <c r="Q2945" s="6"/>
    </row>
    <row r="2946" spans="1:17">
      <c r="A2946" s="6"/>
      <c r="B2946" s="6"/>
      <c r="C2946" s="6"/>
      <c r="D2946" s="6"/>
      <c r="E2946" s="6"/>
      <c r="F2946" s="6"/>
      <c r="G2946" s="76"/>
      <c r="H2946" s="76"/>
      <c r="I2946" s="6"/>
      <c r="J2946" s="6"/>
      <c r="K2946" s="6"/>
      <c r="L2946" s="6"/>
      <c r="M2946" s="6"/>
      <c r="N2946" s="6"/>
      <c r="O2946" s="6"/>
      <c r="Q2946" s="6"/>
    </row>
    <row r="2947" spans="1:17">
      <c r="A2947" s="6"/>
      <c r="B2947" s="6"/>
      <c r="C2947" s="6"/>
      <c r="D2947" s="6"/>
      <c r="E2947" s="6"/>
      <c r="F2947" s="6"/>
      <c r="G2947" s="76"/>
      <c r="H2947" s="76"/>
      <c r="I2947" s="6"/>
      <c r="J2947" s="6"/>
      <c r="K2947" s="6"/>
      <c r="L2947" s="6"/>
      <c r="M2947" s="6"/>
      <c r="N2947" s="6"/>
      <c r="O2947" s="6"/>
      <c r="Q2947" s="6"/>
    </row>
    <row r="2948" spans="1:17">
      <c r="A2948" s="6"/>
      <c r="B2948" s="6"/>
      <c r="C2948" s="6"/>
      <c r="D2948" s="6"/>
      <c r="E2948" s="6"/>
      <c r="F2948" s="6"/>
      <c r="G2948" s="76"/>
      <c r="H2948" s="76"/>
      <c r="I2948" s="6"/>
      <c r="J2948" s="6"/>
      <c r="K2948" s="6"/>
      <c r="L2948" s="6"/>
      <c r="M2948" s="6"/>
      <c r="N2948" s="6"/>
      <c r="O2948" s="6"/>
      <c r="Q2948" s="6"/>
    </row>
    <row r="2949" spans="1:17">
      <c r="A2949" s="6"/>
      <c r="B2949" s="6"/>
      <c r="C2949" s="6"/>
      <c r="D2949" s="6"/>
      <c r="E2949" s="6"/>
      <c r="F2949" s="6"/>
      <c r="G2949" s="76"/>
      <c r="H2949" s="76"/>
      <c r="I2949" s="6"/>
      <c r="J2949" s="6"/>
      <c r="K2949" s="6"/>
      <c r="L2949" s="6"/>
      <c r="M2949" s="6"/>
      <c r="N2949" s="6"/>
      <c r="O2949" s="6"/>
      <c r="Q2949" s="6"/>
    </row>
    <row r="2950" spans="1:17">
      <c r="A2950" s="6"/>
      <c r="B2950" s="6"/>
      <c r="C2950" s="6"/>
      <c r="D2950" s="6"/>
      <c r="E2950" s="6"/>
      <c r="F2950" s="6"/>
      <c r="G2950" s="76"/>
      <c r="H2950" s="76"/>
      <c r="I2950" s="6"/>
      <c r="J2950" s="6"/>
      <c r="K2950" s="6"/>
      <c r="L2950" s="6"/>
      <c r="M2950" s="6"/>
      <c r="N2950" s="6"/>
      <c r="O2950" s="6"/>
      <c r="Q2950" s="6"/>
    </row>
    <row r="2951" spans="1:17">
      <c r="A2951" s="6"/>
      <c r="B2951" s="6"/>
      <c r="C2951" s="6"/>
      <c r="D2951" s="6"/>
      <c r="E2951" s="6"/>
      <c r="F2951" s="6"/>
      <c r="G2951" s="76"/>
      <c r="H2951" s="76"/>
      <c r="I2951" s="6"/>
      <c r="J2951" s="6"/>
      <c r="K2951" s="6"/>
      <c r="L2951" s="6"/>
      <c r="M2951" s="6"/>
      <c r="N2951" s="6"/>
      <c r="O2951" s="6"/>
      <c r="Q2951" s="6"/>
    </row>
    <row r="2952" spans="1:17">
      <c r="A2952" s="6"/>
      <c r="B2952" s="6"/>
      <c r="C2952" s="6"/>
      <c r="D2952" s="6"/>
      <c r="E2952" s="6"/>
      <c r="F2952" s="6"/>
      <c r="G2952" s="76"/>
      <c r="H2952" s="76"/>
      <c r="I2952" s="6"/>
      <c r="J2952" s="6"/>
      <c r="K2952" s="6"/>
      <c r="L2952" s="6"/>
      <c r="M2952" s="6"/>
      <c r="N2952" s="6"/>
      <c r="O2952" s="6"/>
      <c r="Q2952" s="6"/>
    </row>
    <row r="2953" spans="1:17">
      <c r="A2953" s="6"/>
      <c r="B2953" s="6"/>
      <c r="C2953" s="6"/>
      <c r="D2953" s="6"/>
      <c r="E2953" s="6"/>
      <c r="F2953" s="6"/>
      <c r="G2953" s="76"/>
      <c r="H2953" s="76"/>
      <c r="I2953" s="6"/>
      <c r="J2953" s="6"/>
      <c r="K2953" s="6"/>
      <c r="L2953" s="6"/>
      <c r="M2953" s="6"/>
      <c r="N2953" s="6"/>
      <c r="O2953" s="6"/>
      <c r="Q2953" s="6"/>
    </row>
    <row r="2954" spans="1:17">
      <c r="A2954" s="6"/>
      <c r="B2954" s="6"/>
      <c r="C2954" s="6"/>
      <c r="D2954" s="6"/>
      <c r="E2954" s="6"/>
      <c r="F2954" s="6"/>
      <c r="G2954" s="76"/>
      <c r="H2954" s="76"/>
      <c r="I2954" s="6"/>
      <c r="J2954" s="6"/>
      <c r="K2954" s="6"/>
      <c r="L2954" s="6"/>
      <c r="M2954" s="6"/>
      <c r="N2954" s="6"/>
      <c r="O2954" s="6"/>
      <c r="Q2954" s="6"/>
    </row>
    <row r="2955" spans="1:17">
      <c r="A2955" s="6"/>
      <c r="B2955" s="6"/>
      <c r="C2955" s="6"/>
      <c r="D2955" s="6"/>
      <c r="E2955" s="6"/>
      <c r="F2955" s="6"/>
      <c r="G2955" s="76"/>
      <c r="H2955" s="76"/>
      <c r="I2955" s="6"/>
      <c r="J2955" s="6"/>
      <c r="K2955" s="6"/>
      <c r="L2955" s="6"/>
      <c r="M2955" s="6"/>
      <c r="N2955" s="6"/>
      <c r="O2955" s="6"/>
      <c r="Q2955" s="6"/>
    </row>
    <row r="2956" spans="1:17">
      <c r="A2956" s="6"/>
      <c r="B2956" s="6"/>
      <c r="C2956" s="6"/>
      <c r="D2956" s="6"/>
      <c r="E2956" s="6"/>
      <c r="F2956" s="6"/>
      <c r="G2956" s="76"/>
      <c r="H2956" s="76"/>
      <c r="I2956" s="6"/>
      <c r="J2956" s="6"/>
      <c r="K2956" s="6"/>
      <c r="L2956" s="6"/>
      <c r="M2956" s="6"/>
      <c r="N2956" s="6"/>
      <c r="O2956" s="6"/>
      <c r="Q2956" s="6"/>
    </row>
    <row r="2957" spans="1:17">
      <c r="A2957" s="6"/>
      <c r="B2957" s="6"/>
      <c r="C2957" s="6"/>
      <c r="D2957" s="6"/>
      <c r="E2957" s="6"/>
      <c r="F2957" s="6"/>
      <c r="G2957" s="76"/>
      <c r="H2957" s="76"/>
      <c r="I2957" s="6"/>
      <c r="J2957" s="6"/>
      <c r="K2957" s="6"/>
      <c r="L2957" s="6"/>
      <c r="M2957" s="6"/>
      <c r="N2957" s="6"/>
      <c r="O2957" s="6"/>
      <c r="Q2957" s="6"/>
    </row>
    <row r="2958" spans="1:17">
      <c r="A2958" s="6"/>
      <c r="B2958" s="6"/>
      <c r="C2958" s="6"/>
      <c r="D2958" s="6"/>
      <c r="E2958" s="6"/>
      <c r="F2958" s="6"/>
      <c r="G2958" s="76"/>
      <c r="H2958" s="76"/>
      <c r="I2958" s="6"/>
      <c r="J2958" s="6"/>
      <c r="K2958" s="6"/>
      <c r="L2958" s="6"/>
      <c r="M2958" s="6"/>
      <c r="N2958" s="6"/>
      <c r="O2958" s="6"/>
      <c r="Q2958" s="6"/>
    </row>
    <row r="2959" spans="1:17">
      <c r="A2959" s="6"/>
      <c r="B2959" s="6"/>
      <c r="C2959" s="6"/>
      <c r="D2959" s="6"/>
      <c r="E2959" s="6"/>
      <c r="F2959" s="6"/>
      <c r="G2959" s="76"/>
      <c r="H2959" s="76"/>
      <c r="I2959" s="6"/>
      <c r="J2959" s="6"/>
      <c r="K2959" s="6"/>
      <c r="L2959" s="6"/>
      <c r="M2959" s="6"/>
      <c r="N2959" s="6"/>
      <c r="O2959" s="6"/>
      <c r="Q2959" s="6"/>
    </row>
    <row r="2960" spans="1:17">
      <c r="A2960" s="6"/>
      <c r="B2960" s="6"/>
      <c r="C2960" s="6"/>
      <c r="D2960" s="6"/>
      <c r="E2960" s="6"/>
      <c r="F2960" s="6"/>
      <c r="G2960" s="76"/>
      <c r="H2960" s="76"/>
      <c r="I2960" s="6"/>
      <c r="J2960" s="6"/>
      <c r="K2960" s="6"/>
      <c r="L2960" s="6"/>
      <c r="M2960" s="6"/>
      <c r="N2960" s="6"/>
      <c r="O2960" s="6"/>
      <c r="Q2960" s="6"/>
    </row>
    <row r="2961" spans="1:17">
      <c r="A2961" s="6"/>
      <c r="B2961" s="6"/>
      <c r="C2961" s="6"/>
      <c r="D2961" s="6"/>
      <c r="E2961" s="6"/>
      <c r="F2961" s="6"/>
      <c r="G2961" s="76"/>
      <c r="H2961" s="76"/>
      <c r="I2961" s="6"/>
      <c r="J2961" s="6"/>
      <c r="K2961" s="6"/>
      <c r="L2961" s="6"/>
      <c r="M2961" s="6"/>
      <c r="N2961" s="6"/>
      <c r="O2961" s="6"/>
      <c r="Q2961" s="6"/>
    </row>
    <row r="2962" spans="1:17">
      <c r="A2962" s="6"/>
      <c r="B2962" s="6"/>
      <c r="C2962" s="6"/>
      <c r="D2962" s="6"/>
      <c r="E2962" s="6"/>
      <c r="F2962" s="6"/>
      <c r="G2962" s="76"/>
      <c r="H2962" s="76"/>
      <c r="I2962" s="6"/>
      <c r="J2962" s="6"/>
      <c r="K2962" s="6"/>
      <c r="L2962" s="6"/>
      <c r="M2962" s="6"/>
      <c r="N2962" s="6"/>
      <c r="O2962" s="6"/>
      <c r="Q2962" s="6"/>
    </row>
    <row r="2963" spans="1:17">
      <c r="A2963" s="6"/>
      <c r="B2963" s="6"/>
      <c r="C2963" s="6"/>
      <c r="D2963" s="6"/>
      <c r="E2963" s="6"/>
      <c r="F2963" s="6"/>
      <c r="G2963" s="76"/>
      <c r="H2963" s="76"/>
      <c r="I2963" s="6"/>
      <c r="J2963" s="6"/>
      <c r="K2963" s="6"/>
      <c r="L2963" s="6"/>
      <c r="M2963" s="6"/>
      <c r="N2963" s="6"/>
      <c r="O2963" s="6"/>
      <c r="Q2963" s="6"/>
    </row>
    <row r="2964" spans="1:17">
      <c r="A2964" s="6"/>
      <c r="B2964" s="6"/>
      <c r="C2964" s="6"/>
      <c r="D2964" s="6"/>
      <c r="E2964" s="6"/>
      <c r="F2964" s="6"/>
      <c r="G2964" s="76"/>
      <c r="H2964" s="76"/>
      <c r="I2964" s="6"/>
      <c r="J2964" s="6"/>
      <c r="K2964" s="6"/>
      <c r="L2964" s="6"/>
      <c r="M2964" s="6"/>
      <c r="N2964" s="6"/>
      <c r="O2964" s="6"/>
      <c r="Q2964" s="6"/>
    </row>
    <row r="2965" spans="1:17">
      <c r="A2965" s="6"/>
      <c r="B2965" s="6"/>
      <c r="C2965" s="6"/>
      <c r="D2965" s="6"/>
      <c r="E2965" s="6"/>
      <c r="F2965" s="6"/>
      <c r="G2965" s="76"/>
      <c r="H2965" s="76"/>
      <c r="I2965" s="6"/>
      <c r="J2965" s="6"/>
      <c r="K2965" s="6"/>
      <c r="L2965" s="6"/>
      <c r="M2965" s="6"/>
      <c r="N2965" s="6"/>
      <c r="O2965" s="6"/>
      <c r="Q2965" s="6"/>
    </row>
    <row r="2966" spans="1:17">
      <c r="A2966" s="6"/>
      <c r="B2966" s="6"/>
      <c r="C2966" s="6"/>
      <c r="D2966" s="6"/>
      <c r="E2966" s="6"/>
      <c r="F2966" s="6"/>
      <c r="G2966" s="76"/>
      <c r="H2966" s="76"/>
      <c r="I2966" s="6"/>
      <c r="J2966" s="6"/>
      <c r="K2966" s="6"/>
      <c r="L2966" s="6"/>
      <c r="M2966" s="6"/>
      <c r="N2966" s="6"/>
      <c r="O2966" s="6"/>
      <c r="Q2966" s="6"/>
    </row>
    <row r="2967" spans="1:17">
      <c r="A2967" s="6"/>
      <c r="B2967" s="6"/>
      <c r="C2967" s="6"/>
      <c r="D2967" s="6"/>
      <c r="E2967" s="6"/>
      <c r="F2967" s="6"/>
      <c r="G2967" s="76"/>
      <c r="H2967" s="76"/>
      <c r="I2967" s="6"/>
      <c r="J2967" s="6"/>
      <c r="K2967" s="6"/>
      <c r="L2967" s="6"/>
      <c r="M2967" s="6"/>
      <c r="N2967" s="6"/>
      <c r="O2967" s="6"/>
      <c r="Q2967" s="6"/>
    </row>
    <row r="2968" spans="1:17">
      <c r="A2968" s="6"/>
      <c r="B2968" s="6"/>
      <c r="C2968" s="6"/>
      <c r="D2968" s="6"/>
      <c r="E2968" s="6"/>
      <c r="F2968" s="6"/>
      <c r="G2968" s="76"/>
      <c r="H2968" s="76"/>
      <c r="I2968" s="6"/>
      <c r="J2968" s="6"/>
      <c r="K2968" s="6"/>
      <c r="L2968" s="6"/>
      <c r="M2968" s="6"/>
      <c r="N2968" s="6"/>
      <c r="O2968" s="6"/>
      <c r="Q2968" s="6"/>
    </row>
    <row r="2969" spans="1:17">
      <c r="A2969" s="6"/>
      <c r="B2969" s="6"/>
      <c r="C2969" s="6"/>
      <c r="D2969" s="6"/>
      <c r="E2969" s="6"/>
      <c r="F2969" s="6"/>
      <c r="G2969" s="76"/>
      <c r="H2969" s="76"/>
      <c r="I2969" s="6"/>
      <c r="J2969" s="6"/>
      <c r="K2969" s="6"/>
      <c r="L2969" s="6"/>
      <c r="M2969" s="6"/>
      <c r="N2969" s="6"/>
      <c r="O2969" s="6"/>
      <c r="Q2969" s="6"/>
    </row>
    <row r="2970" spans="1:17">
      <c r="A2970" s="6"/>
      <c r="B2970" s="6"/>
      <c r="C2970" s="6"/>
      <c r="D2970" s="6"/>
      <c r="E2970" s="6"/>
      <c r="F2970" s="6"/>
      <c r="G2970" s="76"/>
      <c r="H2970" s="76"/>
      <c r="I2970" s="6"/>
      <c r="J2970" s="6"/>
      <c r="K2970" s="6"/>
      <c r="L2970" s="6"/>
      <c r="M2970" s="6"/>
      <c r="N2970" s="6"/>
      <c r="O2970" s="6"/>
      <c r="Q2970" s="6"/>
    </row>
    <row r="2971" spans="1:17">
      <c r="A2971" s="6"/>
      <c r="B2971" s="6"/>
      <c r="C2971" s="6"/>
      <c r="D2971" s="6"/>
      <c r="E2971" s="6"/>
      <c r="F2971" s="6"/>
      <c r="G2971" s="76"/>
      <c r="H2971" s="76"/>
      <c r="I2971" s="6"/>
      <c r="J2971" s="6"/>
      <c r="K2971" s="6"/>
      <c r="L2971" s="6"/>
      <c r="M2971" s="6"/>
      <c r="N2971" s="6"/>
      <c r="O2971" s="6"/>
      <c r="Q2971" s="6"/>
    </row>
    <row r="2972" spans="1:17">
      <c r="A2972" s="6"/>
      <c r="B2972" s="6"/>
      <c r="C2972" s="6"/>
      <c r="D2972" s="6"/>
      <c r="E2972" s="6"/>
      <c r="F2972" s="6"/>
      <c r="G2972" s="76"/>
      <c r="H2972" s="76"/>
      <c r="I2972" s="6"/>
      <c r="J2972" s="6"/>
      <c r="K2972" s="6"/>
      <c r="L2972" s="6"/>
      <c r="M2972" s="6"/>
      <c r="N2972" s="6"/>
      <c r="O2972" s="6"/>
      <c r="Q2972" s="6"/>
    </row>
    <row r="2973" spans="1:17">
      <c r="A2973" s="6"/>
      <c r="B2973" s="6"/>
      <c r="C2973" s="6"/>
      <c r="D2973" s="6"/>
      <c r="E2973" s="6"/>
      <c r="F2973" s="6"/>
      <c r="G2973" s="76"/>
      <c r="H2973" s="76"/>
      <c r="I2973" s="6"/>
      <c r="J2973" s="6"/>
      <c r="K2973" s="6"/>
      <c r="L2973" s="6"/>
      <c r="M2973" s="6"/>
      <c r="N2973" s="6"/>
      <c r="O2973" s="6"/>
      <c r="Q2973" s="6"/>
    </row>
    <row r="2974" spans="1:17">
      <c r="A2974" s="6"/>
      <c r="B2974" s="6"/>
      <c r="C2974" s="6"/>
      <c r="D2974" s="6"/>
      <c r="E2974" s="6"/>
      <c r="F2974" s="6"/>
      <c r="G2974" s="76"/>
      <c r="H2974" s="76"/>
      <c r="I2974" s="6"/>
      <c r="J2974" s="6"/>
      <c r="K2974" s="6"/>
      <c r="L2974" s="6"/>
      <c r="M2974" s="6"/>
      <c r="N2974" s="6"/>
      <c r="O2974" s="6"/>
      <c r="Q2974" s="6"/>
    </row>
    <row r="2975" spans="1:17">
      <c r="A2975" s="6"/>
      <c r="B2975" s="6"/>
      <c r="C2975" s="6"/>
      <c r="D2975" s="6"/>
      <c r="E2975" s="6"/>
      <c r="F2975" s="6"/>
      <c r="G2975" s="76"/>
      <c r="H2975" s="76"/>
      <c r="I2975" s="6"/>
      <c r="J2975" s="6"/>
      <c r="K2975" s="6"/>
      <c r="L2975" s="6"/>
      <c r="M2975" s="6"/>
      <c r="N2975" s="6"/>
      <c r="O2975" s="6"/>
      <c r="Q2975" s="6"/>
    </row>
    <row r="2976" spans="1:17">
      <c r="A2976" s="6"/>
      <c r="B2976" s="6"/>
      <c r="C2976" s="6"/>
      <c r="D2976" s="6"/>
      <c r="E2976" s="6"/>
      <c r="F2976" s="6"/>
      <c r="G2976" s="76"/>
      <c r="H2976" s="76"/>
      <c r="I2976" s="6"/>
      <c r="J2976" s="6"/>
      <c r="K2976" s="6"/>
      <c r="L2976" s="6"/>
      <c r="M2976" s="6"/>
      <c r="N2976" s="6"/>
      <c r="O2976" s="6"/>
      <c r="Q2976" s="6"/>
    </row>
    <row r="2977" spans="1:17">
      <c r="A2977" s="6"/>
      <c r="B2977" s="6"/>
      <c r="C2977" s="6"/>
      <c r="D2977" s="6"/>
      <c r="E2977" s="6"/>
      <c r="F2977" s="6"/>
      <c r="G2977" s="76"/>
      <c r="H2977" s="76"/>
      <c r="I2977" s="6"/>
      <c r="J2977" s="6"/>
      <c r="K2977" s="6"/>
      <c r="L2977" s="6"/>
      <c r="M2977" s="6"/>
      <c r="N2977" s="6"/>
      <c r="O2977" s="6"/>
      <c r="Q2977" s="6"/>
    </row>
    <row r="2978" spans="1:17">
      <c r="A2978" s="6"/>
      <c r="B2978" s="6"/>
      <c r="C2978" s="6"/>
      <c r="D2978" s="6"/>
      <c r="E2978" s="6"/>
      <c r="F2978" s="6"/>
      <c r="G2978" s="76"/>
      <c r="H2978" s="76"/>
      <c r="I2978" s="6"/>
      <c r="J2978" s="6"/>
      <c r="K2978" s="6"/>
      <c r="L2978" s="6"/>
      <c r="M2978" s="6"/>
      <c r="N2978" s="6"/>
      <c r="O2978" s="6"/>
      <c r="Q2978" s="6"/>
    </row>
    <row r="2979" spans="1:17">
      <c r="A2979" s="6"/>
      <c r="B2979" s="6"/>
      <c r="C2979" s="6"/>
      <c r="D2979" s="6"/>
      <c r="E2979" s="6"/>
      <c r="F2979" s="6"/>
      <c r="G2979" s="76"/>
      <c r="H2979" s="76"/>
      <c r="I2979" s="6"/>
      <c r="J2979" s="6"/>
      <c r="K2979" s="6"/>
      <c r="L2979" s="6"/>
      <c r="M2979" s="6"/>
      <c r="N2979" s="6"/>
      <c r="O2979" s="6"/>
      <c r="Q2979" s="6"/>
    </row>
    <row r="2980" spans="1:17">
      <c r="A2980" s="6"/>
      <c r="B2980" s="6"/>
      <c r="C2980" s="6"/>
      <c r="D2980" s="6"/>
      <c r="E2980" s="6"/>
      <c r="F2980" s="6"/>
      <c r="G2980" s="76"/>
      <c r="H2980" s="76"/>
      <c r="I2980" s="6"/>
      <c r="J2980" s="6"/>
      <c r="K2980" s="6"/>
      <c r="L2980" s="6"/>
      <c r="M2980" s="6"/>
      <c r="N2980" s="6"/>
      <c r="O2980" s="6"/>
      <c r="Q2980" s="6"/>
    </row>
    <row r="2981" spans="1:17">
      <c r="A2981" s="6"/>
      <c r="B2981" s="6"/>
      <c r="C2981" s="6"/>
      <c r="D2981" s="6"/>
      <c r="E2981" s="6"/>
      <c r="F2981" s="6"/>
      <c r="G2981" s="76"/>
      <c r="H2981" s="76"/>
      <c r="I2981" s="6"/>
      <c r="J2981" s="6"/>
      <c r="K2981" s="6"/>
      <c r="L2981" s="6"/>
      <c r="M2981" s="6"/>
      <c r="N2981" s="6"/>
      <c r="O2981" s="6"/>
      <c r="Q2981" s="6"/>
    </row>
    <row r="2982" spans="1:17">
      <c r="A2982" s="6"/>
      <c r="B2982" s="6"/>
      <c r="C2982" s="6"/>
      <c r="D2982" s="6"/>
      <c r="E2982" s="6"/>
      <c r="F2982" s="6"/>
      <c r="G2982" s="76"/>
      <c r="H2982" s="76"/>
      <c r="I2982" s="6"/>
      <c r="J2982" s="6"/>
      <c r="K2982" s="6"/>
      <c r="L2982" s="6"/>
      <c r="M2982" s="6"/>
      <c r="N2982" s="6"/>
      <c r="O2982" s="6"/>
      <c r="Q2982" s="6"/>
    </row>
    <row r="2983" spans="1:17">
      <c r="A2983" s="6"/>
      <c r="B2983" s="6"/>
      <c r="C2983" s="6"/>
      <c r="D2983" s="6"/>
      <c r="E2983" s="6"/>
      <c r="F2983" s="6"/>
      <c r="G2983" s="76"/>
      <c r="H2983" s="76"/>
      <c r="I2983" s="6"/>
      <c r="J2983" s="6"/>
      <c r="K2983" s="6"/>
      <c r="L2983" s="6"/>
      <c r="M2983" s="6"/>
      <c r="N2983" s="6"/>
      <c r="O2983" s="6"/>
      <c r="Q2983" s="6"/>
    </row>
    <row r="2984" spans="1:17">
      <c r="A2984" s="6"/>
      <c r="B2984" s="6"/>
      <c r="C2984" s="6"/>
      <c r="D2984" s="6"/>
      <c r="E2984" s="6"/>
      <c r="F2984" s="6"/>
      <c r="G2984" s="76"/>
      <c r="H2984" s="76"/>
      <c r="I2984" s="6"/>
      <c r="J2984" s="6"/>
      <c r="K2984" s="6"/>
      <c r="L2984" s="6"/>
      <c r="M2984" s="6"/>
      <c r="N2984" s="6"/>
      <c r="O2984" s="6"/>
      <c r="Q2984" s="6"/>
    </row>
    <row r="2985" spans="1:17">
      <c r="A2985" s="6"/>
      <c r="B2985" s="6"/>
      <c r="C2985" s="6"/>
      <c r="D2985" s="6"/>
      <c r="E2985" s="6"/>
      <c r="F2985" s="6"/>
      <c r="G2985" s="76"/>
      <c r="H2985" s="76"/>
      <c r="I2985" s="6"/>
      <c r="J2985" s="6"/>
      <c r="K2985" s="6"/>
      <c r="L2985" s="6"/>
      <c r="M2985" s="6"/>
      <c r="N2985" s="6"/>
      <c r="O2985" s="6"/>
      <c r="Q2985" s="6"/>
    </row>
    <row r="2986" spans="1:17">
      <c r="A2986" s="6"/>
      <c r="B2986" s="6"/>
      <c r="C2986" s="6"/>
      <c r="D2986" s="6"/>
      <c r="E2986" s="6"/>
      <c r="F2986" s="6"/>
      <c r="G2986" s="76"/>
      <c r="H2986" s="76"/>
      <c r="I2986" s="6"/>
      <c r="J2986" s="6"/>
      <c r="K2986" s="6"/>
      <c r="L2986" s="6"/>
      <c r="M2986" s="6"/>
      <c r="N2986" s="6"/>
      <c r="O2986" s="6"/>
      <c r="Q2986" s="6"/>
    </row>
    <row r="2987" spans="1:17">
      <c r="A2987" s="6"/>
      <c r="B2987" s="6"/>
      <c r="C2987" s="6"/>
      <c r="D2987" s="6"/>
      <c r="E2987" s="6"/>
      <c r="F2987" s="6"/>
      <c r="G2987" s="76"/>
      <c r="H2987" s="76"/>
      <c r="I2987" s="6"/>
      <c r="J2987" s="6"/>
      <c r="K2987" s="6"/>
      <c r="L2987" s="6"/>
      <c r="M2987" s="6"/>
      <c r="N2987" s="6"/>
      <c r="O2987" s="6"/>
      <c r="Q2987" s="6"/>
    </row>
    <row r="2988" spans="1:17">
      <c r="A2988" s="6"/>
      <c r="B2988" s="6"/>
      <c r="C2988" s="6"/>
      <c r="D2988" s="6"/>
      <c r="E2988" s="6"/>
      <c r="F2988" s="6"/>
      <c r="G2988" s="76"/>
      <c r="H2988" s="76"/>
      <c r="I2988" s="6"/>
      <c r="J2988" s="6"/>
      <c r="K2988" s="6"/>
      <c r="L2988" s="6"/>
      <c r="M2988" s="6"/>
      <c r="N2988" s="6"/>
      <c r="O2988" s="6"/>
      <c r="Q2988" s="6"/>
    </row>
    <row r="2989" spans="1:17">
      <c r="A2989" s="6"/>
      <c r="B2989" s="6"/>
      <c r="C2989" s="6"/>
      <c r="D2989" s="6"/>
      <c r="E2989" s="6"/>
      <c r="F2989" s="6"/>
      <c r="G2989" s="76"/>
      <c r="H2989" s="76"/>
      <c r="I2989" s="6"/>
      <c r="J2989" s="6"/>
      <c r="K2989" s="6"/>
      <c r="L2989" s="6"/>
      <c r="M2989" s="6"/>
      <c r="N2989" s="6"/>
      <c r="O2989" s="6"/>
      <c r="Q2989" s="6"/>
    </row>
    <row r="2990" spans="1:17">
      <c r="A2990" s="6"/>
      <c r="B2990" s="6"/>
      <c r="C2990" s="6"/>
      <c r="D2990" s="6"/>
      <c r="E2990" s="6"/>
      <c r="F2990" s="6"/>
      <c r="G2990" s="76"/>
      <c r="H2990" s="76"/>
      <c r="I2990" s="6"/>
      <c r="J2990" s="6"/>
      <c r="K2990" s="6"/>
      <c r="L2990" s="6"/>
      <c r="M2990" s="6"/>
      <c r="N2990" s="6"/>
      <c r="O2990" s="6"/>
      <c r="Q2990" s="6"/>
    </row>
    <row r="2991" spans="1:17">
      <c r="A2991" s="6"/>
      <c r="B2991" s="6"/>
      <c r="C2991" s="6"/>
      <c r="D2991" s="6"/>
      <c r="E2991" s="6"/>
      <c r="F2991" s="6"/>
      <c r="G2991" s="76"/>
      <c r="H2991" s="76"/>
      <c r="I2991" s="6"/>
      <c r="J2991" s="6"/>
      <c r="K2991" s="6"/>
      <c r="L2991" s="6"/>
      <c r="M2991" s="6"/>
      <c r="N2991" s="6"/>
      <c r="O2991" s="6"/>
      <c r="Q2991" s="6"/>
    </row>
    <row r="2992" spans="1:17">
      <c r="A2992" s="6"/>
      <c r="B2992" s="6"/>
      <c r="C2992" s="6"/>
      <c r="D2992" s="6"/>
      <c r="E2992" s="6"/>
      <c r="F2992" s="6"/>
      <c r="G2992" s="76"/>
      <c r="H2992" s="76"/>
      <c r="I2992" s="6"/>
      <c r="J2992" s="6"/>
      <c r="K2992" s="6"/>
      <c r="L2992" s="6"/>
      <c r="M2992" s="6"/>
      <c r="N2992" s="6"/>
      <c r="O2992" s="6"/>
      <c r="Q2992" s="6"/>
    </row>
    <row r="2993" spans="1:17">
      <c r="A2993" s="6"/>
      <c r="B2993" s="6"/>
      <c r="C2993" s="6"/>
      <c r="D2993" s="6"/>
      <c r="E2993" s="6"/>
      <c r="F2993" s="6"/>
      <c r="G2993" s="76"/>
      <c r="H2993" s="76"/>
      <c r="I2993" s="6"/>
      <c r="J2993" s="6"/>
      <c r="K2993" s="6"/>
      <c r="L2993" s="6"/>
      <c r="M2993" s="6"/>
      <c r="N2993" s="6"/>
      <c r="O2993" s="6"/>
      <c r="Q2993" s="6"/>
    </row>
    <row r="2994" spans="1:17">
      <c r="A2994" s="6"/>
      <c r="B2994" s="6"/>
      <c r="C2994" s="6"/>
      <c r="D2994" s="6"/>
      <c r="E2994" s="6"/>
      <c r="F2994" s="6"/>
      <c r="G2994" s="76"/>
      <c r="H2994" s="76"/>
      <c r="I2994" s="6"/>
      <c r="J2994" s="6"/>
      <c r="K2994" s="6"/>
      <c r="L2994" s="6"/>
      <c r="M2994" s="6"/>
      <c r="N2994" s="6"/>
      <c r="O2994" s="6"/>
      <c r="Q2994" s="6"/>
    </row>
    <row r="2995" spans="1:17">
      <c r="A2995" s="6"/>
      <c r="B2995" s="6"/>
      <c r="C2995" s="6"/>
      <c r="D2995" s="6"/>
      <c r="E2995" s="6"/>
      <c r="F2995" s="6"/>
      <c r="G2995" s="76"/>
      <c r="H2995" s="76"/>
      <c r="I2995" s="6"/>
      <c r="J2995" s="6"/>
      <c r="K2995" s="6"/>
      <c r="L2995" s="6"/>
      <c r="M2995" s="6"/>
      <c r="N2995" s="6"/>
      <c r="O2995" s="6"/>
      <c r="Q2995" s="6"/>
    </row>
    <row r="2996" spans="1:17">
      <c r="A2996" s="6"/>
      <c r="B2996" s="6"/>
      <c r="C2996" s="6"/>
      <c r="D2996" s="6"/>
      <c r="E2996" s="6"/>
      <c r="F2996" s="6"/>
      <c r="G2996" s="76"/>
      <c r="H2996" s="76"/>
      <c r="I2996" s="6"/>
      <c r="J2996" s="6"/>
      <c r="K2996" s="6"/>
      <c r="L2996" s="6"/>
      <c r="M2996" s="6"/>
      <c r="N2996" s="6"/>
      <c r="O2996" s="6"/>
      <c r="Q2996" s="6"/>
    </row>
    <row r="2997" spans="1:17">
      <c r="A2997" s="6"/>
      <c r="B2997" s="6"/>
      <c r="C2997" s="6"/>
      <c r="D2997" s="6"/>
      <c r="E2997" s="6"/>
      <c r="F2997" s="6"/>
      <c r="G2997" s="76"/>
      <c r="H2997" s="76"/>
      <c r="I2997" s="6"/>
      <c r="J2997" s="6"/>
      <c r="K2997" s="6"/>
      <c r="L2997" s="6"/>
      <c r="M2997" s="6"/>
      <c r="N2997" s="6"/>
      <c r="O2997" s="6"/>
      <c r="Q2997" s="6"/>
    </row>
    <row r="2998" spans="1:17">
      <c r="A2998" s="6"/>
      <c r="B2998" s="6"/>
      <c r="C2998" s="6"/>
      <c r="D2998" s="6"/>
      <c r="E2998" s="6"/>
      <c r="F2998" s="6"/>
      <c r="G2998" s="76"/>
      <c r="H2998" s="76"/>
      <c r="I2998" s="6"/>
      <c r="J2998" s="6"/>
      <c r="K2998" s="6"/>
      <c r="L2998" s="6"/>
      <c r="M2998" s="6"/>
      <c r="N2998" s="6"/>
      <c r="O2998" s="6"/>
      <c r="Q2998" s="6"/>
    </row>
    <row r="2999" spans="1:17">
      <c r="A2999" s="6"/>
      <c r="B2999" s="6"/>
      <c r="C2999" s="6"/>
      <c r="D2999" s="6"/>
      <c r="E2999" s="6"/>
      <c r="F2999" s="6"/>
      <c r="G2999" s="76"/>
      <c r="H2999" s="76"/>
      <c r="I2999" s="6"/>
      <c r="J2999" s="6"/>
      <c r="K2999" s="6"/>
      <c r="L2999" s="6"/>
      <c r="M2999" s="6"/>
      <c r="N2999" s="6"/>
      <c r="O2999" s="6"/>
      <c r="Q2999" s="6"/>
    </row>
    <row r="3000" spans="1:17">
      <c r="A3000" s="6"/>
      <c r="B3000" s="6"/>
      <c r="C3000" s="6"/>
      <c r="D3000" s="6"/>
      <c r="E3000" s="6"/>
      <c r="F3000" s="6"/>
      <c r="G3000" s="76"/>
      <c r="H3000" s="76"/>
      <c r="I3000" s="6"/>
      <c r="J3000" s="6"/>
      <c r="K3000" s="6"/>
      <c r="L3000" s="6"/>
      <c r="M3000" s="6"/>
      <c r="N3000" s="6"/>
      <c r="O3000" s="6"/>
      <c r="Q3000" s="6"/>
    </row>
    <row r="3001" spans="1:17">
      <c r="A3001" s="6"/>
      <c r="B3001" s="6"/>
      <c r="C3001" s="6"/>
      <c r="D3001" s="6"/>
      <c r="E3001" s="6"/>
      <c r="F3001" s="6"/>
      <c r="G3001" s="76"/>
      <c r="H3001" s="76"/>
      <c r="I3001" s="6"/>
      <c r="J3001" s="6"/>
      <c r="K3001" s="6"/>
      <c r="L3001" s="6"/>
      <c r="M3001" s="6"/>
      <c r="N3001" s="6"/>
      <c r="O3001" s="6"/>
      <c r="Q3001" s="6"/>
    </row>
    <row r="3002" spans="1:17">
      <c r="A3002" s="6"/>
      <c r="B3002" s="6"/>
      <c r="C3002" s="6"/>
      <c r="D3002" s="6"/>
      <c r="E3002" s="6"/>
      <c r="F3002" s="6"/>
      <c r="G3002" s="76"/>
      <c r="H3002" s="76"/>
      <c r="I3002" s="6"/>
      <c r="J3002" s="6"/>
      <c r="K3002" s="6"/>
      <c r="L3002" s="6"/>
      <c r="M3002" s="6"/>
      <c r="N3002" s="6"/>
      <c r="O3002" s="6"/>
      <c r="Q3002" s="6"/>
    </row>
    <row r="3003" spans="1:17">
      <c r="A3003" s="6"/>
      <c r="B3003" s="6"/>
      <c r="C3003" s="6"/>
      <c r="D3003" s="6"/>
      <c r="E3003" s="6"/>
      <c r="F3003" s="6"/>
      <c r="G3003" s="76"/>
      <c r="H3003" s="76"/>
      <c r="I3003" s="6"/>
      <c r="J3003" s="6"/>
      <c r="K3003" s="6"/>
      <c r="L3003" s="6"/>
      <c r="M3003" s="6"/>
      <c r="N3003" s="6"/>
      <c r="O3003" s="6"/>
      <c r="Q3003" s="6"/>
    </row>
    <row r="3004" spans="1:17">
      <c r="A3004" s="6"/>
      <c r="B3004" s="6"/>
      <c r="C3004" s="6"/>
      <c r="D3004" s="6"/>
      <c r="E3004" s="6"/>
      <c r="F3004" s="6"/>
      <c r="G3004" s="76"/>
      <c r="H3004" s="76"/>
      <c r="I3004" s="6"/>
      <c r="J3004" s="6"/>
      <c r="K3004" s="6"/>
      <c r="L3004" s="6"/>
      <c r="M3004" s="6"/>
      <c r="N3004" s="6"/>
      <c r="O3004" s="6"/>
      <c r="Q3004" s="6"/>
    </row>
    <row r="3005" spans="1:17">
      <c r="A3005" s="6"/>
      <c r="B3005" s="6"/>
      <c r="C3005" s="6"/>
      <c r="D3005" s="6"/>
      <c r="E3005" s="6"/>
      <c r="F3005" s="6"/>
      <c r="G3005" s="76"/>
      <c r="H3005" s="76"/>
      <c r="I3005" s="6"/>
      <c r="J3005" s="6"/>
      <c r="K3005" s="6"/>
      <c r="L3005" s="6"/>
      <c r="M3005" s="6"/>
      <c r="N3005" s="6"/>
      <c r="O3005" s="6"/>
      <c r="Q3005" s="6"/>
    </row>
    <row r="3006" spans="1:17">
      <c r="A3006" s="6"/>
      <c r="B3006" s="6"/>
      <c r="C3006" s="6"/>
      <c r="D3006" s="6"/>
      <c r="E3006" s="6"/>
      <c r="F3006" s="6"/>
      <c r="G3006" s="76"/>
      <c r="H3006" s="76"/>
      <c r="I3006" s="6"/>
      <c r="J3006" s="6"/>
      <c r="K3006" s="6"/>
      <c r="L3006" s="6"/>
      <c r="M3006" s="6"/>
      <c r="N3006" s="6"/>
      <c r="O3006" s="6"/>
      <c r="Q3006" s="6"/>
    </row>
    <row r="3007" spans="1:17">
      <c r="A3007" s="6"/>
      <c r="B3007" s="6"/>
      <c r="C3007" s="6"/>
      <c r="D3007" s="6"/>
      <c r="E3007" s="6"/>
      <c r="F3007" s="6"/>
      <c r="G3007" s="76"/>
      <c r="H3007" s="76"/>
      <c r="I3007" s="6"/>
      <c r="J3007" s="6"/>
      <c r="K3007" s="6"/>
      <c r="L3007" s="6"/>
      <c r="M3007" s="6"/>
      <c r="N3007" s="6"/>
      <c r="O3007" s="6"/>
      <c r="Q3007" s="6"/>
    </row>
    <row r="3008" spans="1:17">
      <c r="A3008" s="6"/>
      <c r="B3008" s="6"/>
      <c r="C3008" s="6"/>
      <c r="D3008" s="6"/>
      <c r="E3008" s="6"/>
      <c r="F3008" s="6"/>
      <c r="G3008" s="76"/>
      <c r="H3008" s="76"/>
      <c r="I3008" s="6"/>
      <c r="J3008" s="6"/>
      <c r="K3008" s="6"/>
      <c r="L3008" s="6"/>
      <c r="M3008" s="6"/>
      <c r="N3008" s="6"/>
      <c r="O3008" s="6"/>
      <c r="Q3008" s="6"/>
    </row>
    <row r="3009" spans="1:17">
      <c r="A3009" s="6"/>
      <c r="B3009" s="6"/>
      <c r="C3009" s="6"/>
      <c r="D3009" s="6"/>
      <c r="E3009" s="6"/>
      <c r="F3009" s="6"/>
      <c r="G3009" s="76"/>
      <c r="H3009" s="76"/>
      <c r="I3009" s="6"/>
      <c r="J3009" s="6"/>
      <c r="K3009" s="6"/>
      <c r="L3009" s="6"/>
      <c r="M3009" s="6"/>
      <c r="N3009" s="6"/>
      <c r="O3009" s="6"/>
      <c r="Q3009" s="6"/>
    </row>
    <row r="3010" spans="1:17">
      <c r="A3010" s="6"/>
      <c r="B3010" s="6"/>
      <c r="C3010" s="6"/>
      <c r="D3010" s="6"/>
      <c r="E3010" s="6"/>
      <c r="F3010" s="6"/>
      <c r="G3010" s="76"/>
      <c r="H3010" s="76"/>
      <c r="I3010" s="6"/>
      <c r="J3010" s="6"/>
      <c r="K3010" s="6"/>
      <c r="L3010" s="6"/>
      <c r="M3010" s="6"/>
      <c r="N3010" s="6"/>
      <c r="O3010" s="6"/>
      <c r="Q3010" s="6"/>
    </row>
    <row r="3011" spans="1:17">
      <c r="A3011" s="6"/>
      <c r="B3011" s="6"/>
      <c r="C3011" s="6"/>
      <c r="D3011" s="6"/>
      <c r="E3011" s="6"/>
      <c r="F3011" s="6"/>
      <c r="G3011" s="76"/>
      <c r="H3011" s="76"/>
      <c r="I3011" s="6"/>
      <c r="J3011" s="6"/>
      <c r="K3011" s="6"/>
      <c r="L3011" s="6"/>
      <c r="M3011" s="6"/>
      <c r="N3011" s="6"/>
      <c r="O3011" s="6"/>
      <c r="Q3011" s="6"/>
    </row>
    <row r="3012" spans="1:17">
      <c r="A3012" s="6"/>
      <c r="B3012" s="6"/>
      <c r="C3012" s="6"/>
      <c r="D3012" s="6"/>
      <c r="E3012" s="6"/>
      <c r="F3012" s="6"/>
      <c r="G3012" s="76"/>
      <c r="H3012" s="76"/>
      <c r="I3012" s="6"/>
      <c r="J3012" s="6"/>
      <c r="K3012" s="6"/>
      <c r="L3012" s="6"/>
      <c r="M3012" s="6"/>
      <c r="N3012" s="6"/>
      <c r="O3012" s="6"/>
      <c r="Q3012" s="6"/>
    </row>
    <row r="3013" spans="1:17">
      <c r="A3013" s="6"/>
      <c r="B3013" s="6"/>
      <c r="C3013" s="6"/>
      <c r="D3013" s="6"/>
      <c r="E3013" s="6"/>
      <c r="F3013" s="6"/>
      <c r="G3013" s="76"/>
      <c r="H3013" s="76"/>
      <c r="I3013" s="6"/>
      <c r="J3013" s="6"/>
      <c r="K3013" s="6"/>
      <c r="L3013" s="6"/>
      <c r="M3013" s="6"/>
      <c r="N3013" s="6"/>
      <c r="O3013" s="6"/>
      <c r="Q3013" s="6"/>
    </row>
    <row r="3014" spans="1:17">
      <c r="A3014" s="6"/>
      <c r="B3014" s="6"/>
      <c r="C3014" s="6"/>
      <c r="D3014" s="6"/>
      <c r="E3014" s="6"/>
      <c r="F3014" s="6"/>
      <c r="G3014" s="76"/>
      <c r="H3014" s="76"/>
      <c r="I3014" s="6"/>
      <c r="J3014" s="6"/>
      <c r="K3014" s="6"/>
      <c r="L3014" s="6"/>
      <c r="M3014" s="6"/>
      <c r="N3014" s="6"/>
      <c r="O3014" s="6"/>
      <c r="Q3014" s="6"/>
    </row>
    <row r="3015" spans="1:17">
      <c r="A3015" s="6"/>
      <c r="B3015" s="6"/>
      <c r="C3015" s="6"/>
      <c r="D3015" s="6"/>
      <c r="E3015" s="6"/>
      <c r="F3015" s="6"/>
      <c r="G3015" s="76"/>
      <c r="H3015" s="76"/>
      <c r="I3015" s="6"/>
      <c r="J3015" s="6"/>
      <c r="K3015" s="6"/>
      <c r="L3015" s="6"/>
      <c r="M3015" s="6"/>
      <c r="N3015" s="6"/>
      <c r="O3015" s="6"/>
      <c r="Q3015" s="6"/>
    </row>
    <row r="3016" spans="1:17">
      <c r="A3016" s="6"/>
      <c r="B3016" s="6"/>
      <c r="C3016" s="6"/>
      <c r="D3016" s="6"/>
      <c r="E3016" s="6"/>
      <c r="F3016" s="6"/>
      <c r="G3016" s="76"/>
      <c r="H3016" s="76"/>
      <c r="I3016" s="6"/>
      <c r="J3016" s="6"/>
      <c r="K3016" s="6"/>
      <c r="L3016" s="6"/>
      <c r="M3016" s="6"/>
      <c r="N3016" s="6"/>
      <c r="O3016" s="6"/>
      <c r="Q3016" s="6"/>
    </row>
    <row r="3017" spans="1:17">
      <c r="A3017" s="6"/>
      <c r="B3017" s="6"/>
      <c r="C3017" s="6"/>
      <c r="D3017" s="6"/>
      <c r="E3017" s="6"/>
      <c r="F3017" s="6"/>
      <c r="G3017" s="76"/>
      <c r="H3017" s="76"/>
      <c r="I3017" s="6"/>
      <c r="J3017" s="6"/>
      <c r="K3017" s="6"/>
      <c r="L3017" s="6"/>
      <c r="M3017" s="6"/>
      <c r="N3017" s="6"/>
      <c r="O3017" s="6"/>
      <c r="Q3017" s="6"/>
    </row>
    <row r="3018" spans="1:17">
      <c r="A3018" s="6"/>
      <c r="B3018" s="6"/>
      <c r="C3018" s="6"/>
      <c r="D3018" s="6"/>
      <c r="E3018" s="6"/>
      <c r="F3018" s="6"/>
      <c r="G3018" s="76"/>
      <c r="H3018" s="76"/>
      <c r="I3018" s="6"/>
      <c r="J3018" s="6"/>
      <c r="K3018" s="6"/>
      <c r="L3018" s="6"/>
      <c r="M3018" s="6"/>
      <c r="N3018" s="6"/>
      <c r="O3018" s="6"/>
      <c r="Q3018" s="6"/>
    </row>
    <row r="3019" spans="1:17">
      <c r="A3019" s="6"/>
      <c r="B3019" s="6"/>
      <c r="C3019" s="6"/>
      <c r="D3019" s="6"/>
      <c r="E3019" s="6"/>
      <c r="F3019" s="6"/>
      <c r="G3019" s="76"/>
      <c r="H3019" s="76"/>
      <c r="I3019" s="6"/>
      <c r="J3019" s="6"/>
      <c r="K3019" s="6"/>
      <c r="L3019" s="6"/>
      <c r="M3019" s="6"/>
      <c r="N3019" s="6"/>
      <c r="O3019" s="6"/>
      <c r="Q3019" s="6"/>
    </row>
    <row r="3020" spans="1:17">
      <c r="A3020" s="6"/>
      <c r="B3020" s="6"/>
      <c r="C3020" s="6"/>
      <c r="D3020" s="6"/>
      <c r="E3020" s="6"/>
      <c r="F3020" s="6"/>
      <c r="G3020" s="76"/>
      <c r="H3020" s="76"/>
      <c r="I3020" s="6"/>
      <c r="J3020" s="6"/>
      <c r="K3020" s="6"/>
      <c r="L3020" s="6"/>
      <c r="M3020" s="6"/>
      <c r="N3020" s="6"/>
      <c r="O3020" s="6"/>
      <c r="Q3020" s="6"/>
    </row>
    <row r="3021" spans="1:17">
      <c r="A3021" s="6"/>
      <c r="B3021" s="6"/>
      <c r="C3021" s="6"/>
      <c r="D3021" s="6"/>
      <c r="E3021" s="6"/>
      <c r="F3021" s="6"/>
      <c r="G3021" s="76"/>
      <c r="H3021" s="76"/>
      <c r="I3021" s="6"/>
      <c r="J3021" s="6"/>
      <c r="K3021" s="6"/>
      <c r="L3021" s="6"/>
      <c r="M3021" s="6"/>
      <c r="N3021" s="6"/>
      <c r="O3021" s="6"/>
      <c r="Q3021" s="6"/>
    </row>
    <row r="3022" spans="1:17">
      <c r="A3022" s="6"/>
      <c r="B3022" s="6"/>
      <c r="C3022" s="6"/>
      <c r="D3022" s="6"/>
      <c r="E3022" s="6"/>
      <c r="F3022" s="6"/>
      <c r="G3022" s="76"/>
      <c r="H3022" s="76"/>
      <c r="I3022" s="6"/>
      <c r="J3022" s="6"/>
      <c r="K3022" s="6"/>
      <c r="L3022" s="6"/>
      <c r="M3022" s="6"/>
      <c r="N3022" s="6"/>
      <c r="O3022" s="6"/>
      <c r="Q3022" s="6"/>
    </row>
    <row r="3023" spans="1:17">
      <c r="A3023" s="6"/>
      <c r="B3023" s="6"/>
      <c r="C3023" s="6"/>
      <c r="D3023" s="6"/>
      <c r="E3023" s="6"/>
      <c r="F3023" s="6"/>
      <c r="G3023" s="76"/>
      <c r="H3023" s="76"/>
      <c r="I3023" s="6"/>
      <c r="J3023" s="6"/>
      <c r="K3023" s="6"/>
      <c r="L3023" s="6"/>
      <c r="M3023" s="6"/>
      <c r="N3023" s="6"/>
      <c r="O3023" s="6"/>
      <c r="Q3023" s="6"/>
    </row>
    <row r="3024" spans="1:17">
      <c r="A3024" s="6"/>
      <c r="B3024" s="6"/>
      <c r="C3024" s="6"/>
      <c r="D3024" s="6"/>
      <c r="E3024" s="6"/>
      <c r="F3024" s="6"/>
      <c r="G3024" s="76"/>
      <c r="H3024" s="76"/>
      <c r="I3024" s="6"/>
      <c r="J3024" s="6"/>
      <c r="K3024" s="6"/>
      <c r="L3024" s="6"/>
      <c r="M3024" s="6"/>
      <c r="N3024" s="6"/>
      <c r="O3024" s="6"/>
      <c r="Q3024" s="6"/>
    </row>
    <row r="3025" spans="1:17">
      <c r="A3025" s="6"/>
      <c r="B3025" s="6"/>
      <c r="C3025" s="6"/>
      <c r="D3025" s="6"/>
      <c r="E3025" s="6"/>
      <c r="F3025" s="6"/>
      <c r="G3025" s="76"/>
      <c r="H3025" s="76"/>
      <c r="I3025" s="6"/>
      <c r="J3025" s="6"/>
      <c r="K3025" s="6"/>
      <c r="L3025" s="6"/>
      <c r="M3025" s="6"/>
      <c r="N3025" s="6"/>
      <c r="O3025" s="6"/>
      <c r="Q3025" s="6"/>
    </row>
    <row r="3026" spans="1:17">
      <c r="A3026" s="6"/>
      <c r="B3026" s="6"/>
      <c r="C3026" s="6"/>
      <c r="D3026" s="6"/>
      <c r="E3026" s="6"/>
      <c r="F3026" s="6"/>
      <c r="G3026" s="76"/>
      <c r="H3026" s="76"/>
      <c r="I3026" s="6"/>
      <c r="J3026" s="6"/>
      <c r="K3026" s="6"/>
      <c r="L3026" s="6"/>
      <c r="M3026" s="6"/>
      <c r="N3026" s="6"/>
      <c r="O3026" s="6"/>
      <c r="Q3026" s="6"/>
    </row>
    <row r="3027" spans="1:17">
      <c r="A3027" s="6"/>
      <c r="B3027" s="6"/>
      <c r="C3027" s="6"/>
      <c r="D3027" s="6"/>
      <c r="E3027" s="6"/>
      <c r="F3027" s="6"/>
      <c r="G3027" s="76"/>
      <c r="H3027" s="76"/>
      <c r="I3027" s="6"/>
      <c r="J3027" s="6"/>
      <c r="K3027" s="6"/>
      <c r="L3027" s="6"/>
      <c r="M3027" s="6"/>
      <c r="N3027" s="6"/>
      <c r="O3027" s="6"/>
      <c r="Q3027" s="6"/>
    </row>
    <row r="3028" spans="1:17">
      <c r="A3028" s="6"/>
      <c r="B3028" s="6"/>
      <c r="C3028" s="6"/>
      <c r="D3028" s="6"/>
      <c r="E3028" s="6"/>
      <c r="F3028" s="6"/>
      <c r="G3028" s="76"/>
      <c r="H3028" s="76"/>
      <c r="I3028" s="6"/>
      <c r="J3028" s="6"/>
      <c r="K3028" s="6"/>
      <c r="L3028" s="6"/>
      <c r="M3028" s="6"/>
      <c r="N3028" s="6"/>
      <c r="O3028" s="6"/>
      <c r="Q3028" s="6"/>
    </row>
    <row r="3029" spans="1:17">
      <c r="A3029" s="6"/>
      <c r="B3029" s="6"/>
      <c r="C3029" s="6"/>
      <c r="D3029" s="6"/>
      <c r="E3029" s="6"/>
      <c r="F3029" s="6"/>
      <c r="G3029" s="76"/>
      <c r="H3029" s="76"/>
      <c r="I3029" s="6"/>
      <c r="J3029" s="6"/>
      <c r="K3029" s="6"/>
      <c r="L3029" s="6"/>
      <c r="M3029" s="6"/>
      <c r="N3029" s="6"/>
      <c r="O3029" s="6"/>
      <c r="Q3029" s="6"/>
    </row>
    <row r="3030" spans="1:17">
      <c r="A3030" s="6"/>
      <c r="B3030" s="6"/>
      <c r="C3030" s="6"/>
      <c r="D3030" s="6"/>
      <c r="E3030" s="6"/>
      <c r="F3030" s="6"/>
      <c r="G3030" s="76"/>
      <c r="H3030" s="76"/>
      <c r="I3030" s="6"/>
      <c r="J3030" s="6"/>
      <c r="K3030" s="6"/>
      <c r="L3030" s="6"/>
      <c r="M3030" s="6"/>
      <c r="N3030" s="6"/>
      <c r="O3030" s="6"/>
      <c r="Q3030" s="6"/>
    </row>
    <row r="3031" spans="1:17">
      <c r="A3031" s="6"/>
      <c r="B3031" s="6"/>
      <c r="C3031" s="6"/>
      <c r="D3031" s="6"/>
      <c r="E3031" s="6"/>
      <c r="F3031" s="6"/>
      <c r="G3031" s="76"/>
      <c r="H3031" s="76"/>
      <c r="I3031" s="6"/>
      <c r="J3031" s="6"/>
      <c r="K3031" s="6"/>
      <c r="L3031" s="6"/>
      <c r="M3031" s="6"/>
      <c r="N3031" s="6"/>
      <c r="O3031" s="6"/>
      <c r="Q3031" s="6"/>
    </row>
    <row r="3032" spans="1:17">
      <c r="A3032" s="6"/>
      <c r="B3032" s="6"/>
      <c r="C3032" s="6"/>
      <c r="D3032" s="6"/>
      <c r="E3032" s="6"/>
      <c r="F3032" s="6"/>
      <c r="G3032" s="76"/>
      <c r="H3032" s="76"/>
      <c r="I3032" s="6"/>
      <c r="J3032" s="6"/>
      <c r="K3032" s="6"/>
      <c r="L3032" s="6"/>
      <c r="M3032" s="6"/>
      <c r="N3032" s="6"/>
      <c r="O3032" s="6"/>
      <c r="Q3032" s="6"/>
    </row>
    <row r="3033" spans="1:17">
      <c r="A3033" s="6"/>
      <c r="B3033" s="6"/>
      <c r="C3033" s="6"/>
      <c r="D3033" s="6"/>
      <c r="E3033" s="6"/>
      <c r="F3033" s="6"/>
      <c r="G3033" s="76"/>
      <c r="H3033" s="76"/>
      <c r="I3033" s="6"/>
      <c r="J3033" s="6"/>
      <c r="K3033" s="6"/>
      <c r="L3033" s="6"/>
      <c r="M3033" s="6"/>
      <c r="N3033" s="6"/>
      <c r="O3033" s="6"/>
      <c r="Q3033" s="6"/>
    </row>
  </sheetData>
  <autoFilter ref="A7:AB2688"/>
  <dataConsolidate/>
  <mergeCells count="17">
    <mergeCell ref="P1:P7"/>
    <mergeCell ref="P203:P220"/>
    <mergeCell ref="P222:P242"/>
    <mergeCell ref="P248:P250"/>
    <mergeCell ref="P181:P185"/>
    <mergeCell ref="P187:P189"/>
    <mergeCell ref="A2:B3"/>
    <mergeCell ref="J3:L3"/>
    <mergeCell ref="I4:I7"/>
    <mergeCell ref="A1:I1"/>
    <mergeCell ref="A4:A6"/>
    <mergeCell ref="B4:B6"/>
    <mergeCell ref="C4:C6"/>
    <mergeCell ref="G3:H3"/>
    <mergeCell ref="D4:E5"/>
    <mergeCell ref="F4:F5"/>
    <mergeCell ref="G4:H5"/>
  </mergeCells>
  <dataValidations count="2">
    <dataValidation type="list" allowBlank="1" showInputMessage="1" showErrorMessage="1" sqref="L251 K2689:K1048576 L2364 L367 L2688:L1048576 K1:K9 L1829:L1844 L2120 L2128 L2133 L2138 L2141 L2452:L2453 L2603 L2471 L2492 L2535 L2562 L2581 L2456 L2459 L2461 L2463:L2464 L2468 L2477 L2480 L2482:L2483 L2487 L2499 L2502 L2504 L2506:L2507 L2511 L2514 L2519:L2520 L2523 L2525:L2526 L2530 L2541 L2545 L2548 L2551 L2553 L2555 L2566 L2574 L2577 L2579 L2588 L2596 L2599 L2601 L2610 L2613:L2614 L2617 L2621 L2625 L2628 L2634:L2635 L2638 L2640 L2642 L2645 L2649:L2650 L2656 L2659:L2660 L2664 L2667:L2668 L2672 L2675 L2631 L2154:L2358 L1865:L2116">
      <formula1>#REF!</formula1>
    </dataValidation>
    <dataValidation type="list" allowBlank="1" showInputMessage="1" showErrorMessage="1" sqref="J2688:J1048576">
      <formula1>$B$4:$B$10</formula1>
    </dataValidation>
  </dataValidations>
  <pageMargins left="0.4" right="0" top="0.28000000000000003" bottom="0" header="0.1" footer="0"/>
  <pageSetup paperSize="8" scale="85" fitToHeight="0" orientation="landscape" horizontalDpi="4294967295" verticalDpi="4294967295" r:id="rId1"/>
  <legacyDrawing r:id="rId2"/>
  <extLst>
    <ext xmlns:x14="http://schemas.microsoft.com/office/spreadsheetml/2009/9/main" uri="{CCE6A557-97BC-4b89-ADB6-D9C93CAAB3DF}">
      <x14:dataValidations xmlns:xm="http://schemas.microsoft.com/office/excel/2006/main" count="13">
        <x14:dataValidation type="list" allowBlank="1" showInputMessage="1" showErrorMessage="1">
          <x14:formula1>
            <xm:f>Mã!$D$4:$D$6</xm:f>
          </x14:formula1>
          <xm:sqref>L917 L1:L10 L862 L344:L347 L1721 L584:L585 L743 L325 L1458:L1497 L89:L250</xm:sqref>
        </x14:dataValidation>
        <x14:dataValidation type="list" allowBlank="1" showInputMessage="1" showErrorMessage="1">
          <x14:formula1>
            <xm:f>'D:\6. QHDC TT VIET NAM\TT KTTC\2024\Ket qua\Cac mang\[Masterlist 2024-2025 co Thue - Phi Gui cac mang...............xlsx]Mã'!#REF!</xm:f>
          </x14:formula1>
          <xm:sqref>L918 L2359:L2363 L348:L366 L322:L324 L252:L320 L326:L343 L1333:L1457 L1024 L957 L986 L1751:L1828 L368:L583 L586:L742 L744:L861 L863:L916 L1515:L1632 L1063:L1155</xm:sqref>
        </x14:dataValidation>
        <x14:dataValidation type="list" allowBlank="1" showInputMessage="1" showErrorMessage="1">
          <x14:formula1>
            <xm:f>Mã!$B$4:$B$13</xm:f>
          </x14:formula1>
          <xm:sqref>J1494 J1751:J1830 J1:J11 J280:J320 J1874 J1515:J1632 J270:J275 J322:J325 J1474 J1480 J1497 J986:J1024 J1333:J1460 J1721 J2445:J2652 J1238:J1275 J344:J957 J1063:J1192 J2154:J2364 J2367:J2368 J2370 J2373:J2378 J2380:J2381 J2383 J2387:J2389 J2391 J2393:J2399 J2401:J2402 J2405:J2406 J2408 J2410:J2416 J2418:J2419 J2423:J2427 J2429 J2431:J2439 J2441:J2442 J22:J252</xm:sqref>
        </x14:dataValidation>
        <x14:dataValidation type="list" allowBlank="1" showInputMessage="1" showErrorMessage="1">
          <x14:formula1>
            <xm:f>'D:\6. QHDC TT VIET NAM\TT KTTC\2025\Ket qua\Cac mang\TD\14122024\[IP_WDM_Copy of Masterlist 2025-2026 co Thue - Phi (theo PA2)_Cap quang_14_Dec_2024 (2).xlsx]Mã'!#REF!</xm:f>
          </x14:formula1>
          <xm:sqref>J2443:J2444 J1481:J1493 J1641:J1720 J1461:J1473 J1475:J1479 J1495:J1496 J1633:J1639 L1633:L1639 J1276:J1332 J958:J985 L958:L985 J1722:J1750 L1643:L1720 L1722:L1750 L1276:L1332 L1025:L1062 J1025:J1062 L1498:L1514 J1498:J1514 L1193:L1237 L2365:L2451 J2365:J2366 J2369 J2371:J2372 J2379 J2382 J2384:J2386 J2390 J2392 J2400 J2403:J2404 J2407 J2409 J2417 J2420:J2422 J2428 J2430 J2440 J1193:J1237</xm:sqref>
        </x14:dataValidation>
        <x14:dataValidation type="list" allowBlank="1" showInputMessage="1" showErrorMessage="1">
          <x14:formula1>
            <xm:f>'D:\6. QHDC TT VIET NAM\TT KTTC\2025\Ket qua\Cac mang\BRCĐ\17122024\[Masterlist 2025-2026 co Thue - Phi (theo PA2) gui cac mang_BRCD.xlsx]Mã'!#REF!</xm:f>
          </x14:formula1>
          <xm:sqref>L321 J321</xm:sqref>
        </x14:dataValidation>
        <x14:dataValidation type="list" allowBlank="1" showInputMessage="1" showErrorMessage="1">
          <x14:formula1>
            <xm:f>'D:\6. QHDC TT VIET NAM\TT KTTC\2025\Ket qua\Cac mang\CĐ\16122024\[Masterlist 2025-2026 co Thue - Phi (theo PA2) gui cac mang_16Dec.xlsx]Mã'!#REF!</xm:f>
          </x14:formula1>
          <xm:sqref>L2457:L2458 L2460 L2462 L2465:L2467 L2469:L2470 L2472:L2475 L2478:L2479 L2481 L2484:L2486 L2646:L2648 L2493:L2496 L2500:L2501 L2503 L2505 L2508:L2510 L2512:L2513 L2515:L2518 L2521:L2522 L2524 L2527:L2529 L2488:L2491 L2536:L2539 L2542:L2544 L2546:L2547 L2549:L2550 L2552 L2554 L2556:L2561 L2563 L2565 L2567:L2573 L2575:L2576 L2578 L2580 L2582:L2585 L2587 L2589:L2595 L2597:L2598 L2600 L2602 L2604:L2607 L2611:L2612 L2615:L2616 L2618:L2620 L2622:L2624 L2626:L2627 L2629:L2630 L2632:L2633 L2636:L2637 L2639 L2641 L2643:L2644 L2673:L2674 L2651:L2655 L2657:L2658 L2661:L2663 L2669:L2671 L2665:L2666 L2676:L2687 L2531:L2534</xm:sqref>
        </x14:dataValidation>
        <x14:dataValidation type="list" allowBlank="1" showInputMessage="1" showErrorMessage="1">
          <x14:formula1>
            <xm:f>'D:\6. QHDC TT VIET NAM\TT KTTC\2024\Ket qua\Tong hop\PDF\[Masterlist 2024-2025 co Thue - Phi (20122023).xlsx]Mã'!#REF!</xm:f>
          </x14:formula1>
          <xm:sqref>L11 L22:L88</xm:sqref>
        </x14:dataValidation>
        <x14:dataValidation type="list" allowBlank="1" showInputMessage="1" showErrorMessage="1">
          <x14:formula1>
            <xm:f>'D:\6. QHDC TT VIET NAM\TT KTTC\2025\Ket qua\Cac mang\VT\[QHTKVT_Masterlist 2025-2026 co Thue - Phi (theo PA2) gui cac mang.xlsx]Mã'!#REF!</xm:f>
          </x14:formula1>
          <xm:sqref>L12:L21 J12:J21</xm:sqref>
        </x14:dataValidation>
        <x14:dataValidation type="list" allowBlank="1" showInputMessage="1" showErrorMessage="1">
          <x14:formula1>
            <xm:f>Mã!$C$4:$C$33</xm:f>
          </x14:formula1>
          <xm:sqref>K1873:K1874 K2688 K270:K275 K280:K325 K1866 K10:K252 K2154:K2452 K344:K1830</xm:sqref>
        </x14:dataValidation>
        <x14:dataValidation type="list" allowBlank="1" showInputMessage="1" showErrorMessage="1">
          <x14:formula1>
            <xm:f>'E:\work\2026\QHDC thi truong\MVT\Ket qua\masterlist\[Copy of Form - Masterlist 2027-2028 (Gui cac mang)_MOV_CD_V1.xlsx]Mã'!#REF!</xm:f>
          </x14:formula1>
          <xm:sqref>L1845:L1864 L2117:L2119 L2121:L2127 L2139:L2140 L2129:L2132 J1831:K1842 L2142:L2153 J1844:J1871 K1844:K1865 K1867:K1871 L2134:L2137 J1875:K2153 J1872:K1872 J1873</xm:sqref>
        </x14:dataValidation>
        <x14:dataValidation type="list" allowBlank="1" showInputMessage="1" showErrorMessage="1">
          <x14:formula1>
            <xm:f>'C:\Users\admin\AppData\Local\Microsoft\Windows\INetCache\Content.Outlook\O1QN74MD\[Cuongnm21_Masterlist 2027-2028_MVT.xlsx]Mã'!#REF!</xm:f>
          </x14:formula1>
          <xm:sqref>J253:K269 J276:K279 J326:K343</xm:sqref>
        </x14:dataValidation>
        <x14:dataValidation type="list" allowBlank="1" showInputMessage="1" showErrorMessage="1">
          <x14:formula1>
            <xm:f>'E:\work\2026\QHDC thi truong\Burundi\Ket qua\[Masterlist 2027-2028 (Gui cac mang)_CD.xlsx]Mã'!#REF!</xm:f>
          </x14:formula1>
          <xm:sqref>K2455:K2652</xm:sqref>
        </x14:dataValidation>
        <x14:dataValidation type="list" allowBlank="1" showInputMessage="1" showErrorMessage="1">
          <x14:formula1>
            <xm:f>'E:\work\2026\QHDC thi truong\MVT\Ket qua\masterlist\[Masterlist 2027-2028_CD_2908.xlsx]Mã'!#REF!</xm:f>
          </x14:formula1>
          <xm:sqref>J2653:K2687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tabColor rgb="FF0000FF"/>
    <outlinePr summaryBelow="0" summaryRight="0"/>
  </sheetPr>
  <dimension ref="A1:AN34"/>
  <sheetViews>
    <sheetView zoomScale="85" zoomScaleNormal="85" workbookViewId="0">
      <pane xSplit="3" ySplit="4" topLeftCell="D11" activePane="bottomRight" state="frozen"/>
      <selection pane="topRight" activeCell="D1" sqref="D1"/>
      <selection pane="bottomLeft" activeCell="A5" sqref="A5"/>
      <selection pane="bottomRight" activeCell="T4" sqref="T4"/>
    </sheetView>
  </sheetViews>
  <sheetFormatPr defaultColWidth="8.7265625" defaultRowHeight="13" outlineLevelRow="1" outlineLevelCol="2"/>
  <cols>
    <col min="1" max="1" width="3.54296875" style="6" bestFit="1" customWidth="1"/>
    <col min="2" max="2" width="26.453125" style="6" customWidth="1"/>
    <col min="3" max="3" width="9.26953125" style="8" customWidth="1" outlineLevel="1"/>
    <col min="4" max="4" width="12.1796875" style="6" customWidth="1" outlineLevel="2"/>
    <col min="5" max="5" width="8" style="6" customWidth="1" outlineLevel="2"/>
    <col min="6" max="7" width="7.7265625" style="6" customWidth="1" outlineLevel="2"/>
    <col min="8" max="8" width="7.81640625" style="6" customWidth="1" outlineLevel="2"/>
    <col min="9" max="10" width="8.81640625" style="6" customWidth="1" outlineLevel="2"/>
    <col min="11" max="11" width="8.26953125" style="6" customWidth="1" outlineLevel="2"/>
    <col min="12" max="12" width="8.453125" style="17" customWidth="1" outlineLevel="1"/>
    <col min="13" max="13" width="9.7265625" style="6" bestFit="1" customWidth="1" outlineLevel="1"/>
    <col min="14" max="14" width="8.54296875" style="6" customWidth="1" outlineLevel="2"/>
    <col min="15" max="16" width="8.453125" style="6" customWidth="1" outlineLevel="2"/>
    <col min="17" max="17" width="8" style="6" customWidth="1" outlineLevel="2"/>
    <col min="18" max="18" width="9.26953125" style="6" customWidth="1" outlineLevel="2"/>
    <col min="19" max="19" width="8.81640625" style="6" customWidth="1" outlineLevel="2"/>
    <col min="20" max="20" width="8" style="6" customWidth="1" outlineLevel="2"/>
    <col min="21" max="21" width="7.7265625" style="6" customWidth="1" outlineLevel="2"/>
    <col min="22" max="22" width="7.1796875" style="17" customWidth="1" outlineLevel="1"/>
    <col min="23" max="23" width="7.7265625" style="6" customWidth="1" outlineLevel="1"/>
    <col min="24" max="24" width="8.26953125" style="17" customWidth="1"/>
    <col min="25" max="25" width="8.26953125" style="6" customWidth="1"/>
    <col min="26" max="29" width="8.7265625" style="6"/>
    <col min="30" max="35" width="7.26953125" style="6" customWidth="1"/>
    <col min="36" max="36" width="7.26953125" style="8" customWidth="1"/>
    <col min="37" max="37" width="8.7265625" style="8"/>
    <col min="38" max="38" width="4.1796875" style="6" bestFit="1" customWidth="1"/>
    <col min="39" max="39" width="4.7265625" style="6" bestFit="1" customWidth="1"/>
    <col min="40" max="16384" width="8.7265625" style="6"/>
  </cols>
  <sheetData>
    <row r="1" spans="1:39">
      <c r="D1" s="65">
        <v>1000000</v>
      </c>
      <c r="H1" s="111"/>
      <c r="W1" s="17"/>
      <c r="Y1" s="17"/>
      <c r="Z1" s="17"/>
      <c r="AA1" s="17"/>
      <c r="AB1" s="17"/>
      <c r="AC1" s="17"/>
      <c r="AD1" s="206"/>
      <c r="AE1" s="206"/>
      <c r="AF1" s="743"/>
      <c r="AG1" s="744"/>
    </row>
    <row r="2" spans="1:39" ht="13.15" customHeight="1">
      <c r="A2" s="126" t="s">
        <v>94</v>
      </c>
      <c r="B2" s="14" t="s">
        <v>77</v>
      </c>
      <c r="C2" s="66" t="s">
        <v>156</v>
      </c>
      <c r="D2" s="751" t="s">
        <v>383</v>
      </c>
      <c r="E2" s="752"/>
      <c r="F2" s="752"/>
      <c r="G2" s="752"/>
      <c r="H2" s="752"/>
      <c r="I2" s="752"/>
      <c r="J2" s="752"/>
      <c r="K2" s="752"/>
      <c r="L2" s="753"/>
      <c r="M2" s="748" t="s">
        <v>384</v>
      </c>
      <c r="N2" s="749"/>
      <c r="O2" s="749"/>
      <c r="P2" s="749"/>
      <c r="Q2" s="749"/>
      <c r="R2" s="749"/>
      <c r="S2" s="749"/>
      <c r="T2" s="749"/>
      <c r="U2" s="750"/>
      <c r="V2" s="751" t="s">
        <v>385</v>
      </c>
      <c r="W2" s="752"/>
      <c r="X2" s="752"/>
      <c r="Y2" s="752"/>
      <c r="Z2" s="752"/>
      <c r="AA2" s="752"/>
      <c r="AB2" s="752"/>
      <c r="AC2" s="753"/>
      <c r="AD2" s="745" t="s">
        <v>214</v>
      </c>
      <c r="AE2" s="746"/>
      <c r="AF2" s="747"/>
      <c r="AG2" s="747"/>
      <c r="AH2" s="747"/>
      <c r="AI2" s="747"/>
      <c r="AJ2" s="747"/>
    </row>
    <row r="3" spans="1:39" ht="27">
      <c r="A3" s="126"/>
      <c r="B3" s="14" t="s">
        <v>92</v>
      </c>
      <c r="C3" s="63" t="s">
        <v>90</v>
      </c>
      <c r="D3" s="102" t="s">
        <v>7</v>
      </c>
      <c r="E3" s="102" t="s">
        <v>18</v>
      </c>
      <c r="F3" s="102" t="s">
        <v>29</v>
      </c>
      <c r="G3" s="102" t="s">
        <v>38</v>
      </c>
      <c r="H3" s="102" t="s">
        <v>21</v>
      </c>
      <c r="I3" s="102" t="s">
        <v>6</v>
      </c>
      <c r="J3" s="102" t="s">
        <v>10</v>
      </c>
      <c r="K3" s="103" t="s">
        <v>87</v>
      </c>
      <c r="L3" s="102" t="s">
        <v>88</v>
      </c>
      <c r="M3" s="104" t="s">
        <v>7</v>
      </c>
      <c r="N3" s="104" t="s">
        <v>18</v>
      </c>
      <c r="O3" s="104" t="s">
        <v>29</v>
      </c>
      <c r="P3" s="104" t="s">
        <v>38</v>
      </c>
      <c r="Q3" s="104" t="s">
        <v>21</v>
      </c>
      <c r="R3" s="104" t="s">
        <v>6</v>
      </c>
      <c r="S3" s="104" t="s">
        <v>10</v>
      </c>
      <c r="T3" s="105" t="s">
        <v>87</v>
      </c>
      <c r="U3" s="104" t="s">
        <v>88</v>
      </c>
      <c r="V3" s="102" t="s">
        <v>7</v>
      </c>
      <c r="W3" s="102" t="s">
        <v>18</v>
      </c>
      <c r="X3" s="102" t="s">
        <v>29</v>
      </c>
      <c r="Y3" s="102" t="s">
        <v>38</v>
      </c>
      <c r="Z3" s="102" t="s">
        <v>21</v>
      </c>
      <c r="AA3" s="102" t="s">
        <v>6</v>
      </c>
      <c r="AB3" s="103" t="s">
        <v>87</v>
      </c>
      <c r="AC3" s="102" t="s">
        <v>88</v>
      </c>
      <c r="AD3" s="145" t="s">
        <v>218</v>
      </c>
      <c r="AE3" s="145" t="s">
        <v>93</v>
      </c>
      <c r="AF3" s="145" t="s">
        <v>29</v>
      </c>
      <c r="AG3" s="145" t="s">
        <v>420</v>
      </c>
      <c r="AH3" s="145" t="s">
        <v>124</v>
      </c>
      <c r="AI3" s="145" t="s">
        <v>144</v>
      </c>
      <c r="AJ3" s="207" t="s">
        <v>38</v>
      </c>
    </row>
    <row r="4" spans="1:39" s="53" customFormat="1" outlineLevel="1">
      <c r="A4" s="147" t="s">
        <v>95</v>
      </c>
      <c r="B4" s="147" t="s">
        <v>87</v>
      </c>
      <c r="C4" s="29"/>
      <c r="D4" s="712">
        <f t="shared" ref="D4:K4" si="0">SUBTOTAL(9,D6:D33)</f>
        <v>6.7039447016552289</v>
      </c>
      <c r="E4" s="712">
        <f t="shared" si="0"/>
        <v>4.4103297771428576</v>
      </c>
      <c r="F4" s="671">
        <f t="shared" si="0"/>
        <v>0.24886575999999999</v>
      </c>
      <c r="G4" s="712">
        <f t="shared" si="0"/>
        <v>3.1430130000000003</v>
      </c>
      <c r="H4" s="671">
        <f t="shared" si="0"/>
        <v>4.2668639285714285</v>
      </c>
      <c r="I4" s="712">
        <f t="shared" si="0"/>
        <v>3.6656297849999997</v>
      </c>
      <c r="J4" s="712">
        <f t="shared" si="0"/>
        <v>2.7723623980609413</v>
      </c>
      <c r="K4" s="712">
        <f t="shared" si="0"/>
        <v>25.211009350430459</v>
      </c>
      <c r="L4" s="180"/>
      <c r="M4" s="712">
        <f t="shared" ref="M4:T4" si="1">SUBTOTAL(9,M6:M33)</f>
        <v>6.9635168190324332</v>
      </c>
      <c r="N4" s="712">
        <f t="shared" si="1"/>
        <v>1.26294</v>
      </c>
      <c r="O4" s="671">
        <f t="shared" si="1"/>
        <v>0.15776484000000002</v>
      </c>
      <c r="P4" s="712">
        <f t="shared" si="1"/>
        <v>6.9118918000000011</v>
      </c>
      <c r="Q4" s="671">
        <f t="shared" si="1"/>
        <v>1.9307843076923072</v>
      </c>
      <c r="R4" s="712">
        <f t="shared" si="1"/>
        <v>3.6710549499999998</v>
      </c>
      <c r="S4" s="712">
        <f t="shared" si="1"/>
        <v>3.9691435445557213</v>
      </c>
      <c r="T4" s="713">
        <f t="shared" si="1"/>
        <v>24.867096261280462</v>
      </c>
      <c r="U4" s="678"/>
      <c r="V4" s="146">
        <f t="shared" ref="V4:AB4" si="2">SUBTOTAL(9,V6:V33)</f>
        <v>13.667461520687663</v>
      </c>
      <c r="W4" s="146">
        <f t="shared" si="2"/>
        <v>5.673269777142858</v>
      </c>
      <c r="X4" s="146">
        <f t="shared" si="2"/>
        <v>0.40663060000000001</v>
      </c>
      <c r="Y4" s="146">
        <f t="shared" si="2"/>
        <v>10.054904800000001</v>
      </c>
      <c r="Z4" s="146">
        <f t="shared" si="2"/>
        <v>6.1976482362637366</v>
      </c>
      <c r="AA4" s="146">
        <f t="shared" si="2"/>
        <v>7.3366847350000004</v>
      </c>
      <c r="AB4" s="146">
        <f t="shared" si="2"/>
        <v>43.336599669094255</v>
      </c>
      <c r="AC4" s="159">
        <f>AB4/$AB$4</f>
        <v>1</v>
      </c>
      <c r="AD4" s="3">
        <f>AB10*AD10+AB12*AD12+AB21*AD21+AB24*AD24+AB25*AD25+(V30+W30+Z30+AA30)*AD30+(V31+W31+Z31+AA31)*AD31+(V32+W32+Z32+AA32)*AD32+AB33*AD33</f>
        <v>35.751090529094256</v>
      </c>
      <c r="AE4" s="3">
        <f>AE7*AB7</f>
        <v>6.6364000000000006E-2</v>
      </c>
      <c r="AF4" s="3">
        <f>AB8*AF8+AB16*AF16+AB17*AF17+AB19*AF19+X30*AF30+X31*AF31+X32*AF32+AB33*AF33</f>
        <v>2.0167546000000001</v>
      </c>
      <c r="AG4" s="3">
        <f>AB18*AG18+AB21*AG21+X30*AG30+X31*AG31</f>
        <v>6.9726597142857172E-2</v>
      </c>
      <c r="AH4" s="3">
        <f>AB21*AH21</f>
        <v>1.3945319428571432</v>
      </c>
      <c r="AI4" s="3">
        <f>AB9*AI9+AB20*AI20</f>
        <v>6.5065520000000002E-2</v>
      </c>
      <c r="AJ4" s="45">
        <f>AB23*AJ23+AB9*AJ9+Y30*AJ30+Y31*AJ31</f>
        <v>3.4639824800000003</v>
      </c>
      <c r="AK4" s="73"/>
    </row>
    <row r="5" spans="1:39" s="78" customFormat="1" ht="13.5" outlineLevel="1">
      <c r="A5" s="148"/>
      <c r="B5" s="148" t="s">
        <v>175</v>
      </c>
      <c r="C5" s="149"/>
      <c r="D5" s="684">
        <f t="shared" ref="D5:K5" si="3">D4/$K$4</f>
        <v>0.26591337968548112</v>
      </c>
      <c r="E5" s="684">
        <f t="shared" si="3"/>
        <v>0.17493666024393245</v>
      </c>
      <c r="F5" s="684">
        <f t="shared" si="3"/>
        <v>9.8713128276933029E-3</v>
      </c>
      <c r="G5" s="684">
        <f t="shared" si="3"/>
        <v>0.12466827314656229</v>
      </c>
      <c r="H5" s="684">
        <f t="shared" si="3"/>
        <v>0.16924605711982629</v>
      </c>
      <c r="I5" s="684">
        <f t="shared" si="3"/>
        <v>0.14539797808362687</v>
      </c>
      <c r="J5" s="684">
        <f t="shared" si="3"/>
        <v>0.10996633889287759</v>
      </c>
      <c r="K5" s="684">
        <f t="shared" si="3"/>
        <v>1</v>
      </c>
      <c r="L5" s="181"/>
      <c r="M5" s="684">
        <f t="shared" ref="M5:R5" si="4">M4/$T$4</f>
        <v>0.2800293506674939</v>
      </c>
      <c r="N5" s="684">
        <f t="shared" si="4"/>
        <v>5.0787594447304733E-2</v>
      </c>
      <c r="O5" s="684">
        <f t="shared" si="4"/>
        <v>6.3443209590035325E-3</v>
      </c>
      <c r="P5" s="684">
        <f t="shared" si="4"/>
        <v>0.27795331338151552</v>
      </c>
      <c r="Q5" s="684">
        <f t="shared" si="4"/>
        <v>7.764414016841413E-2</v>
      </c>
      <c r="R5" s="684">
        <f t="shared" si="4"/>
        <v>0.14762700523728012</v>
      </c>
      <c r="S5" s="684">
        <f>S4/$K$4</f>
        <v>0.15743691533270368</v>
      </c>
      <c r="T5" s="684">
        <f>T4/$T$4</f>
        <v>1</v>
      </c>
      <c r="U5" s="679"/>
      <c r="V5" s="150">
        <f t="shared" ref="V5:AB5" si="5">V4/$AB$4</f>
        <v>0.31537918583941627</v>
      </c>
      <c r="W5" s="160">
        <f t="shared" si="5"/>
        <v>0.13091174251007937</v>
      </c>
      <c r="X5" s="150">
        <f t="shared" si="5"/>
        <v>9.3830758090139438E-3</v>
      </c>
      <c r="Y5" s="160">
        <f t="shared" si="5"/>
        <v>0.23201877574097521</v>
      </c>
      <c r="Z5" s="150">
        <f t="shared" si="5"/>
        <v>0.14301187180321454</v>
      </c>
      <c r="AA5" s="150">
        <f t="shared" si="5"/>
        <v>0.16929534829730075</v>
      </c>
      <c r="AB5" s="150">
        <f t="shared" si="5"/>
        <v>1</v>
      </c>
      <c r="AC5" s="150"/>
      <c r="AD5" s="228"/>
      <c r="AE5" s="228"/>
      <c r="AF5" s="228"/>
      <c r="AG5" s="228"/>
      <c r="AH5" s="228"/>
      <c r="AI5" s="228"/>
      <c r="AJ5" s="228"/>
      <c r="AK5" s="77"/>
    </row>
    <row r="6" spans="1:39" ht="26" outlineLevel="1">
      <c r="A6" s="104" t="s">
        <v>4</v>
      </c>
      <c r="B6" s="179" t="s">
        <v>248</v>
      </c>
      <c r="C6" s="155"/>
      <c r="D6" s="672">
        <f>SUBTOTAL(9,D7:D10)</f>
        <v>0</v>
      </c>
      <c r="E6" s="672">
        <f t="shared" ref="E6:K6" si="6">SUBTOTAL(9,E7:E10)</f>
        <v>0</v>
      </c>
      <c r="F6" s="672">
        <f t="shared" si="6"/>
        <v>0</v>
      </c>
      <c r="G6" s="672">
        <f t="shared" si="6"/>
        <v>0.12512599999999999</v>
      </c>
      <c r="H6" s="672">
        <f t="shared" si="6"/>
        <v>3.5299999999999998E-2</v>
      </c>
      <c r="I6" s="672">
        <f t="shared" si="6"/>
        <v>0</v>
      </c>
      <c r="J6" s="672">
        <f t="shared" ref="J6" si="7">SUBTOTAL(9,J7:J10)</f>
        <v>0</v>
      </c>
      <c r="K6" s="672">
        <f t="shared" si="6"/>
        <v>0.16042599999999999</v>
      </c>
      <c r="L6" s="182">
        <f>K6/$K$4</f>
        <v>6.3633311054743964E-3</v>
      </c>
      <c r="M6" s="672">
        <f>SUBTOTAL(9,M7:M10)</f>
        <v>0</v>
      </c>
      <c r="N6" s="672">
        <f t="shared" ref="N6:T6" si="8">SUBTOTAL(9,N7:N10)</f>
        <v>0</v>
      </c>
      <c r="O6" s="672">
        <f t="shared" si="8"/>
        <v>0</v>
      </c>
      <c r="P6" s="672">
        <f t="shared" si="8"/>
        <v>0</v>
      </c>
      <c r="Q6" s="672">
        <f t="shared" si="8"/>
        <v>3.1064000000000001E-2</v>
      </c>
      <c r="R6" s="672">
        <f t="shared" si="8"/>
        <v>0</v>
      </c>
      <c r="S6" s="672">
        <f t="shared" si="8"/>
        <v>0</v>
      </c>
      <c r="T6" s="672">
        <f t="shared" si="8"/>
        <v>3.1064000000000001E-2</v>
      </c>
      <c r="U6" s="182">
        <f>T6/$T$4</f>
        <v>1.2492009390082462E-3</v>
      </c>
      <c r="V6" s="123">
        <f t="shared" ref="V6:AA6" si="9">SUBTOTAL(9,V7:V9)</f>
        <v>0</v>
      </c>
      <c r="W6" s="123">
        <f t="shared" si="9"/>
        <v>0</v>
      </c>
      <c r="X6" s="123">
        <f t="shared" si="9"/>
        <v>0</v>
      </c>
      <c r="Y6" s="123">
        <f t="shared" si="9"/>
        <v>0.12512599999999999</v>
      </c>
      <c r="Z6" s="123">
        <f t="shared" si="9"/>
        <v>6.6364000000000006E-2</v>
      </c>
      <c r="AA6" s="123">
        <f t="shared" si="9"/>
        <v>0</v>
      </c>
      <c r="AB6" s="123">
        <f>SUBTOTAL(9,AB7:AB10)</f>
        <v>0.19148999999999999</v>
      </c>
      <c r="AC6" s="158">
        <f t="shared" ref="AC6:AC33" si="10">AB6/$AB$4</f>
        <v>4.4186669342348561E-3</v>
      </c>
      <c r="AD6" s="229"/>
      <c r="AE6" s="229"/>
      <c r="AF6" s="229"/>
      <c r="AG6" s="229"/>
      <c r="AH6" s="229"/>
      <c r="AI6" s="229"/>
      <c r="AJ6" s="229"/>
      <c r="AK6" s="204"/>
    </row>
    <row r="7" spans="1:39" outlineLevel="1">
      <c r="A7" s="67">
        <v>1</v>
      </c>
      <c r="B7" s="132" t="s">
        <v>113</v>
      </c>
      <c r="C7" s="67" t="s">
        <v>93</v>
      </c>
      <c r="D7" s="673">
        <f>SUMIFS('PL1.1 ML2027-2028'!$G:$G,'PL1.1 ML2027-2028'!$J:$J,'TH theo DV'!$D$3,'PL1.1 ML2027-2028'!$K:$K,'TH theo DV'!C7)/$D$1</f>
        <v>0</v>
      </c>
      <c r="E7" s="673">
        <f>SUMIFS('PL1.1 ML2027-2028'!$G:$G,'PL1.1 ML2027-2028'!$J:$J,'TH theo DV'!$E$3,'PL1.1 ML2027-2028'!$K:$K,'TH theo DV'!C7)/$D$1</f>
        <v>0</v>
      </c>
      <c r="F7" s="673">
        <f>SUMIFS('PL1.1 ML2027-2028'!$G:$G,'PL1.1 ML2027-2028'!$J:$J,'TH theo DV'!$F$3,'PL1.1 ML2027-2028'!$K:$K,'TH theo DV'!C7)/$D$1</f>
        <v>0</v>
      </c>
      <c r="G7" s="673">
        <f>SUMIFS('PL1.1 ML2027-2028'!$G:$G,'PL1.1 ML2027-2028'!$J:$J,'TH theo DV'!$G$3,'PL1.1 ML2027-2028'!$K:$K,'TH theo DV'!C7)/$D$1</f>
        <v>0</v>
      </c>
      <c r="H7" s="673">
        <f>SUMIFS('PL1.1 ML2027-2028'!$G:$G,'PL1.1 ML2027-2028'!$J:$J,'TH theo DV'!$H$3,'PL1.1 ML2027-2028'!$K:$K,'TH theo DV'!C7)/$D$1</f>
        <v>3.5299999999999998E-2</v>
      </c>
      <c r="I7" s="673">
        <f>SUMIFS('PL1.1 ML2027-2028'!$G:$G,'PL1.1 ML2027-2028'!$J:$J,'TH theo DV'!$I$3,'PL1.1 ML2027-2028'!$K:$K,'TH theo DV'!C7)/$D$1</f>
        <v>0</v>
      </c>
      <c r="J7" s="673">
        <f>SUMIFS('PL1.1 ML2027-2028'!$G:$G,'PL1.1 ML2027-2028'!$J:$J,'TH theo DV'!J$3,'PL1.1 ML2027-2028'!$K:$K,'TH theo DV'!$C7)/$D$1</f>
        <v>0</v>
      </c>
      <c r="K7" s="706">
        <f>SUM(D7:J7)</f>
        <v>3.5299999999999998E-2</v>
      </c>
      <c r="L7" s="178">
        <f>K7/$K$4</f>
        <v>1.4001819407281001E-3</v>
      </c>
      <c r="M7" s="673">
        <f>SUMIFS('PL1.1 ML2027-2028'!$H:$H,'PL1.1 ML2027-2028'!$J:$J,'TH theo DV'!M$3,'PL1.1 ML2027-2028'!$K:$K,'TH theo DV'!$C7)/$D$1</f>
        <v>0</v>
      </c>
      <c r="N7" s="673">
        <f>SUMIFS('PL1.1 ML2027-2028'!$H:$H,'PL1.1 ML2027-2028'!$J:$J,'TH theo DV'!N$3,'PL1.1 ML2027-2028'!$K:$K,'TH theo DV'!$C7)/$D$1</f>
        <v>0</v>
      </c>
      <c r="O7" s="673">
        <f>SUMIFS('PL1.1 ML2027-2028'!$H:$H,'PL1.1 ML2027-2028'!$J:$J,'TH theo DV'!O$3,'PL1.1 ML2027-2028'!$K:$K,'TH theo DV'!$C7)/$D$1</f>
        <v>0</v>
      </c>
      <c r="P7" s="673">
        <f>SUMIFS('PL1.1 ML2027-2028'!$H:$H,'PL1.1 ML2027-2028'!$J:$J,'TH theo DV'!P$3,'PL1.1 ML2027-2028'!$K:$K,'TH theo DV'!$C7)/$D$1</f>
        <v>0</v>
      </c>
      <c r="Q7" s="673">
        <f>SUMIFS('PL1.1 ML2027-2028'!$H:$H,'PL1.1 ML2027-2028'!$J:$J,'TH theo DV'!Q$3,'PL1.1 ML2027-2028'!$K:$K,'TH theo DV'!$C7)/$D$1</f>
        <v>3.1064000000000001E-2</v>
      </c>
      <c r="R7" s="673">
        <f>SUMIFS('PL1.1 ML2027-2028'!$H:$H,'PL1.1 ML2027-2028'!$J:$J,'TH theo DV'!R$3,'PL1.1 ML2027-2028'!$K:$K,'TH theo DV'!$C7)/$D$1</f>
        <v>0</v>
      </c>
      <c r="S7" s="673">
        <f>SUMIFS('PL1.1 ML2027-2028'!$H:$H,'PL1.1 ML2027-2028'!$J:$J,'TH theo DV'!S$3,'PL1.1 ML2027-2028'!$K:$K,'TH theo DV'!$C7)/$D$1</f>
        <v>0</v>
      </c>
      <c r="T7" s="676">
        <f t="shared" ref="T7:T10" si="11">SUM(M7:S7)</f>
        <v>3.1064000000000001E-2</v>
      </c>
      <c r="U7" s="680"/>
      <c r="V7" s="122">
        <f t="shared" ref="V7:AA10" si="12">D7+M7</f>
        <v>0</v>
      </c>
      <c r="W7" s="122">
        <f t="shared" si="12"/>
        <v>0</v>
      </c>
      <c r="X7" s="122">
        <f t="shared" si="12"/>
        <v>0</v>
      </c>
      <c r="Y7" s="122">
        <f t="shared" si="12"/>
        <v>0</v>
      </c>
      <c r="Z7" s="122">
        <f t="shared" si="12"/>
        <v>6.6364000000000006E-2</v>
      </c>
      <c r="AA7" s="122">
        <f t="shared" si="12"/>
        <v>0</v>
      </c>
      <c r="AB7" s="114">
        <f>SUM(V7:AA7)</f>
        <v>6.6364000000000006E-2</v>
      </c>
      <c r="AC7" s="15">
        <f t="shared" si="10"/>
        <v>1.5313614936736228E-3</v>
      </c>
      <c r="AD7" s="234"/>
      <c r="AE7" s="234">
        <v>1</v>
      </c>
      <c r="AF7" s="229"/>
      <c r="AG7" s="229"/>
      <c r="AH7" s="229"/>
      <c r="AI7" s="229"/>
      <c r="AJ7" s="230"/>
      <c r="AK7" s="203"/>
      <c r="AL7" s="162"/>
      <c r="AM7" s="69"/>
    </row>
    <row r="8" spans="1:39" outlineLevel="1">
      <c r="A8" s="67">
        <v>2</v>
      </c>
      <c r="B8" s="132" t="s">
        <v>249</v>
      </c>
      <c r="C8" s="176" t="s">
        <v>249</v>
      </c>
      <c r="D8" s="673">
        <f>SUMIFS('PL1.1 ML2027-2028'!$G:$G,'PL1.1 ML2027-2028'!$J:$J,'TH theo DV'!$D$3,'PL1.1 ML2027-2028'!$K:$K,'TH theo DV'!C8)/$D$1</f>
        <v>0</v>
      </c>
      <c r="E8" s="673">
        <f>SUMIFS('PL1.1 ML2027-2028'!$G:$G,'PL1.1 ML2027-2028'!$J:$J,'TH theo DV'!$E$3,'PL1.1 ML2027-2028'!$K:$K,'TH theo DV'!C8)/$D$1</f>
        <v>0</v>
      </c>
      <c r="F8" s="673">
        <f>SUMIFS('PL1.1 ML2027-2028'!$G:$G,'PL1.1 ML2027-2028'!$J:$J,'TH theo DV'!$F$3,'PL1.1 ML2027-2028'!$K:$K,'TH theo DV'!C8)/$D$1</f>
        <v>0</v>
      </c>
      <c r="G8" s="673">
        <f>SUMIFS('PL1.1 ML2027-2028'!$G:$G,'PL1.1 ML2027-2028'!$J:$J,'TH theo DV'!$G$3,'PL1.1 ML2027-2028'!$K:$K,'TH theo DV'!C8)/$D$1 * 0.43287</f>
        <v>0</v>
      </c>
      <c r="H8" s="673">
        <f>SUMIFS('PL1.1 ML2027-2028'!$G:$G,'PL1.1 ML2027-2028'!$J:$J,'TH theo DV'!$H$3,'PL1.1 ML2027-2028'!$K:$K,'TH theo DV'!C8)/$D$1</f>
        <v>0</v>
      </c>
      <c r="I8" s="673">
        <f>SUMIFS('PL1.1 ML2027-2028'!$G:$G,'PL1.1 ML2027-2028'!$J:$J,'TH theo DV'!$I$3,'PL1.1 ML2027-2028'!$K:$K,'TH theo DV'!C8)/$D$1</f>
        <v>0</v>
      </c>
      <c r="J8" s="673">
        <f>SUMIFS('PL1.1 ML2027-2028'!$G:$G,'PL1.1 ML2027-2028'!$J:$J,'TH theo DV'!J$3,'PL1.1 ML2027-2028'!$K:$K,'TH theo DV'!$C8)/$D$1</f>
        <v>0</v>
      </c>
      <c r="K8" s="674">
        <f t="shared" ref="K8:K10" si="13">SUM(D8:J8)</f>
        <v>0</v>
      </c>
      <c r="L8" s="178">
        <f t="shared" ref="L8:L25" si="14">K8/$K$4</f>
        <v>0</v>
      </c>
      <c r="M8" s="673">
        <f>SUMIFS('PL1.1 ML2027-2028'!$H:$H,'PL1.1 ML2027-2028'!$J:$J,'TH theo DV'!M$3,'PL1.1 ML2027-2028'!$K:$K,'TH theo DV'!$C8)/$D$1</f>
        <v>0</v>
      </c>
      <c r="N8" s="673">
        <f>SUMIFS('PL1.1 ML2027-2028'!$H:$H,'PL1.1 ML2027-2028'!$J:$J,'TH theo DV'!N$3,'PL1.1 ML2027-2028'!$K:$K,'TH theo DV'!$C8)/$D$1</f>
        <v>0</v>
      </c>
      <c r="O8" s="673">
        <f>SUMIFS('PL1.1 ML2027-2028'!$H:$H,'PL1.1 ML2027-2028'!$J:$J,'TH theo DV'!O$3,'PL1.1 ML2027-2028'!$K:$K,'TH theo DV'!$C8)/$D$1</f>
        <v>0</v>
      </c>
      <c r="P8" s="673">
        <f>SUMIFS('PL1.1 ML2027-2028'!$H:$H,'PL1.1 ML2027-2028'!$J:$J,'TH theo DV'!P$3,'PL1.1 ML2027-2028'!$K:$K,'TH theo DV'!$C8)/$D$1</f>
        <v>0</v>
      </c>
      <c r="Q8" s="673">
        <f>SUMIFS('PL1.1 ML2027-2028'!$H:$H,'PL1.1 ML2027-2028'!$J:$J,'TH theo DV'!Q$3,'PL1.1 ML2027-2028'!$K:$K,'TH theo DV'!$C8)/$D$1</f>
        <v>0</v>
      </c>
      <c r="R8" s="673">
        <f>SUMIFS('PL1.1 ML2027-2028'!$H:$H,'PL1.1 ML2027-2028'!$J:$J,'TH theo DV'!R$3,'PL1.1 ML2027-2028'!$K:$K,'TH theo DV'!$C8)/$D$1</f>
        <v>0</v>
      </c>
      <c r="S8" s="673">
        <f>SUMIFS('PL1.1 ML2027-2028'!$H:$H,'PL1.1 ML2027-2028'!$J:$J,'TH theo DV'!S$3,'PL1.1 ML2027-2028'!$K:$K,'TH theo DV'!$C8)/$D$1</f>
        <v>0</v>
      </c>
      <c r="T8" s="676">
        <f t="shared" si="11"/>
        <v>0</v>
      </c>
      <c r="U8" s="680"/>
      <c r="V8" s="122">
        <f t="shared" si="12"/>
        <v>0</v>
      </c>
      <c r="W8" s="122">
        <f t="shared" si="12"/>
        <v>0</v>
      </c>
      <c r="X8" s="122">
        <f t="shared" si="12"/>
        <v>0</v>
      </c>
      <c r="Y8" s="122">
        <f t="shared" si="12"/>
        <v>0</v>
      </c>
      <c r="Z8" s="122">
        <f t="shared" si="12"/>
        <v>0</v>
      </c>
      <c r="AA8" s="122">
        <f t="shared" si="12"/>
        <v>0</v>
      </c>
      <c r="AB8" s="114">
        <f>SUM(V8:AA8)</f>
        <v>0</v>
      </c>
      <c r="AC8" s="15">
        <f t="shared" si="10"/>
        <v>0</v>
      </c>
      <c r="AD8" s="229"/>
      <c r="AE8" s="229"/>
      <c r="AF8" s="234">
        <v>1</v>
      </c>
      <c r="AG8" s="234"/>
      <c r="AH8" s="229"/>
      <c r="AI8" s="229"/>
      <c r="AJ8" s="229"/>
    </row>
    <row r="9" spans="1:39" outlineLevel="1">
      <c r="A9" s="67">
        <v>3</v>
      </c>
      <c r="B9" s="132" t="s">
        <v>250</v>
      </c>
      <c r="C9" s="128" t="s">
        <v>250</v>
      </c>
      <c r="D9" s="673">
        <f>SUMIFS('PL1.1 ML2027-2028'!$G:$G,'PL1.1 ML2027-2028'!$J:$J,'TH theo DV'!$D$3,'PL1.1 ML2027-2028'!$K:$K,'TH theo DV'!C9)/$D$1</f>
        <v>0</v>
      </c>
      <c r="E9" s="673">
        <f>SUMIFS('PL1.1 ML2027-2028'!$G:$G,'PL1.1 ML2027-2028'!$J:$J,'TH theo DV'!$E$3,'PL1.1 ML2027-2028'!$K:$K,'TH theo DV'!C9)/$D$1</f>
        <v>0</v>
      </c>
      <c r="F9" s="673">
        <f>SUMIFS('PL1.1 ML2027-2028'!$G:$G,'PL1.1 ML2027-2028'!$J:$J,'TH theo DV'!$F$3,'PL1.1 ML2027-2028'!$K:$K,'TH theo DV'!C9)/$D$1</f>
        <v>0</v>
      </c>
      <c r="G9" s="673">
        <f>SUMIFS('PL1.1 ML2027-2028'!$G:$G,'PL1.1 ML2027-2028'!$J:$J,'TH theo DV'!G$3,'PL1.1 ML2027-2028'!$K:$K,'TH theo DV'!$C9)/$D$1</f>
        <v>0.12512599999999999</v>
      </c>
      <c r="H9" s="673">
        <f>SUMIFS('PL1.1 ML2027-2028'!$G:$G,'PL1.1 ML2027-2028'!$J:$J,'TH theo DV'!$H$3,'PL1.1 ML2027-2028'!$K:$K,'TH theo DV'!C9)/$D$1</f>
        <v>0</v>
      </c>
      <c r="I9" s="673">
        <f>SUMIFS('PL1.1 ML2027-2028'!$G:$G,'PL1.1 ML2027-2028'!$J:$J,'TH theo DV'!$I$3,'PL1.1 ML2027-2028'!$K:$K,'TH theo DV'!C9)/$D$1</f>
        <v>0</v>
      </c>
      <c r="J9" s="673">
        <f>SUMIFS('PL1.1 ML2027-2028'!$G:$G,'PL1.1 ML2027-2028'!$J:$J,'TH theo DV'!J$3,'PL1.1 ML2027-2028'!$K:$K,'TH theo DV'!$C9)/$D$1</f>
        <v>0</v>
      </c>
      <c r="K9" s="674">
        <f t="shared" si="13"/>
        <v>0.12512599999999999</v>
      </c>
      <c r="L9" s="178">
        <f t="shared" si="14"/>
        <v>4.9631491647462956E-3</v>
      </c>
      <c r="M9" s="673">
        <f>SUMIFS('PL1.1 ML2027-2028'!$H:$H,'PL1.1 ML2027-2028'!$J:$J,'TH theo DV'!M$3,'PL1.1 ML2027-2028'!$K:$K,'TH theo DV'!$C9)/$D$1</f>
        <v>0</v>
      </c>
      <c r="N9" s="673">
        <f>SUMIFS('PL1.1 ML2027-2028'!$H:$H,'PL1.1 ML2027-2028'!$J:$J,'TH theo DV'!N$3,'PL1.1 ML2027-2028'!$K:$K,'TH theo DV'!$C9)/$D$1</f>
        <v>0</v>
      </c>
      <c r="O9" s="673">
        <f>SUMIFS('PL1.1 ML2027-2028'!$H:$H,'PL1.1 ML2027-2028'!$J:$J,'TH theo DV'!O$3,'PL1.1 ML2027-2028'!$K:$K,'TH theo DV'!$C9)/$D$1</f>
        <v>0</v>
      </c>
      <c r="P9" s="673">
        <f>SUMIFS('PL1.1 ML2027-2028'!$H:$H,'PL1.1 ML2027-2028'!$J:$J,'TH theo DV'!P$3,'PL1.1 ML2027-2028'!$K:$K,'TH theo DV'!$C9)/$D$1</f>
        <v>0</v>
      </c>
      <c r="Q9" s="673">
        <f>SUMIFS('PL1.1 ML2027-2028'!$H:$H,'PL1.1 ML2027-2028'!$J:$J,'TH theo DV'!Q$3,'PL1.1 ML2027-2028'!$K:$K,'TH theo DV'!$C9)/$D$1</f>
        <v>0</v>
      </c>
      <c r="R9" s="673">
        <f>SUMIFS('PL1.1 ML2027-2028'!$H:$H,'PL1.1 ML2027-2028'!$J:$J,'TH theo DV'!R$3,'PL1.1 ML2027-2028'!$K:$K,'TH theo DV'!$C9)/$D$1</f>
        <v>0</v>
      </c>
      <c r="S9" s="673">
        <f>SUMIFS('PL1.1 ML2027-2028'!$H:$H,'PL1.1 ML2027-2028'!$J:$J,'TH theo DV'!S$3,'PL1.1 ML2027-2028'!$K:$K,'TH theo DV'!$C9)/$D$1</f>
        <v>0</v>
      </c>
      <c r="T9" s="676">
        <f t="shared" si="11"/>
        <v>0</v>
      </c>
      <c r="U9" s="680"/>
      <c r="V9" s="122">
        <f t="shared" si="12"/>
        <v>0</v>
      </c>
      <c r="W9" s="122">
        <f t="shared" si="12"/>
        <v>0</v>
      </c>
      <c r="X9" s="122">
        <f t="shared" si="12"/>
        <v>0</v>
      </c>
      <c r="Y9" s="122">
        <f t="shared" si="12"/>
        <v>0.12512599999999999</v>
      </c>
      <c r="Z9" s="122">
        <f t="shared" si="12"/>
        <v>0</v>
      </c>
      <c r="AA9" s="122">
        <f t="shared" si="12"/>
        <v>0</v>
      </c>
      <c r="AB9" s="114">
        <f>SUM(V9:AA9)</f>
        <v>0.12512599999999999</v>
      </c>
      <c r="AC9" s="124">
        <f t="shared" si="10"/>
        <v>2.8873054405612335E-3</v>
      </c>
      <c r="AD9" s="229"/>
      <c r="AE9" s="229"/>
      <c r="AF9" s="229"/>
      <c r="AG9" s="229"/>
      <c r="AH9" s="229"/>
      <c r="AI9" s="234">
        <v>0.52</v>
      </c>
      <c r="AJ9" s="234">
        <v>0.48</v>
      </c>
    </row>
    <row r="10" spans="1:39" outlineLevel="1">
      <c r="A10" s="67">
        <v>4</v>
      </c>
      <c r="B10" s="132" t="s">
        <v>221</v>
      </c>
      <c r="C10" s="128" t="s">
        <v>251</v>
      </c>
      <c r="D10" s="673">
        <f>SUMIFS('PL1.1 ML2027-2028'!$G:$G,'PL1.1 ML2027-2028'!$J:$J,'TH theo DV'!$D$3,'PL1.1 ML2027-2028'!$K:$K,'TH theo DV'!C10)/$D$1</f>
        <v>0</v>
      </c>
      <c r="E10" s="673">
        <f>SUMIFS('PL1.1 ML2027-2028'!$G:$G,'PL1.1 ML2027-2028'!$J:$J,'TH theo DV'!$E$3,'PL1.1 ML2027-2028'!$K:$K,'TH theo DV'!C10)/$D$1</f>
        <v>0</v>
      </c>
      <c r="F10" s="673">
        <f>SUMIFS('PL1.1 ML2027-2028'!$G:$G,'PL1.1 ML2027-2028'!$J:$J,'TH theo DV'!$F$3,'PL1.1 ML2027-2028'!$K:$K,'TH theo DV'!C10)/$D$1</f>
        <v>0</v>
      </c>
      <c r="G10" s="673">
        <f>SUMIFS('PL1.1 ML2027-2028'!$G:$G,'PL1.1 ML2027-2028'!$J:$J,'TH theo DV'!$G$3,'PL1.1 ML2027-2028'!$K:$K,'TH theo DV'!C10)/$D$1</f>
        <v>0</v>
      </c>
      <c r="H10" s="673">
        <f>SUMIFS('PL1.1 ML2027-2028'!$G:$G,'PL1.1 ML2027-2028'!$J:$J,'TH theo DV'!$H$3,'PL1.1 ML2027-2028'!$K:$K,'TH theo DV'!C10)/$D$1</f>
        <v>0</v>
      </c>
      <c r="I10" s="673">
        <f>SUMIFS('PL1.1 ML2027-2028'!$G:$G,'PL1.1 ML2027-2028'!$J:$J,'TH theo DV'!$I$3,'PL1.1 ML2027-2028'!$K:$K,'TH theo DV'!C10)/$D$1</f>
        <v>0</v>
      </c>
      <c r="J10" s="673">
        <f>SUMIFS('PL1.1 ML2027-2028'!$G:$G,'PL1.1 ML2027-2028'!$J:$J,'TH theo DV'!J$3,'PL1.1 ML2027-2028'!$K:$K,'TH theo DV'!$C10)/$D$1</f>
        <v>0</v>
      </c>
      <c r="K10" s="674">
        <f t="shared" si="13"/>
        <v>0</v>
      </c>
      <c r="L10" s="178">
        <f t="shared" si="14"/>
        <v>0</v>
      </c>
      <c r="M10" s="673">
        <f>SUMIFS('PL1.1 ML2027-2028'!$H:$H,'PL1.1 ML2027-2028'!$J:$J,'TH theo DV'!M$3,'PL1.1 ML2027-2028'!$K:$K,'TH theo DV'!$C10)/$D$1</f>
        <v>0</v>
      </c>
      <c r="N10" s="673">
        <f>SUMIFS('PL1.1 ML2027-2028'!$H:$H,'PL1.1 ML2027-2028'!$J:$J,'TH theo DV'!N$3,'PL1.1 ML2027-2028'!$K:$K,'TH theo DV'!$C10)/$D$1</f>
        <v>0</v>
      </c>
      <c r="O10" s="673">
        <f>SUMIFS('PL1.1 ML2027-2028'!$H:$H,'PL1.1 ML2027-2028'!$J:$J,'TH theo DV'!O$3,'PL1.1 ML2027-2028'!$K:$K,'TH theo DV'!$C10)/$D$1</f>
        <v>0</v>
      </c>
      <c r="P10" s="673">
        <f>SUMIFS('PL1.1 ML2027-2028'!$H:$H,'PL1.1 ML2027-2028'!$J:$J,'TH theo DV'!P$3,'PL1.1 ML2027-2028'!$K:$K,'TH theo DV'!$C10)/$D$1</f>
        <v>0</v>
      </c>
      <c r="Q10" s="673">
        <f>SUMIFS('PL1.1 ML2027-2028'!$H:$H,'PL1.1 ML2027-2028'!$J:$J,'TH theo DV'!Q$3,'PL1.1 ML2027-2028'!$K:$K,'TH theo DV'!$C10)/$D$1</f>
        <v>0</v>
      </c>
      <c r="R10" s="673">
        <f>SUMIFS('PL1.1 ML2027-2028'!$H:$H,'PL1.1 ML2027-2028'!$J:$J,'TH theo DV'!R$3,'PL1.1 ML2027-2028'!$K:$K,'TH theo DV'!$C10)/$D$1</f>
        <v>0</v>
      </c>
      <c r="S10" s="673">
        <f>SUMIFS('PL1.1 ML2027-2028'!$H:$H,'PL1.1 ML2027-2028'!$J:$J,'TH theo DV'!S$3,'PL1.1 ML2027-2028'!$K:$K,'TH theo DV'!$C10)/$D$1</f>
        <v>0</v>
      </c>
      <c r="T10" s="676">
        <f t="shared" si="11"/>
        <v>0</v>
      </c>
      <c r="U10" s="680"/>
      <c r="V10" s="122">
        <f t="shared" si="12"/>
        <v>0</v>
      </c>
      <c r="W10" s="122">
        <f t="shared" si="12"/>
        <v>0</v>
      </c>
      <c r="X10" s="122">
        <f t="shared" si="12"/>
        <v>0</v>
      </c>
      <c r="Y10" s="122">
        <f t="shared" si="12"/>
        <v>0</v>
      </c>
      <c r="Z10" s="122">
        <f t="shared" si="12"/>
        <v>0</v>
      </c>
      <c r="AA10" s="122">
        <f t="shared" si="12"/>
        <v>0</v>
      </c>
      <c r="AB10" s="114">
        <f>SUM(V10:AA10)</f>
        <v>0</v>
      </c>
      <c r="AC10" s="15">
        <f t="shared" si="10"/>
        <v>0</v>
      </c>
      <c r="AD10" s="234">
        <v>1</v>
      </c>
      <c r="AE10" s="234"/>
      <c r="AF10" s="229"/>
      <c r="AG10" s="229"/>
      <c r="AH10" s="229"/>
      <c r="AI10" s="229"/>
      <c r="AJ10" s="229"/>
    </row>
    <row r="11" spans="1:39" ht="26" outlineLevel="1">
      <c r="A11" s="104" t="s">
        <v>12</v>
      </c>
      <c r="B11" s="179" t="s">
        <v>252</v>
      </c>
      <c r="C11" s="156"/>
      <c r="D11" s="675">
        <f>SUBTOTAL(9,D12:D25)</f>
        <v>6.1685237016552295</v>
      </c>
      <c r="E11" s="675">
        <f t="shared" ref="E11:F11" si="15">SUBTOTAL(9,E12:E25)</f>
        <v>3.5683678571428574</v>
      </c>
      <c r="F11" s="675">
        <f t="shared" si="15"/>
        <v>0.24886575999999999</v>
      </c>
      <c r="G11" s="675">
        <f>SUBTOTAL(9,G12:G25)</f>
        <v>2.0840050000000003</v>
      </c>
      <c r="H11" s="675">
        <f>SUBTOTAL(9,H12:H25)</f>
        <v>3.6325999285714285</v>
      </c>
      <c r="I11" s="675">
        <f>SUBTOTAL(9,I12:I25)</f>
        <v>2.305343685</v>
      </c>
      <c r="J11" s="675">
        <f>SUBTOTAL(9,J12:J25)</f>
        <v>2.7723623980609413</v>
      </c>
      <c r="K11" s="675">
        <f>SUBTOTAL(9,K12:K28)</f>
        <v>21.021192330430459</v>
      </c>
      <c r="L11" s="182">
        <f>K11/$K$4</f>
        <v>0.83381002474903043</v>
      </c>
      <c r="M11" s="675">
        <f>SUBTOTAL(9,M12:M25)</f>
        <v>6.2622168190324334</v>
      </c>
      <c r="N11" s="675">
        <f t="shared" ref="N11:O11" si="16">SUBTOTAL(9,N12:N25)</f>
        <v>0.29189999999999999</v>
      </c>
      <c r="O11" s="675">
        <f t="shared" si="16"/>
        <v>0.15776484000000002</v>
      </c>
      <c r="P11" s="675">
        <f>SUBTOTAL(9,P12:P25)</f>
        <v>6.6932028000000008</v>
      </c>
      <c r="Q11" s="675">
        <f>SUBTOTAL(9,Q12:Q25)</f>
        <v>1.2954203076923074</v>
      </c>
      <c r="R11" s="675">
        <f>SUBTOTAL(9,R12:R25)</f>
        <v>1.83114284</v>
      </c>
      <c r="S11" s="675">
        <f>SUBTOTAL(9,S12:S25)</f>
        <v>3.9691435445557213</v>
      </c>
      <c r="T11" s="675">
        <f>SUBTOTAL(9,T12:T28)</f>
        <v>20.768751151280462</v>
      </c>
      <c r="U11" s="182">
        <f>T11/$T$4</f>
        <v>0.83519004121195417</v>
      </c>
      <c r="V11" s="157">
        <f t="shared" ref="V11:AA11" si="17">SUBTOTAL(9,V12:V32)</f>
        <v>13.667461520687663</v>
      </c>
      <c r="W11" s="157">
        <f t="shared" si="17"/>
        <v>5.673269777142858</v>
      </c>
      <c r="X11" s="157">
        <f t="shared" si="17"/>
        <v>0.40663060000000001</v>
      </c>
      <c r="Y11" s="157">
        <f t="shared" si="17"/>
        <v>9.9297788000000011</v>
      </c>
      <c r="Z11" s="157">
        <f t="shared" si="17"/>
        <v>6.1312842362637365</v>
      </c>
      <c r="AA11" s="157">
        <f t="shared" si="17"/>
        <v>7.3366847350000004</v>
      </c>
      <c r="AB11" s="157">
        <f>SUBTOTAL(9,AB12:AB25)</f>
        <v>34.539353539094257</v>
      </c>
      <c r="AC11" s="158">
        <f t="shared" si="10"/>
        <v>0.79700192915057422</v>
      </c>
      <c r="AD11" s="229"/>
      <c r="AE11" s="229"/>
      <c r="AF11" s="229"/>
      <c r="AG11" s="229"/>
      <c r="AH11" s="229"/>
      <c r="AI11" s="229"/>
      <c r="AJ11" s="229"/>
    </row>
    <row r="12" spans="1:39" s="72" customFormat="1" outlineLevel="1">
      <c r="A12" s="147">
        <v>1</v>
      </c>
      <c r="B12" s="151" t="s">
        <v>546</v>
      </c>
      <c r="C12" s="147"/>
      <c r="D12" s="676">
        <f>SUBTOTAL(9,D13:D14)</f>
        <v>6.1685237016552295</v>
      </c>
      <c r="E12" s="676">
        <f>SUBTOTAL(9,E13:E14)</f>
        <v>3.5683678571428574</v>
      </c>
      <c r="F12" s="676">
        <f t="shared" ref="F12:I12" si="18">SUBTOTAL(9,F13:F14)</f>
        <v>0</v>
      </c>
      <c r="G12" s="676">
        <f t="shared" si="18"/>
        <v>0</v>
      </c>
      <c r="H12" s="676">
        <f t="shared" si="18"/>
        <v>0.83425899999999997</v>
      </c>
      <c r="I12" s="676">
        <f t="shared" si="18"/>
        <v>1.9053436849999998</v>
      </c>
      <c r="J12" s="676">
        <f t="shared" ref="J12" si="19">SUBTOTAL(9,J13:J14)</f>
        <v>2.6355653980609413</v>
      </c>
      <c r="K12" s="676">
        <f>SUBTOTAL(9,K13:K14)</f>
        <v>15.112059641859029</v>
      </c>
      <c r="L12" s="178">
        <f t="shared" si="14"/>
        <v>0.59942303109736472</v>
      </c>
      <c r="M12" s="671">
        <f>SUBTOTAL(9,M13:M14)</f>
        <v>6.2622168190324334</v>
      </c>
      <c r="N12" s="671">
        <f t="shared" ref="N12:S12" si="20">SUBTOTAL(9,N13:N14)</f>
        <v>0.29189999999999999</v>
      </c>
      <c r="O12" s="671">
        <f t="shared" si="20"/>
        <v>0</v>
      </c>
      <c r="P12" s="671">
        <f t="shared" si="20"/>
        <v>0</v>
      </c>
      <c r="Q12" s="671">
        <f t="shared" si="20"/>
        <v>1.1404723076923076</v>
      </c>
      <c r="R12" s="671">
        <f t="shared" si="20"/>
        <v>1.83114284</v>
      </c>
      <c r="S12" s="676">
        <f t="shared" si="20"/>
        <v>3.9691435445557213</v>
      </c>
      <c r="T12" s="671">
        <f>SUBTOTAL(9,T13:T14)</f>
        <v>13.494875511280462</v>
      </c>
      <c r="U12" s="681">
        <f>T12/$T$4</f>
        <v>0.54267998842682652</v>
      </c>
      <c r="V12" s="152">
        <f t="shared" ref="V12:AB12" si="21">SUBTOTAL(9,V13:V14)</f>
        <v>12.430740520687664</v>
      </c>
      <c r="W12" s="152">
        <f t="shared" si="21"/>
        <v>3.8602678571428575</v>
      </c>
      <c r="X12" s="152">
        <f t="shared" si="21"/>
        <v>0</v>
      </c>
      <c r="Y12" s="152">
        <f t="shared" si="21"/>
        <v>0</v>
      </c>
      <c r="Z12" s="152">
        <f t="shared" si="21"/>
        <v>1.9747313076923074</v>
      </c>
      <c r="AA12" s="152">
        <f t="shared" si="21"/>
        <v>3.7364865250000001</v>
      </c>
      <c r="AB12" s="152">
        <f t="shared" si="21"/>
        <v>22.002226210522828</v>
      </c>
      <c r="AC12" s="177">
        <f t="shared" si="10"/>
        <v>0.5077054124810314</v>
      </c>
      <c r="AD12" s="234">
        <v>1</v>
      </c>
      <c r="AE12" s="234"/>
      <c r="AF12" s="231"/>
      <c r="AG12" s="231"/>
      <c r="AH12" s="231"/>
      <c r="AI12" s="231"/>
      <c r="AJ12" s="231"/>
      <c r="AK12" s="56"/>
    </row>
    <row r="13" spans="1:39" s="53" customFormat="1" outlineLevel="1">
      <c r="A13" s="29" t="s">
        <v>8</v>
      </c>
      <c r="B13" s="144" t="s">
        <v>547</v>
      </c>
      <c r="C13" s="29" t="s">
        <v>127</v>
      </c>
      <c r="D13" s="677">
        <f>SUMIFS('PL1.1 ML2027-2028'!$G:$G,'PL1.1 ML2027-2028'!$J:$J,'TH theo DV'!$D$3,'PL1.1 ML2027-2028'!$K:$K,'TH theo DV'!C13)/$D$1</f>
        <v>1.1282283516552296</v>
      </c>
      <c r="E13" s="677">
        <f>SUMIFS('PL1.1 ML2027-2028'!$G:$G,'PL1.1 ML2027-2028'!$J:$J,'TH theo DV'!$E$3,'PL1.1 ML2027-2028'!$K:$K,'TH theo DV'!C13)/$D$1</f>
        <v>0</v>
      </c>
      <c r="F13" s="677">
        <f>SUMIFS('PL1.1 ML2027-2028'!$G:$G,'PL1.1 ML2027-2028'!$J:$J,'TH theo DV'!$F$3,'PL1.1 ML2027-2028'!$K:$K,'TH theo DV'!C13)/$D$1</f>
        <v>0</v>
      </c>
      <c r="G13" s="677">
        <f>SUMIFS('PL1.1 ML2027-2028'!$G:$G,'PL1.1 ML2027-2028'!$J:$J,'TH theo DV'!$G$3,'PL1.1 ML2027-2028'!$K:$K,'TH theo DV'!C13)/$D$1</f>
        <v>0</v>
      </c>
      <c r="H13" s="677">
        <f>SUMIFS('PL1.1 ML2027-2028'!$G:$G,'PL1.1 ML2027-2028'!$J:$J,'TH theo DV'!H$3,'PL1.1 ML2027-2028'!$K:$K,'TH theo DV'!$C13)/$D$1</f>
        <v>0.83425899999999997</v>
      </c>
      <c r="I13" s="676">
        <f>SUMIFS('PL1.1 ML2027-2028'!$G:$G,'PL1.1 ML2027-2028'!$J:$J,'TH theo DV'!$I$3,'PL1.1 ML2027-2028'!$K:$K,'TH theo DV'!C13)/$D$1</f>
        <v>1.4700764149999999</v>
      </c>
      <c r="J13" s="673">
        <f>SUMIFS('PL1.1 ML2027-2028'!$G:$G,'PL1.1 ML2027-2028'!$J:$J,'TH theo DV'!J$3,'PL1.1 ML2027-2028'!$K:$K,'TH theo DV'!$C13)/$D$1</f>
        <v>2.2636443076923074</v>
      </c>
      <c r="K13" s="674">
        <f t="shared" ref="K13:K14" si="22">SUM(D13:J13)</f>
        <v>5.6962080743475365</v>
      </c>
      <c r="L13" s="178">
        <f t="shared" si="14"/>
        <v>0.22594129394705406</v>
      </c>
      <c r="M13" s="673">
        <f>SUMIFS('PL1.1 ML2027-2028'!$H:$H,'PL1.1 ML2027-2028'!$J:$J,'TH theo DV'!M$3,'PL1.1 ML2027-2028'!$K:$K,'TH theo DV'!$C13)/$D$1</f>
        <v>0.65373302703832492</v>
      </c>
      <c r="N13" s="673">
        <f>SUMIFS('PL1.1 ML2027-2028'!$H:$H,'PL1.1 ML2027-2028'!$J:$J,'TH theo DV'!N$3,'PL1.1 ML2027-2028'!$K:$K,'TH theo DV'!$C13)/$D$1</f>
        <v>0</v>
      </c>
      <c r="O13" s="673">
        <f>SUMIFS('PL1.1 ML2027-2028'!$H:$H,'PL1.1 ML2027-2028'!$J:$J,'TH theo DV'!O$3,'PL1.1 ML2027-2028'!$K:$K,'TH theo DV'!$C13)/$D$1</f>
        <v>0</v>
      </c>
      <c r="P13" s="673">
        <f>SUMIFS('PL1.1 ML2027-2028'!$H:$H,'PL1.1 ML2027-2028'!$J:$J,'TH theo DV'!P$3,'PL1.1 ML2027-2028'!$K:$K,'TH theo DV'!$C13)/$D$1</f>
        <v>0</v>
      </c>
      <c r="Q13" s="673">
        <f>SUMIFS('PL1.1 ML2027-2028'!$H:$H,'PL1.1 ML2027-2028'!$J:$J,'TH theo DV'!Q$3,'PL1.1 ML2027-2028'!$K:$K,'TH theo DV'!$C13)/$D$1</f>
        <v>1.1404723076923076</v>
      </c>
      <c r="R13" s="673">
        <f>SUMIFS('PL1.1 ML2027-2028'!$H:$H,'PL1.1 ML2027-2028'!$J:$J,'TH theo DV'!R$3,'PL1.1 ML2027-2028'!$K:$K,'TH theo DV'!$C13)/$D$1</f>
        <v>0.97021670000000004</v>
      </c>
      <c r="S13" s="673">
        <f>SUMIFS('PL1.1 ML2027-2028'!$H:$H,'PL1.1 ML2027-2028'!$J:$J,'TH theo DV'!S$3,'PL1.1 ML2027-2028'!$K:$K,'TH theo DV'!$C13)/$D$1</f>
        <v>1.4610112307692307</v>
      </c>
      <c r="T13" s="676">
        <f>SUM(M13:S13)</f>
        <v>4.2254332654998628</v>
      </c>
      <c r="U13" s="682"/>
      <c r="V13" s="153">
        <f t="shared" ref="V13:AA14" si="23">D13+M13</f>
        <v>1.7819613786935546</v>
      </c>
      <c r="W13" s="153">
        <f t="shared" si="23"/>
        <v>0</v>
      </c>
      <c r="X13" s="153">
        <f t="shared" si="23"/>
        <v>0</v>
      </c>
      <c r="Y13" s="153">
        <f t="shared" si="23"/>
        <v>0</v>
      </c>
      <c r="Z13" s="153">
        <f t="shared" si="23"/>
        <v>1.9747313076923074</v>
      </c>
      <c r="AA13" s="153">
        <f t="shared" si="23"/>
        <v>2.4402931149999998</v>
      </c>
      <c r="AB13" s="152">
        <f>SUM(V13:AA13)</f>
        <v>6.1969858013858623</v>
      </c>
      <c r="AC13" s="177">
        <f t="shared" si="10"/>
        <v>0.14299658599669227</v>
      </c>
      <c r="AD13" s="229"/>
      <c r="AE13" s="229"/>
      <c r="AF13" s="229"/>
      <c r="AG13" s="229"/>
      <c r="AH13" s="229"/>
      <c r="AI13" s="229"/>
      <c r="AJ13" s="230"/>
      <c r="AK13" s="203"/>
    </row>
    <row r="14" spans="1:39" s="53" customFormat="1" outlineLevel="1">
      <c r="A14" s="29" t="s">
        <v>8</v>
      </c>
      <c r="B14" s="144" t="s">
        <v>548</v>
      </c>
      <c r="C14" s="29" t="s">
        <v>128</v>
      </c>
      <c r="D14" s="677">
        <f>SUMIFS('PL1.1 ML2027-2028'!$G:$G,'PL1.1 ML2027-2028'!$J:$J,'TH theo DV'!$D$3,'PL1.1 ML2027-2028'!$K:$K,'TH theo DV'!C14)/$D$1</f>
        <v>5.0402953500000001</v>
      </c>
      <c r="E14" s="677">
        <f>SUMIFS('PL1.1 ML2027-2028'!$G:$G,'PL1.1 ML2027-2028'!$J:$J,'TH theo DV'!$E$3,'PL1.1 ML2027-2028'!$K:$K,'TH theo DV'!C14)/$D$1</f>
        <v>3.5683678571428574</v>
      </c>
      <c r="F14" s="677">
        <f>SUMIFS('PL1.1 ML2027-2028'!$G:$G,'PL1.1 ML2027-2028'!$J:$J,'TH theo DV'!$F$3,'PL1.1 ML2027-2028'!$K:$K,'TH theo DV'!C14)/$D$1</f>
        <v>0</v>
      </c>
      <c r="G14" s="677">
        <f>SUMIFS('PL1.1 ML2027-2028'!$G:$G,'PL1.1 ML2027-2028'!$J:$J,'TH theo DV'!$G$3,'PL1.1 ML2027-2028'!$K:$K,'TH theo DV'!C14)/$D$1</f>
        <v>0</v>
      </c>
      <c r="H14" s="677">
        <f>SUMIFS('PL1.1 ML2027-2028'!$G:$G,'PL1.1 ML2027-2028'!$J:$J,'TH theo DV'!H$3,'PL1.1 ML2027-2028'!$K:$K,'TH theo DV'!$C14)/$D$1</f>
        <v>0</v>
      </c>
      <c r="I14" s="676">
        <f>SUMIFS('PL1.1 ML2027-2028'!$G:$G,'PL1.1 ML2027-2028'!$J:$J,'TH theo DV'!$I$3,'PL1.1 ML2027-2028'!$K:$K,'TH theo DV'!C14)/$D$1</f>
        <v>0.43526727000000004</v>
      </c>
      <c r="J14" s="673">
        <f>SUMIFS('PL1.1 ML2027-2028'!$G:$G,'PL1.1 ML2027-2028'!$J:$J,'TH theo DV'!J$3,'PL1.1 ML2027-2028'!$K:$K,'TH theo DV'!$C14)/$D$1</f>
        <v>0.37192109036863408</v>
      </c>
      <c r="K14" s="674">
        <f t="shared" si="22"/>
        <v>9.415851567511492</v>
      </c>
      <c r="L14" s="178">
        <f t="shared" si="14"/>
        <v>0.37348173715031063</v>
      </c>
      <c r="M14" s="673">
        <f>SUMIFS('PL1.1 ML2027-2028'!$H:$H,'PL1.1 ML2027-2028'!$J:$J,'TH theo DV'!M$3,'PL1.1 ML2027-2028'!$K:$K,'TH theo DV'!$C14)/$D$1</f>
        <v>5.6084837919941082</v>
      </c>
      <c r="N14" s="673">
        <f>SUMIFS('PL1.1 ML2027-2028'!$H:$H,'PL1.1 ML2027-2028'!$J:$J,'TH theo DV'!N$3,'PL1.1 ML2027-2028'!$K:$K,'TH theo DV'!$C14)/$D$1</f>
        <v>0.29189999999999999</v>
      </c>
      <c r="O14" s="673">
        <f>SUMIFS('PL1.1 ML2027-2028'!$H:$H,'PL1.1 ML2027-2028'!$J:$J,'TH theo DV'!O$3,'PL1.1 ML2027-2028'!$K:$K,'TH theo DV'!$C14)/$D$1</f>
        <v>0</v>
      </c>
      <c r="P14" s="673">
        <f>SUMIFS('PL1.1 ML2027-2028'!$H:$H,'PL1.1 ML2027-2028'!$J:$J,'TH theo DV'!P$3,'PL1.1 ML2027-2028'!$K:$K,'TH theo DV'!$C14)/$D$1</f>
        <v>0</v>
      </c>
      <c r="Q14" s="673">
        <f>SUMIFS('PL1.1 ML2027-2028'!$H:$H,'PL1.1 ML2027-2028'!$J:$J,'TH theo DV'!Q$3,'PL1.1 ML2027-2028'!$K:$K,'TH theo DV'!$C14)/$D$1</f>
        <v>0</v>
      </c>
      <c r="R14" s="673">
        <f>SUMIFS('PL1.1 ML2027-2028'!$H:$H,'PL1.1 ML2027-2028'!$J:$J,'TH theo DV'!R$3,'PL1.1 ML2027-2028'!$K:$K,'TH theo DV'!$C14)/$D$1</f>
        <v>0.86092614000000001</v>
      </c>
      <c r="S14" s="673">
        <f>SUMIFS('PL1.1 ML2027-2028'!$H:$H,'PL1.1 ML2027-2028'!$J:$J,'TH theo DV'!S$3,'PL1.1 ML2027-2028'!$K:$K,'TH theo DV'!$C14)/$D$1</f>
        <v>2.5081323137864904</v>
      </c>
      <c r="T14" s="676">
        <f>SUM(M14:S14)</f>
        <v>9.2694422457805992</v>
      </c>
      <c r="U14" s="682"/>
      <c r="V14" s="153">
        <f t="shared" si="23"/>
        <v>10.648779141994108</v>
      </c>
      <c r="W14" s="153">
        <f t="shared" si="23"/>
        <v>3.8602678571428575</v>
      </c>
      <c r="X14" s="153">
        <f t="shared" si="23"/>
        <v>0</v>
      </c>
      <c r="Y14" s="153">
        <f t="shared" si="23"/>
        <v>0</v>
      </c>
      <c r="Z14" s="153">
        <f t="shared" si="23"/>
        <v>0</v>
      </c>
      <c r="AA14" s="153">
        <f t="shared" si="23"/>
        <v>1.2961934100000001</v>
      </c>
      <c r="AB14" s="152">
        <f>SUM(V14:AA14)</f>
        <v>15.805240409136967</v>
      </c>
      <c r="AC14" s="177">
        <f t="shared" si="10"/>
        <v>0.36470882648433917</v>
      </c>
      <c r="AD14" s="229"/>
      <c r="AE14" s="229"/>
      <c r="AF14" s="229"/>
      <c r="AG14" s="229"/>
      <c r="AH14" s="229"/>
      <c r="AI14" s="229"/>
      <c r="AJ14" s="230"/>
      <c r="AK14" s="73"/>
    </row>
    <row r="15" spans="1:39" s="53" customFormat="1" outlineLevel="1">
      <c r="A15" s="147">
        <v>2</v>
      </c>
      <c r="B15" s="151" t="s">
        <v>219</v>
      </c>
      <c r="C15" s="29"/>
      <c r="D15" s="676">
        <f t="shared" ref="D15:G15" si="24">SUBTOTAL(9,D16:D19)</f>
        <v>0</v>
      </c>
      <c r="E15" s="676">
        <f t="shared" si="24"/>
        <v>0</v>
      </c>
      <c r="F15" s="676">
        <f>SUBTOTAL(9,F16:F19)</f>
        <v>0.24886575999999999</v>
      </c>
      <c r="G15" s="676">
        <f t="shared" si="24"/>
        <v>0</v>
      </c>
      <c r="H15" s="676">
        <f>SUBTOTAL(9,H16:H19)</f>
        <v>1.51789</v>
      </c>
      <c r="I15" s="676">
        <f t="shared" ref="I15:J15" si="25">SUBTOTAL(9,I16:I19)</f>
        <v>0</v>
      </c>
      <c r="J15" s="676">
        <f t="shared" si="25"/>
        <v>0</v>
      </c>
      <c r="K15" s="676">
        <f>SUBTOTAL(9,K16:K19)</f>
        <v>1.7667557599999999</v>
      </c>
      <c r="L15" s="178">
        <f t="shared" si="14"/>
        <v>7.0078739626893746E-2</v>
      </c>
      <c r="M15" s="671">
        <f>SUBTOTAL(9,M16:M19)</f>
        <v>0</v>
      </c>
      <c r="N15" s="671">
        <f t="shared" ref="N15:T15" si="26">SUBTOTAL(9,N16:N19)</f>
        <v>0</v>
      </c>
      <c r="O15" s="671">
        <f t="shared" si="26"/>
        <v>0.15776484000000002</v>
      </c>
      <c r="P15" s="671">
        <f t="shared" si="26"/>
        <v>0</v>
      </c>
      <c r="Q15" s="671">
        <f t="shared" si="26"/>
        <v>9.2233999999999997E-2</v>
      </c>
      <c r="R15" s="671">
        <f t="shared" si="26"/>
        <v>0</v>
      </c>
      <c r="S15" s="676">
        <f t="shared" si="26"/>
        <v>0</v>
      </c>
      <c r="T15" s="671">
        <f t="shared" si="26"/>
        <v>0.24999884</v>
      </c>
      <c r="U15" s="681">
        <f>T15/$T$4</f>
        <v>1.0053398972410903E-2</v>
      </c>
      <c r="V15" s="152">
        <f t="shared" ref="V15:AB15" si="27">SUBTOTAL(9,V16:V19)</f>
        <v>0</v>
      </c>
      <c r="W15" s="152">
        <f t="shared" si="27"/>
        <v>0</v>
      </c>
      <c r="X15" s="152">
        <f t="shared" si="27"/>
        <v>0.40663060000000001</v>
      </c>
      <c r="Y15" s="152">
        <f t="shared" si="27"/>
        <v>0</v>
      </c>
      <c r="Z15" s="152">
        <f t="shared" si="27"/>
        <v>1.6101239999999999</v>
      </c>
      <c r="AA15" s="152">
        <f t="shared" si="27"/>
        <v>0</v>
      </c>
      <c r="AB15" s="152">
        <f t="shared" si="27"/>
        <v>2.0167546000000001</v>
      </c>
      <c r="AC15" s="177">
        <f t="shared" si="10"/>
        <v>4.65369829520395E-2</v>
      </c>
      <c r="AD15" s="229"/>
      <c r="AE15" s="229"/>
      <c r="AF15" s="229"/>
      <c r="AG15" s="234"/>
      <c r="AH15" s="229"/>
      <c r="AI15" s="229"/>
      <c r="AJ15" s="229"/>
      <c r="AK15" s="73"/>
    </row>
    <row r="16" spans="1:39" s="53" customFormat="1" ht="14.65" customHeight="1" outlineLevel="1">
      <c r="A16" s="29" t="s">
        <v>8</v>
      </c>
      <c r="B16" s="144" t="s">
        <v>121</v>
      </c>
      <c r="C16" s="70" t="s">
        <v>129</v>
      </c>
      <c r="D16" s="677">
        <f>SUMIFS('PL1.1 ML2027-2028'!$G:$G,'PL1.1 ML2027-2028'!$J:$J,'TH theo DV'!$D$3,'PL1.1 ML2027-2028'!$K:$K,'TH theo DV'!C16)/$D$1</f>
        <v>0</v>
      </c>
      <c r="E16" s="677">
        <f>SUMIFS('PL1.1 ML2027-2028'!$G:$G,'PL1.1 ML2027-2028'!$J:$J,'TH theo DV'!$E$3,'PL1.1 ML2027-2028'!$K:$K,'TH theo DV'!C16)/$D$1</f>
        <v>0</v>
      </c>
      <c r="F16" s="677">
        <f>SUMIFS('PL1.1 ML2027-2028'!$G:$G,'PL1.1 ML2027-2028'!$J:$J,'TH theo DV'!$F$3,'PL1.1 ML2027-2028'!$K:$K,'TH theo DV'!C16)/$D$1</f>
        <v>0</v>
      </c>
      <c r="G16" s="677">
        <f>SUMIFS('PL1.1 ML2027-2028'!$G:$G,'PL1.1 ML2027-2028'!$J:$J,'TH theo DV'!$G$3,'PL1.1 ML2027-2028'!$K:$K,'TH theo DV'!C16)/$D$1</f>
        <v>0</v>
      </c>
      <c r="H16" s="677">
        <f>SUMIFS('PL1.1 ML2027-2028'!$G:$G,'PL1.1 ML2027-2028'!$J:$J,'TH theo DV'!$H$3,'PL1.1 ML2027-2028'!$K:$K,'TH theo DV'!C16)/$D$1</f>
        <v>0</v>
      </c>
      <c r="I16" s="677">
        <f>SUMIFS('PL1.1 ML2027-2028'!$G:$G,'PL1.1 ML2027-2028'!$J:$J,'TH theo DV'!$I$3,'PL1.1 ML2027-2028'!$K:$K,'TH theo DV'!C16)/$D$1</f>
        <v>0</v>
      </c>
      <c r="J16" s="673">
        <f>SUMIFS('PL1.1 ML2027-2028'!$G:$G,'PL1.1 ML2027-2028'!$J:$J,'TH theo DV'!J$3,'PL1.1 ML2027-2028'!$K:$K,'TH theo DV'!$C16)/$D$1</f>
        <v>0</v>
      </c>
      <c r="K16" s="674">
        <f t="shared" ref="K16:K21" si="28">SUM(D16:J16)</f>
        <v>0</v>
      </c>
      <c r="L16" s="178">
        <f t="shared" si="14"/>
        <v>0</v>
      </c>
      <c r="M16" s="673">
        <f>SUMIFS('PL1.1 ML2027-2028'!$H:$H,'PL1.1 ML2027-2028'!$J:$J,'TH theo DV'!M$3,'PL1.1 ML2027-2028'!$K:$K,'TH theo DV'!$C16)/$D$1</f>
        <v>0</v>
      </c>
      <c r="N16" s="673">
        <f>SUMIFS('PL1.1 ML2027-2028'!$H:$H,'PL1.1 ML2027-2028'!$J:$J,'TH theo DV'!N$3,'PL1.1 ML2027-2028'!$K:$K,'TH theo DV'!$C16)/$D$1</f>
        <v>0</v>
      </c>
      <c r="O16" s="673">
        <f>SUMIFS('PL1.1 ML2027-2028'!$H:$H,'PL1.1 ML2027-2028'!$J:$J,'TH theo DV'!O$3,'PL1.1 ML2027-2028'!$K:$K,'TH theo DV'!$C16)/$D$1</f>
        <v>0</v>
      </c>
      <c r="P16" s="673">
        <f>SUMIFS('PL1.1 ML2027-2028'!$H:$H,'PL1.1 ML2027-2028'!$J:$J,'TH theo DV'!P$3,'PL1.1 ML2027-2028'!$K:$K,'TH theo DV'!$C16)/$D$1</f>
        <v>0</v>
      </c>
      <c r="Q16" s="673">
        <f>SUMIFS('PL1.1 ML2027-2028'!$H:$H,'PL1.1 ML2027-2028'!$J:$J,'TH theo DV'!Q$3,'PL1.1 ML2027-2028'!$K:$K,'TH theo DV'!$C16)/$D$1</f>
        <v>0</v>
      </c>
      <c r="R16" s="673">
        <f>SUMIFS('PL1.1 ML2027-2028'!$H:$H,'PL1.1 ML2027-2028'!$J:$J,'TH theo DV'!R$3,'PL1.1 ML2027-2028'!$K:$K,'TH theo DV'!$C16)/$D$1</f>
        <v>0</v>
      </c>
      <c r="S16" s="673">
        <f>SUMIFS('PL1.1 ML2027-2028'!$H:$H,'PL1.1 ML2027-2028'!$J:$J,'TH theo DV'!S$3,'PL1.1 ML2027-2028'!$K:$K,'TH theo DV'!$C16)/$D$1</f>
        <v>0</v>
      </c>
      <c r="T16" s="676">
        <f t="shared" ref="T16:T19" si="29">SUM(M16:S16)</f>
        <v>0</v>
      </c>
      <c r="U16" s="682"/>
      <c r="V16" s="153">
        <f t="shared" ref="V16:AA21" si="30">D16+M16</f>
        <v>0</v>
      </c>
      <c r="W16" s="153">
        <f t="shared" si="30"/>
        <v>0</v>
      </c>
      <c r="X16" s="153">
        <f t="shared" si="30"/>
        <v>0</v>
      </c>
      <c r="Y16" s="153">
        <f t="shared" si="30"/>
        <v>0</v>
      </c>
      <c r="Z16" s="153">
        <f t="shared" si="30"/>
        <v>0</v>
      </c>
      <c r="AA16" s="153">
        <f t="shared" si="30"/>
        <v>0</v>
      </c>
      <c r="AB16" s="152">
        <f t="shared" ref="AB16:AB21" si="31">SUM(V16:AA16)</f>
        <v>0</v>
      </c>
      <c r="AC16" s="178">
        <f t="shared" si="10"/>
        <v>0</v>
      </c>
      <c r="AD16" s="229"/>
      <c r="AE16" s="229"/>
      <c r="AF16" s="234">
        <v>1</v>
      </c>
      <c r="AG16" s="229"/>
      <c r="AH16" s="229"/>
      <c r="AI16" s="229"/>
      <c r="AJ16" s="232"/>
      <c r="AK16" s="73"/>
    </row>
    <row r="17" spans="1:39" s="53" customFormat="1" outlineLevel="1">
      <c r="A17" s="29" t="s">
        <v>8</v>
      </c>
      <c r="B17" s="144" t="s">
        <v>138</v>
      </c>
      <c r="C17" s="70" t="s">
        <v>130</v>
      </c>
      <c r="D17" s="677">
        <f>SUMIFS('PL1.1 ML2027-2028'!$G:$G,'PL1.1 ML2027-2028'!$J:$J,'TH theo DV'!$D$3,'PL1.1 ML2027-2028'!$K:$K,'TH theo DV'!C17)/$D$1</f>
        <v>0</v>
      </c>
      <c r="E17" s="677">
        <f>SUMIFS('PL1.1 ML2027-2028'!$G:$G,'PL1.1 ML2027-2028'!$J:$J,'TH theo DV'!$E$3,'PL1.1 ML2027-2028'!$K:$K,'TH theo DV'!C17)/$D$1</f>
        <v>0</v>
      </c>
      <c r="F17" s="677">
        <f>SUMIFS('PL1.1 ML2027-2028'!$G:$G,'PL1.1 ML2027-2028'!$J:$J,'TH theo DV'!$F$3,'PL1.1 ML2027-2028'!$K:$K,'TH theo DV'!C17)/$D$1</f>
        <v>0</v>
      </c>
      <c r="G17" s="677">
        <f>SUMIFS('PL1.1 ML2027-2028'!$G:$G,'PL1.1 ML2027-2028'!$J:$J,'TH theo DV'!$G$3,'PL1.1 ML2027-2028'!$K:$K,'TH theo DV'!C17)/$D$1</f>
        <v>0</v>
      </c>
      <c r="H17" s="677">
        <f>SUMIFS('PL1.1 ML2027-2028'!$G:$G,'PL1.1 ML2027-2028'!$J:$J,'TH theo DV'!$H$3,'PL1.1 ML2027-2028'!$K:$K,'TH theo DV'!C17)/$D$1</f>
        <v>1.51789</v>
      </c>
      <c r="I17" s="677">
        <f>SUMIFS('PL1.1 ML2027-2028'!$G:$G,'PL1.1 ML2027-2028'!$J:$J,'TH theo DV'!$I$3,'PL1.1 ML2027-2028'!$K:$K,'TH theo DV'!C17)/$D$1</f>
        <v>0</v>
      </c>
      <c r="J17" s="673">
        <f>SUMIFS('PL1.1 ML2027-2028'!$G:$G,'PL1.1 ML2027-2028'!$J:$J,'TH theo DV'!J$3,'PL1.1 ML2027-2028'!$K:$K,'TH theo DV'!$C17)/$D$1</f>
        <v>0</v>
      </c>
      <c r="K17" s="674">
        <f t="shared" si="28"/>
        <v>1.51789</v>
      </c>
      <c r="L17" s="178">
        <f t="shared" si="14"/>
        <v>6.020742679920045E-2</v>
      </c>
      <c r="M17" s="673">
        <f>SUMIFS('PL1.1 ML2027-2028'!$H:$H,'PL1.1 ML2027-2028'!$J:$J,'TH theo DV'!M$3,'PL1.1 ML2027-2028'!$K:$K,'TH theo DV'!$C17)/$D$1</f>
        <v>0</v>
      </c>
      <c r="N17" s="673">
        <f>SUMIFS('PL1.1 ML2027-2028'!$H:$H,'PL1.1 ML2027-2028'!$J:$J,'TH theo DV'!N$3,'PL1.1 ML2027-2028'!$K:$K,'TH theo DV'!$C17)/$D$1</f>
        <v>0</v>
      </c>
      <c r="O17" s="673">
        <f>SUMIFS('PL1.1 ML2027-2028'!$H:$H,'PL1.1 ML2027-2028'!$J:$J,'TH theo DV'!O$3,'PL1.1 ML2027-2028'!$K:$K,'TH theo DV'!$C17)/$D$1</f>
        <v>0</v>
      </c>
      <c r="P17" s="673">
        <f>SUMIFS('PL1.1 ML2027-2028'!$H:$H,'PL1.1 ML2027-2028'!$J:$J,'TH theo DV'!P$3,'PL1.1 ML2027-2028'!$K:$K,'TH theo DV'!$C17)/$D$1</f>
        <v>0</v>
      </c>
      <c r="Q17" s="673">
        <f>SUMIFS('PL1.1 ML2027-2028'!$H:$H,'PL1.1 ML2027-2028'!$J:$J,'TH theo DV'!Q$3,'PL1.1 ML2027-2028'!$K:$K,'TH theo DV'!$C17)/$D$1</f>
        <v>9.2233999999999997E-2</v>
      </c>
      <c r="R17" s="673">
        <f>SUMIFS('PL1.1 ML2027-2028'!$H:$H,'PL1.1 ML2027-2028'!$J:$J,'TH theo DV'!R$3,'PL1.1 ML2027-2028'!$K:$K,'TH theo DV'!$C17)/$D$1</f>
        <v>0</v>
      </c>
      <c r="S17" s="673">
        <f>SUMIFS('PL1.1 ML2027-2028'!$H:$H,'PL1.1 ML2027-2028'!$J:$J,'TH theo DV'!S$3,'PL1.1 ML2027-2028'!$K:$K,'TH theo DV'!$C17)/$D$1</f>
        <v>0</v>
      </c>
      <c r="T17" s="676">
        <f t="shared" si="29"/>
        <v>9.2233999999999997E-2</v>
      </c>
      <c r="U17" s="682"/>
      <c r="V17" s="153">
        <f t="shared" si="30"/>
        <v>0</v>
      </c>
      <c r="W17" s="153">
        <f t="shared" si="30"/>
        <v>0</v>
      </c>
      <c r="X17" s="153">
        <f t="shared" si="30"/>
        <v>0</v>
      </c>
      <c r="Y17" s="153">
        <f t="shared" si="30"/>
        <v>0</v>
      </c>
      <c r="Z17" s="153">
        <f t="shared" si="30"/>
        <v>1.6101239999999999</v>
      </c>
      <c r="AA17" s="153">
        <f t="shared" si="30"/>
        <v>0</v>
      </c>
      <c r="AB17" s="152">
        <f t="shared" si="31"/>
        <v>1.6101239999999999</v>
      </c>
      <c r="AC17" s="178">
        <f t="shared" si="10"/>
        <v>3.7153907143025557E-2</v>
      </c>
      <c r="AD17" s="229"/>
      <c r="AE17" s="229"/>
      <c r="AF17" s="234">
        <v>1</v>
      </c>
      <c r="AG17" s="229"/>
      <c r="AH17" s="229"/>
      <c r="AI17" s="229"/>
      <c r="AJ17" s="233"/>
      <c r="AK17" s="203"/>
      <c r="AL17" s="162"/>
      <c r="AM17" s="69"/>
    </row>
    <row r="18" spans="1:39" s="53" customFormat="1" outlineLevel="1">
      <c r="A18" s="29" t="s">
        <v>8</v>
      </c>
      <c r="B18" s="144" t="s">
        <v>139</v>
      </c>
      <c r="C18" s="29" t="s">
        <v>125</v>
      </c>
      <c r="D18" s="677">
        <f>SUMIFS('PL1.1 ML2027-2028'!$G:$G,'PL1.1 ML2027-2028'!$J:$J,'TH theo DV'!$D$3,'PL1.1 ML2027-2028'!$K:$K,'TH theo DV'!C18)/$D$1</f>
        <v>0</v>
      </c>
      <c r="E18" s="677">
        <f>SUMIFS('PL1.1 ML2027-2028'!$G:$G,'PL1.1 ML2027-2028'!$J:$J,'TH theo DV'!$E$3,'PL1.1 ML2027-2028'!$K:$K,'TH theo DV'!C18)/$D$1</f>
        <v>0</v>
      </c>
      <c r="F18" s="677">
        <f>SUMIFS('PL1.1 ML2027-2028'!$G:$G,'PL1.1 ML2027-2028'!$J:$J,'TH theo DV'!$F$3,'PL1.1 ML2027-2028'!$K:$K,'TH theo DV'!C18)/$D$1</f>
        <v>0</v>
      </c>
      <c r="G18" s="677">
        <f>SUMIFS('PL1.1 ML2027-2028'!$G:$G,'PL1.1 ML2027-2028'!$J:$J,'TH theo DV'!$G$3,'PL1.1 ML2027-2028'!$K:$K,'TH theo DV'!C18)/$D$1</f>
        <v>0</v>
      </c>
      <c r="H18" s="677">
        <f>SUMIFS('PL1.1 ML2027-2028'!$G:$G,'PL1.1 ML2027-2028'!$J:$J,'TH theo DV'!$H$3,'PL1.1 ML2027-2028'!$K:$K,'TH theo DV'!C18)/$D$1</f>
        <v>0</v>
      </c>
      <c r="I18" s="677">
        <f>SUMIFS('PL1.1 ML2027-2028'!$G:$G,'PL1.1 ML2027-2028'!$J:$J,'TH theo DV'!$I$3,'PL1.1 ML2027-2028'!$K:$K,'TH theo DV'!C18)/$D$1</f>
        <v>0</v>
      </c>
      <c r="J18" s="673">
        <f>SUMIFS('PL1.1 ML2027-2028'!$G:$G,'PL1.1 ML2027-2028'!$J:$J,'TH theo DV'!J$3,'PL1.1 ML2027-2028'!$K:$K,'TH theo DV'!$C18)/$D$1</f>
        <v>0</v>
      </c>
      <c r="K18" s="674">
        <f t="shared" si="28"/>
        <v>0</v>
      </c>
      <c r="L18" s="178">
        <f t="shared" si="14"/>
        <v>0</v>
      </c>
      <c r="M18" s="673">
        <f>SUMIFS('PL1.1 ML2027-2028'!$H:$H,'PL1.1 ML2027-2028'!$J:$J,'TH theo DV'!M$3,'PL1.1 ML2027-2028'!$K:$K,'TH theo DV'!$C18)/$D$1</f>
        <v>0</v>
      </c>
      <c r="N18" s="673">
        <f>SUMIFS('PL1.1 ML2027-2028'!$H:$H,'PL1.1 ML2027-2028'!$J:$J,'TH theo DV'!N$3,'PL1.1 ML2027-2028'!$K:$K,'TH theo DV'!$C18)/$D$1</f>
        <v>0</v>
      </c>
      <c r="O18" s="673">
        <f>SUMIFS('PL1.1 ML2027-2028'!$H:$H,'PL1.1 ML2027-2028'!$J:$J,'TH theo DV'!O$3,'PL1.1 ML2027-2028'!$K:$K,'TH theo DV'!$C18)/$D$1</f>
        <v>0</v>
      </c>
      <c r="P18" s="673">
        <f>SUMIFS('PL1.1 ML2027-2028'!$H:$H,'PL1.1 ML2027-2028'!$J:$J,'TH theo DV'!P$3,'PL1.1 ML2027-2028'!$K:$K,'TH theo DV'!$C18)/$D$1</f>
        <v>0</v>
      </c>
      <c r="Q18" s="673">
        <f>SUMIFS('PL1.1 ML2027-2028'!$H:$H,'PL1.1 ML2027-2028'!$J:$J,'TH theo DV'!Q$3,'PL1.1 ML2027-2028'!$K:$K,'TH theo DV'!$C18)/$D$1</f>
        <v>0</v>
      </c>
      <c r="R18" s="673">
        <f>SUMIFS('PL1.1 ML2027-2028'!$H:$H,'PL1.1 ML2027-2028'!$J:$J,'TH theo DV'!R$3,'PL1.1 ML2027-2028'!$K:$K,'TH theo DV'!$C18)/$D$1</f>
        <v>0</v>
      </c>
      <c r="S18" s="673">
        <f>SUMIFS('PL1.1 ML2027-2028'!$H:$H,'PL1.1 ML2027-2028'!$J:$J,'TH theo DV'!S$3,'PL1.1 ML2027-2028'!$K:$K,'TH theo DV'!$C18)/$D$1</f>
        <v>0</v>
      </c>
      <c r="T18" s="676">
        <f t="shared" si="29"/>
        <v>0</v>
      </c>
      <c r="U18" s="682"/>
      <c r="V18" s="153">
        <f t="shared" si="30"/>
        <v>0</v>
      </c>
      <c r="W18" s="153">
        <f t="shared" si="30"/>
        <v>0</v>
      </c>
      <c r="X18" s="153">
        <f t="shared" si="30"/>
        <v>0</v>
      </c>
      <c r="Y18" s="153">
        <f t="shared" si="30"/>
        <v>0</v>
      </c>
      <c r="Z18" s="153">
        <f t="shared" si="30"/>
        <v>0</v>
      </c>
      <c r="AA18" s="153">
        <f t="shared" si="30"/>
        <v>0</v>
      </c>
      <c r="AB18" s="152">
        <f t="shared" si="31"/>
        <v>0</v>
      </c>
      <c r="AC18" s="178">
        <f t="shared" si="10"/>
        <v>0</v>
      </c>
      <c r="AD18" s="229"/>
      <c r="AE18" s="229"/>
      <c r="AF18" s="229"/>
      <c r="AG18" s="234">
        <v>1</v>
      </c>
      <c r="AH18" s="229"/>
      <c r="AI18" s="229"/>
      <c r="AJ18" s="233"/>
      <c r="AK18" s="203"/>
      <c r="AL18" s="162"/>
      <c r="AM18" s="69"/>
    </row>
    <row r="19" spans="1:39" s="53" customFormat="1" outlineLevel="1">
      <c r="A19" s="29" t="s">
        <v>8</v>
      </c>
      <c r="B19" s="144" t="s">
        <v>176</v>
      </c>
      <c r="C19" s="29" t="s">
        <v>192</v>
      </c>
      <c r="D19" s="677">
        <f>SUMIFS('PL1.1 ML2027-2028'!$G:$G,'PL1.1 ML2027-2028'!$J:$J,'TH theo DV'!$D$3,'PL1.1 ML2027-2028'!$K:$K,'TH theo DV'!C19)/$D$1</f>
        <v>0</v>
      </c>
      <c r="E19" s="677">
        <f>SUMIFS('PL1.1 ML2027-2028'!$G:$G,'PL1.1 ML2027-2028'!$J:$J,'TH theo DV'!$E$3,'PL1.1 ML2027-2028'!$K:$K,'TH theo DV'!C19)/$D$1</f>
        <v>0</v>
      </c>
      <c r="F19" s="677">
        <f>SUMIFS('PL1.1 ML2027-2028'!$G:$G,'PL1.1 ML2027-2028'!$J:$J,'TH theo DV'!$F$3,'PL1.1 ML2027-2028'!$K:$K,'TH theo DV'!C19)/$D$1</f>
        <v>0.24886575999999999</v>
      </c>
      <c r="G19" s="677">
        <f>SUMIFS('PL1.1 ML2027-2028'!$G:$G,'PL1.1 ML2027-2028'!$J:$J,'TH theo DV'!$G$3,'PL1.1 ML2027-2028'!$K:$K,'TH theo DV'!C19)/$D$1</f>
        <v>0</v>
      </c>
      <c r="H19" s="677">
        <f>SUMIFS('PL1.1 ML2027-2028'!$G:$G,'PL1.1 ML2027-2028'!$J:$J,'TH theo DV'!$H$3,'PL1.1 ML2027-2028'!$K:$K,'TH theo DV'!C19)/$D$1</f>
        <v>0</v>
      </c>
      <c r="I19" s="677">
        <f>SUMIFS('PL1.1 ML2027-2028'!$G:$G,'PL1.1 ML2027-2028'!$J:$J,'TH theo DV'!$I$3,'PL1.1 ML2027-2028'!$K:$K,'TH theo DV'!C19)/$D$1</f>
        <v>0</v>
      </c>
      <c r="J19" s="673">
        <f>SUMIFS('PL1.1 ML2027-2028'!$G:$G,'PL1.1 ML2027-2028'!$J:$J,'TH theo DV'!J$3,'PL1.1 ML2027-2028'!$K:$K,'TH theo DV'!$C19)/$D$1</f>
        <v>0</v>
      </c>
      <c r="K19" s="674">
        <f t="shared" si="28"/>
        <v>0.24886575999999999</v>
      </c>
      <c r="L19" s="178">
        <f t="shared" si="14"/>
        <v>9.8713128276933029E-3</v>
      </c>
      <c r="M19" s="673">
        <f>SUMIFS('PL1.1 ML2027-2028'!$H:$H,'PL1.1 ML2027-2028'!$J:$J,'TH theo DV'!M$3,'PL1.1 ML2027-2028'!$K:$K,'TH theo DV'!$C19)/$D$1</f>
        <v>0</v>
      </c>
      <c r="N19" s="673">
        <f>SUMIFS('PL1.1 ML2027-2028'!$H:$H,'PL1.1 ML2027-2028'!$J:$J,'TH theo DV'!N$3,'PL1.1 ML2027-2028'!$K:$K,'TH theo DV'!$C19)/$D$1</f>
        <v>0</v>
      </c>
      <c r="O19" s="673">
        <f>SUMIFS('PL1.1 ML2027-2028'!$H:$H,'PL1.1 ML2027-2028'!$J:$J,'TH theo DV'!O$3,'PL1.1 ML2027-2028'!$K:$K,'TH theo DV'!$C19)/$D$1</f>
        <v>0.15776484000000002</v>
      </c>
      <c r="P19" s="673">
        <f>SUMIFS('PL1.1 ML2027-2028'!$H:$H,'PL1.1 ML2027-2028'!$J:$J,'TH theo DV'!P$3,'PL1.1 ML2027-2028'!$K:$K,'TH theo DV'!$C19)/$D$1</f>
        <v>0</v>
      </c>
      <c r="Q19" s="673">
        <f>SUMIFS('PL1.1 ML2027-2028'!$H:$H,'PL1.1 ML2027-2028'!$J:$J,'TH theo DV'!Q$3,'PL1.1 ML2027-2028'!$K:$K,'TH theo DV'!$C19)/$D$1</f>
        <v>0</v>
      </c>
      <c r="R19" s="673">
        <f>SUMIFS('PL1.1 ML2027-2028'!$H:$H,'PL1.1 ML2027-2028'!$J:$J,'TH theo DV'!R$3,'PL1.1 ML2027-2028'!$K:$K,'TH theo DV'!$C19)/$D$1</f>
        <v>0</v>
      </c>
      <c r="S19" s="673">
        <f>SUMIFS('PL1.1 ML2027-2028'!$H:$H,'PL1.1 ML2027-2028'!$J:$J,'TH theo DV'!S$3,'PL1.1 ML2027-2028'!$K:$K,'TH theo DV'!$C19)/$D$1</f>
        <v>0</v>
      </c>
      <c r="T19" s="676">
        <f t="shared" si="29"/>
        <v>0.15776484000000002</v>
      </c>
      <c r="U19" s="682"/>
      <c r="V19" s="153">
        <f t="shared" si="30"/>
        <v>0</v>
      </c>
      <c r="W19" s="153">
        <f t="shared" si="30"/>
        <v>0</v>
      </c>
      <c r="X19" s="153">
        <f t="shared" si="30"/>
        <v>0.40663060000000001</v>
      </c>
      <c r="Y19" s="153">
        <f t="shared" si="30"/>
        <v>0</v>
      </c>
      <c r="Z19" s="153">
        <f t="shared" si="30"/>
        <v>0</v>
      </c>
      <c r="AA19" s="153">
        <f t="shared" si="30"/>
        <v>0</v>
      </c>
      <c r="AB19" s="152">
        <f t="shared" si="31"/>
        <v>0.40663060000000001</v>
      </c>
      <c r="AC19" s="178">
        <f t="shared" si="10"/>
        <v>9.3830758090139438E-3</v>
      </c>
      <c r="AD19" s="229"/>
      <c r="AE19" s="229"/>
      <c r="AF19" s="234">
        <v>1</v>
      </c>
      <c r="AG19" s="229"/>
      <c r="AH19" s="229"/>
      <c r="AI19" s="229"/>
      <c r="AJ19" s="233"/>
      <c r="AK19" s="203"/>
      <c r="AL19" s="162"/>
      <c r="AM19" s="69"/>
    </row>
    <row r="20" spans="1:39" s="53" customFormat="1" outlineLevel="1">
      <c r="A20" s="147">
        <v>3</v>
      </c>
      <c r="B20" s="151" t="s">
        <v>119</v>
      </c>
      <c r="C20" s="70" t="s">
        <v>123</v>
      </c>
      <c r="D20" s="677">
        <f>SUMIFS('PL1.1 ML2027-2028'!$G:$G,'PL1.1 ML2027-2028'!$J:$J,'TH theo DV'!$D$3,'PL1.1 ML2027-2028'!$K:$K,'TH theo DV'!C20)/$D$1</f>
        <v>0</v>
      </c>
      <c r="E20" s="677">
        <f>SUMIFS('PL1.1 ML2027-2028'!$G:$G,'PL1.1 ML2027-2028'!$J:$J,'TH theo DV'!$E$3,'PL1.1 ML2027-2028'!$K:$K,'TH theo DV'!C20)/$D$1</f>
        <v>0</v>
      </c>
      <c r="F20" s="677">
        <f>SUMIFS('PL1.1 ML2027-2028'!$G:$G,'PL1.1 ML2027-2028'!$J:$J,'TH theo DV'!$F$3,'PL1.1 ML2027-2028'!$K:$K,'TH theo DV'!C20)/$D$1</f>
        <v>0</v>
      </c>
      <c r="G20" s="677">
        <f>SUMIFS('PL1.1 ML2027-2028'!$G:$G,'PL1.1 ML2027-2028'!$J:$J,'TH theo DV'!$G$3,'PL1.1 ML2027-2028'!$K:$K,'TH theo DV'!C20)/$D$1</f>
        <v>0</v>
      </c>
      <c r="H20" s="677">
        <f>SUMIFS('PL1.1 ML2027-2028'!$G:$G,'PL1.1 ML2027-2028'!$J:$J,'TH theo DV'!$H$3,'PL1.1 ML2027-2028'!$K:$K,'TH theo DV'!C20)/$D$1</f>
        <v>0</v>
      </c>
      <c r="I20" s="677">
        <f>SUMIFS('PL1.1 ML2027-2028'!$G:$G,'PL1.1 ML2027-2028'!$J:$J,'TH theo DV'!$I$3,'PL1.1 ML2027-2028'!$K:$K,'TH theo DV'!C20)/$D$1</f>
        <v>0</v>
      </c>
      <c r="J20" s="673">
        <f>SUMIFS('PL1.1 ML2027-2028'!$G:$G,'PL1.1 ML2027-2028'!$J:$J,'TH theo DV'!J$3,'PL1.1 ML2027-2028'!$K:$K,'TH theo DV'!$C20)/$D$1</f>
        <v>0</v>
      </c>
      <c r="K20" s="674">
        <f t="shared" si="28"/>
        <v>0</v>
      </c>
      <c r="L20" s="178">
        <f t="shared" si="14"/>
        <v>0</v>
      </c>
      <c r="M20" s="673">
        <f>SUMIFS('PL1.1 ML2027-2028'!$H:$H,'PL1.1 ML2027-2028'!$J:$J,'TH theo DV'!M$3,'PL1.1 ML2027-2028'!$K:$K,'TH theo DV'!$C20)/$D$1</f>
        <v>0</v>
      </c>
      <c r="N20" s="673">
        <f>SUMIFS('PL1.1 ML2027-2028'!$H:$H,'PL1.1 ML2027-2028'!$J:$J,'TH theo DV'!N$3,'PL1.1 ML2027-2028'!$K:$K,'TH theo DV'!$C20)/$D$1</f>
        <v>0</v>
      </c>
      <c r="O20" s="673">
        <f>SUMIFS('PL1.1 ML2027-2028'!$H:$H,'PL1.1 ML2027-2028'!$J:$J,'TH theo DV'!O$3,'PL1.1 ML2027-2028'!$K:$K,'TH theo DV'!$C20)/$D$1</f>
        <v>0</v>
      </c>
      <c r="P20" s="673">
        <f>SUMIFS('PL1.1 ML2027-2028'!$H:$H,'PL1.1 ML2027-2028'!$J:$J,'TH theo DV'!P$3,'PL1.1 ML2027-2028'!$K:$K,'TH theo DV'!$C20)/$D$1</f>
        <v>0</v>
      </c>
      <c r="Q20" s="673">
        <f>SUMIFS('PL1.1 ML2027-2028'!$H:$H,'PL1.1 ML2027-2028'!$J:$J,'TH theo DV'!Q$3,'PL1.1 ML2027-2028'!$K:$K,'TH theo DV'!$C20)/$D$1</f>
        <v>0</v>
      </c>
      <c r="R20" s="673">
        <f>SUMIFS('PL1.1 ML2027-2028'!$H:$H,'PL1.1 ML2027-2028'!$J:$J,'TH theo DV'!R$3,'PL1.1 ML2027-2028'!$K:$K,'TH theo DV'!$C20)/$D$1</f>
        <v>0</v>
      </c>
      <c r="S20" s="673">
        <f>SUMIFS('PL1.1 ML2027-2028'!$H:$H,'PL1.1 ML2027-2028'!$J:$J,'TH theo DV'!S$3,'PL1.1 ML2027-2028'!$K:$K,'TH theo DV'!$C20)/$D$1</f>
        <v>0</v>
      </c>
      <c r="T20" s="676">
        <f>SUM(M20:S20)</f>
        <v>0</v>
      </c>
      <c r="U20" s="682"/>
      <c r="V20" s="153">
        <f t="shared" si="30"/>
        <v>0</v>
      </c>
      <c r="W20" s="153">
        <f t="shared" si="30"/>
        <v>0</v>
      </c>
      <c r="X20" s="153">
        <f t="shared" si="30"/>
        <v>0</v>
      </c>
      <c r="Y20" s="153">
        <f t="shared" si="30"/>
        <v>0</v>
      </c>
      <c r="Z20" s="153">
        <f t="shared" si="30"/>
        <v>0</v>
      </c>
      <c r="AA20" s="153">
        <f t="shared" si="30"/>
        <v>0</v>
      </c>
      <c r="AB20" s="152">
        <f t="shared" si="31"/>
        <v>0</v>
      </c>
      <c r="AC20" s="178">
        <f t="shared" si="10"/>
        <v>0</v>
      </c>
      <c r="AD20" s="229"/>
      <c r="AE20" s="229"/>
      <c r="AF20" s="229"/>
      <c r="AG20" s="229"/>
      <c r="AH20" s="229"/>
      <c r="AI20" s="234">
        <v>1</v>
      </c>
      <c r="AJ20" s="233"/>
      <c r="AK20" s="203"/>
      <c r="AL20" s="162"/>
      <c r="AM20" s="69"/>
    </row>
    <row r="21" spans="1:39" s="53" customFormat="1" outlineLevel="1">
      <c r="A21" s="147">
        <v>4</v>
      </c>
      <c r="B21" s="151" t="s">
        <v>120</v>
      </c>
      <c r="C21" s="29" t="s">
        <v>124</v>
      </c>
      <c r="D21" s="677">
        <f>SUMIFS('PL1.1 ML2027-2028'!$G:$G,'PL1.1 ML2027-2028'!$J:$J,'TH theo DV'!$D$3,'PL1.1 ML2027-2028'!$K:$K,'TH theo DV'!C21)/$D$1</f>
        <v>0</v>
      </c>
      <c r="E21" s="677">
        <f>SUMIFS('PL1.1 ML2027-2028'!$G:$G,'PL1.1 ML2027-2028'!$J:$J,'TH theo DV'!$E$3,'PL1.1 ML2027-2028'!$K:$K,'TH theo DV'!C21)/$D$1</f>
        <v>0</v>
      </c>
      <c r="F21" s="677">
        <f>SUMIFS('PL1.1 ML2027-2028'!$G:$G,'PL1.1 ML2027-2028'!$J:$J,'TH theo DV'!$F$3,'PL1.1 ML2027-2028'!$K:$K,'TH theo DV'!C21)/$D$1</f>
        <v>0</v>
      </c>
      <c r="G21" s="677">
        <f>SUMIFS('PL1.1 ML2027-2028'!$G:$G,'PL1.1 ML2027-2028'!$J:$J,'TH theo DV'!$G$3,'PL1.1 ML2027-2028'!$K:$K,'TH theo DV'!C21)/$D$1</f>
        <v>0</v>
      </c>
      <c r="H21" s="677">
        <f>SUMIFS('PL1.1 ML2027-2028'!$G:$G,'PL1.1 ML2027-2028'!$J:$J,'TH theo DV'!$H$3,'PL1.1 ML2027-2028'!$K:$K,'TH theo DV'!C21)/$D$1</f>
        <v>1.2804509285714287</v>
      </c>
      <c r="I21" s="677">
        <f>SUMIFS('PL1.1 ML2027-2028'!$G:$G,'PL1.1 ML2027-2028'!$J:$J,'TH theo DV'!$I$3,'PL1.1 ML2027-2028'!$K:$K,'TH theo DV'!C21)/$D$1</f>
        <v>0.4</v>
      </c>
      <c r="J21" s="673">
        <f>SUMIFS('PL1.1 ML2027-2028'!$G:$G,'PL1.1 ML2027-2028'!$J:$J,'TH theo DV'!J$3,'PL1.1 ML2027-2028'!$K:$K,'TH theo DV'!$C21)/$D$1</f>
        <v>0.136797</v>
      </c>
      <c r="K21" s="674">
        <f t="shared" si="28"/>
        <v>1.8172479285714287</v>
      </c>
      <c r="L21" s="178">
        <f t="shared" si="14"/>
        <v>7.20815221362964E-2</v>
      </c>
      <c r="M21" s="673">
        <f>SUMIFS('PL1.1 ML2027-2028'!$H:$H,'PL1.1 ML2027-2028'!$J:$J,'TH theo DV'!M$3,'PL1.1 ML2027-2028'!$K:$K,'TH theo DV'!$C21)/$D$1</f>
        <v>0</v>
      </c>
      <c r="N21" s="673">
        <f>SUMIFS('PL1.1 ML2027-2028'!$H:$H,'PL1.1 ML2027-2028'!$J:$J,'TH theo DV'!N$3,'PL1.1 ML2027-2028'!$K:$K,'TH theo DV'!$C21)/$D$1</f>
        <v>0</v>
      </c>
      <c r="O21" s="673">
        <f>SUMIFS('PL1.1 ML2027-2028'!$H:$H,'PL1.1 ML2027-2028'!$J:$J,'TH theo DV'!O$3,'PL1.1 ML2027-2028'!$K:$K,'TH theo DV'!$C21)/$D$1</f>
        <v>0</v>
      </c>
      <c r="P21" s="673">
        <f>SUMIFS('PL1.1 ML2027-2028'!$H:$H,'PL1.1 ML2027-2028'!$J:$J,'TH theo DV'!P$3,'PL1.1 ML2027-2028'!$K:$K,'TH theo DV'!$C21)/$D$1</f>
        <v>0</v>
      </c>
      <c r="Q21" s="673">
        <f>SUMIFS('PL1.1 ML2027-2028'!$H:$H,'PL1.1 ML2027-2028'!$J:$J,'TH theo DV'!Q$3,'PL1.1 ML2027-2028'!$K:$K,'TH theo DV'!$C21)/$D$1</f>
        <v>6.2714000000000006E-2</v>
      </c>
      <c r="R21" s="673">
        <f>SUMIFS('PL1.1 ML2027-2028'!$H:$H,'PL1.1 ML2027-2028'!$J:$J,'TH theo DV'!R$3,'PL1.1 ML2027-2028'!$K:$K,'TH theo DV'!$C21)/$D$1</f>
        <v>0</v>
      </c>
      <c r="S21" s="673">
        <f>SUMIFS('PL1.1 ML2027-2028'!$H:$H,'PL1.1 ML2027-2028'!$J:$J,'TH theo DV'!S$3,'PL1.1 ML2027-2028'!$K:$K,'TH theo DV'!$C21)/$D$1</f>
        <v>0</v>
      </c>
      <c r="T21" s="676">
        <f>SUM(M21:S21)</f>
        <v>6.2714000000000006E-2</v>
      </c>
      <c r="U21" s="682"/>
      <c r="V21" s="153">
        <f t="shared" si="30"/>
        <v>0</v>
      </c>
      <c r="W21" s="153">
        <f t="shared" si="30"/>
        <v>0</v>
      </c>
      <c r="X21" s="153">
        <f t="shared" si="30"/>
        <v>0</v>
      </c>
      <c r="Y21" s="153">
        <f t="shared" si="30"/>
        <v>0</v>
      </c>
      <c r="Z21" s="153">
        <f t="shared" si="30"/>
        <v>1.3431649285714287</v>
      </c>
      <c r="AA21" s="153">
        <f t="shared" si="30"/>
        <v>0.4</v>
      </c>
      <c r="AB21" s="152">
        <f t="shared" si="31"/>
        <v>1.7431649285714288</v>
      </c>
      <c r="AC21" s="178">
        <f t="shared" si="10"/>
        <v>4.0223851014655788E-2</v>
      </c>
      <c r="AD21" s="234">
        <f>20%*80%</f>
        <v>0.16000000000000003</v>
      </c>
      <c r="AE21" s="234"/>
      <c r="AF21" s="229"/>
      <c r="AG21" s="234">
        <f>20%*20%</f>
        <v>4.0000000000000008E-2</v>
      </c>
      <c r="AH21" s="234">
        <v>0.8</v>
      </c>
      <c r="AI21" s="229"/>
      <c r="AJ21" s="233"/>
      <c r="AK21" s="203"/>
    </row>
    <row r="22" spans="1:39" s="53" customFormat="1" outlineLevel="1">
      <c r="A22" s="147">
        <v>5</v>
      </c>
      <c r="B22" s="151" t="s">
        <v>222</v>
      </c>
      <c r="C22" s="29"/>
      <c r="D22" s="676">
        <f t="shared" ref="D22:K22" si="32">SUBTOTAL(9,D23:D25)</f>
        <v>0</v>
      </c>
      <c r="E22" s="676">
        <f t="shared" si="32"/>
        <v>0</v>
      </c>
      <c r="F22" s="676">
        <f t="shared" si="32"/>
        <v>0</v>
      </c>
      <c r="G22" s="676">
        <f t="shared" si="32"/>
        <v>2.0840050000000003</v>
      </c>
      <c r="H22" s="676">
        <f t="shared" si="32"/>
        <v>0</v>
      </c>
      <c r="I22" s="676">
        <f t="shared" si="32"/>
        <v>0</v>
      </c>
      <c r="J22" s="676">
        <f t="shared" ref="J22" si="33">SUBTOTAL(9,J23:J25)</f>
        <v>0</v>
      </c>
      <c r="K22" s="676">
        <f t="shared" si="32"/>
        <v>2.0840050000000003</v>
      </c>
      <c r="L22" s="178">
        <f t="shared" si="14"/>
        <v>8.2662497603033E-2</v>
      </c>
      <c r="M22" s="671">
        <f>SUBTOTAL(9,M23:M25)</f>
        <v>0</v>
      </c>
      <c r="N22" s="671">
        <f t="shared" ref="N22:S22" si="34">SUBTOTAL(9,N23:N25)</f>
        <v>0</v>
      </c>
      <c r="O22" s="671">
        <f t="shared" si="34"/>
        <v>0</v>
      </c>
      <c r="P22" s="671">
        <f t="shared" si="34"/>
        <v>6.6932028000000008</v>
      </c>
      <c r="Q22" s="671">
        <f t="shared" si="34"/>
        <v>0</v>
      </c>
      <c r="R22" s="671">
        <f t="shared" si="34"/>
        <v>0</v>
      </c>
      <c r="S22" s="676">
        <f t="shared" si="34"/>
        <v>0</v>
      </c>
      <c r="T22" s="671">
        <f>SUBTOTAL(9,T23:T25)</f>
        <v>6.6932028000000008</v>
      </c>
      <c r="U22" s="681">
        <f>T22/$T$4</f>
        <v>0.26915900150439814</v>
      </c>
      <c r="V22" s="152">
        <f t="shared" ref="V22:AB22" si="35">SUBTOTAL(9,V23:V25)</f>
        <v>0</v>
      </c>
      <c r="W22" s="152">
        <f t="shared" si="35"/>
        <v>0</v>
      </c>
      <c r="X22" s="152">
        <f t="shared" si="35"/>
        <v>0</v>
      </c>
      <c r="Y22" s="152">
        <f t="shared" si="35"/>
        <v>8.7772078000000011</v>
      </c>
      <c r="Z22" s="152">
        <f t="shared" si="35"/>
        <v>0</v>
      </c>
      <c r="AA22" s="152">
        <f t="shared" si="35"/>
        <v>0</v>
      </c>
      <c r="AB22" s="152">
        <f t="shared" si="35"/>
        <v>8.7772078000000011</v>
      </c>
      <c r="AC22" s="178">
        <f t="shared" si="10"/>
        <v>0.20253568270284752</v>
      </c>
      <c r="AD22" s="229"/>
      <c r="AE22" s="229"/>
      <c r="AF22" s="229"/>
      <c r="AG22" s="229"/>
      <c r="AH22" s="229"/>
      <c r="AI22" s="229"/>
      <c r="AJ22" s="232"/>
      <c r="AK22" s="73"/>
    </row>
    <row r="23" spans="1:39" outlineLevel="1">
      <c r="A23" s="67" t="s">
        <v>8</v>
      </c>
      <c r="B23" s="125" t="s">
        <v>1444</v>
      </c>
      <c r="C23" s="129" t="s">
        <v>257</v>
      </c>
      <c r="D23" s="673">
        <f>SUMIFS('PL1.1 ML2027-2028'!$G:$G,'PL1.1 ML2027-2028'!$J:$J,'TH theo DV'!$D$3,'PL1.1 ML2027-2028'!$K:$K,'TH theo DV'!C23)/$D$1</f>
        <v>0</v>
      </c>
      <c r="E23" s="673">
        <f>SUMIFS('PL1.1 ML2027-2028'!$G:$G,'PL1.1 ML2027-2028'!$J:$J,'TH theo DV'!$E$3,'PL1.1 ML2027-2028'!$K:$K,'TH theo DV'!C23)/$D$1</f>
        <v>0</v>
      </c>
      <c r="F23" s="673">
        <f>SUMIFS('PL1.1 ML2027-2028'!$G:$G,'PL1.1 ML2027-2028'!$J:$J,'TH theo DV'!$F$3,'PL1.1 ML2027-2028'!$K:$K,'TH theo DV'!C23)/$D$1</f>
        <v>0</v>
      </c>
      <c r="G23" s="677">
        <f>SUMIFS('PL1.1 ML2027-2028'!$G:$G,'PL1.1 ML2027-2028'!$J:$J,'TH theo DV'!$G$3,'PL1.1 ML2027-2028'!$K:$K,'TH theo DV'!C23)/$D$1</f>
        <v>0.39033600000000002</v>
      </c>
      <c r="H23" s="673">
        <f>SUMIFS('PL1.1 ML2027-2028'!$G:$G,'PL1.1 ML2027-2028'!$J:$J,'TH theo DV'!$H$3,'PL1.1 ML2027-2028'!$K:$K,'TH theo DV'!C23)/$D$1</f>
        <v>0</v>
      </c>
      <c r="I23" s="673">
        <f>SUMIFS('PL1.1 ML2027-2028'!$G:$G,'PL1.1 ML2027-2028'!$J:$J,'TH theo DV'!$I$3,'PL1.1 ML2027-2028'!$K:$K,'TH theo DV'!C23)/$D$1</f>
        <v>0</v>
      </c>
      <c r="J23" s="673">
        <f>SUMIFS('PL1.1 ML2027-2028'!$G:$G,'PL1.1 ML2027-2028'!$J:$J,'TH theo DV'!J$3,'PL1.1 ML2027-2028'!$K:$K,'TH theo DV'!$C23)/$D$1</f>
        <v>0</v>
      </c>
      <c r="K23" s="674">
        <f>SUM(D23:J23)</f>
        <v>0.39033600000000002</v>
      </c>
      <c r="L23" s="178">
        <f t="shared" si="14"/>
        <v>1.5482759717168377E-2</v>
      </c>
      <c r="M23" s="673">
        <f>SUMIFS('PL1.1 ML2027-2028'!$H:$H,'PL1.1 ML2027-2028'!$J:$J,'TH theo DV'!M$3,'PL1.1 ML2027-2028'!$K:$K,'TH theo DV'!$C23)/$D$1</f>
        <v>0</v>
      </c>
      <c r="N23" s="673">
        <f>SUMIFS('PL1.1 ML2027-2028'!$H:$H,'PL1.1 ML2027-2028'!$J:$J,'TH theo DV'!N$3,'PL1.1 ML2027-2028'!$K:$K,'TH theo DV'!$C23)/$D$1</f>
        <v>0</v>
      </c>
      <c r="O23" s="673">
        <f>SUMIFS('PL1.1 ML2027-2028'!$H:$H,'PL1.1 ML2027-2028'!$J:$J,'TH theo DV'!O$3,'PL1.1 ML2027-2028'!$K:$K,'TH theo DV'!$C23)/$D$1</f>
        <v>0</v>
      </c>
      <c r="P23" s="673">
        <f>SUMIFS('PL1.1 ML2027-2028'!$H:$H,'PL1.1 ML2027-2028'!$J:$J,'TH theo DV'!P$3,'PL1.1 ML2027-2028'!$K:$K,'TH theo DV'!$C23)/$D$1</f>
        <v>1.8610150000000001</v>
      </c>
      <c r="Q23" s="673">
        <f>SUMIFS('PL1.1 ML2027-2028'!$H:$H,'PL1.1 ML2027-2028'!$J:$J,'TH theo DV'!Q$3,'PL1.1 ML2027-2028'!$K:$K,'TH theo DV'!$C23)/$D$1</f>
        <v>0</v>
      </c>
      <c r="R23" s="673">
        <f>SUMIFS('PL1.1 ML2027-2028'!$H:$H,'PL1.1 ML2027-2028'!$J:$J,'TH theo DV'!R$3,'PL1.1 ML2027-2028'!$K:$K,'TH theo DV'!$C23)/$D$1</f>
        <v>0</v>
      </c>
      <c r="S23" s="673">
        <f>SUMIFS('PL1.1 ML2027-2028'!$H:$H,'PL1.1 ML2027-2028'!$J:$J,'TH theo DV'!S$3,'PL1.1 ML2027-2028'!$K:$K,'TH theo DV'!$C23)/$D$1</f>
        <v>0</v>
      </c>
      <c r="T23" s="676">
        <f t="shared" ref="T23:T25" si="36">SUM(M23:S23)</f>
        <v>1.8610150000000001</v>
      </c>
      <c r="U23" s="680"/>
      <c r="V23" s="122">
        <f t="shared" ref="V23:AA25" si="37">D23+M23</f>
        <v>0</v>
      </c>
      <c r="W23" s="122">
        <f t="shared" si="37"/>
        <v>0</v>
      </c>
      <c r="X23" s="122">
        <f t="shared" si="37"/>
        <v>0</v>
      </c>
      <c r="Y23" s="122">
        <f t="shared" si="37"/>
        <v>2.2513510000000001</v>
      </c>
      <c r="Z23" s="122">
        <f t="shared" si="37"/>
        <v>0</v>
      </c>
      <c r="AA23" s="122">
        <f t="shared" si="37"/>
        <v>0</v>
      </c>
      <c r="AB23" s="114">
        <f>SUM(V23:AA23)</f>
        <v>2.2513510000000001</v>
      </c>
      <c r="AC23" s="124">
        <f t="shared" si="10"/>
        <v>5.195033798661329E-2</v>
      </c>
      <c r="AD23" s="229"/>
      <c r="AE23" s="229"/>
      <c r="AF23" s="229"/>
      <c r="AG23" s="229"/>
      <c r="AH23" s="229"/>
      <c r="AI23" s="234"/>
      <c r="AJ23" s="234">
        <v>1</v>
      </c>
    </row>
    <row r="24" spans="1:39" outlineLevel="1">
      <c r="A24" s="67" t="s">
        <v>8</v>
      </c>
      <c r="B24" s="125" t="s">
        <v>255</v>
      </c>
      <c r="C24" s="129" t="s">
        <v>258</v>
      </c>
      <c r="D24" s="673">
        <f>SUMIFS('PL1.1 ML2027-2028'!$G:$G,'PL1.1 ML2027-2028'!$J:$J,'TH theo DV'!$D$3,'PL1.1 ML2027-2028'!$K:$K,'TH theo DV'!C24)/$D$1</f>
        <v>0</v>
      </c>
      <c r="E24" s="673">
        <f>SUMIFS('PL1.1 ML2027-2028'!$G:$G,'PL1.1 ML2027-2028'!$J:$J,'TH theo DV'!$E$3,'PL1.1 ML2027-2028'!$K:$K,'TH theo DV'!C24)/$D$1</f>
        <v>0</v>
      </c>
      <c r="F24" s="673">
        <f>SUMIFS('PL1.1 ML2027-2028'!$G:$G,'PL1.1 ML2027-2028'!$J:$J,'TH theo DV'!$F$3,'PL1.1 ML2027-2028'!$K:$K,'TH theo DV'!C24)/$D$1</f>
        <v>0</v>
      </c>
      <c r="G24" s="677">
        <f>SUMIFS('PL1.1 ML2027-2028'!$G:$G,'PL1.1 ML2027-2028'!$J:$J,'TH theo DV'!$G$3,'PL1.1 ML2027-2028'!$K:$K,'TH theo DV'!C24)/$D$1</f>
        <v>1.6936690000000001</v>
      </c>
      <c r="H24" s="673">
        <f>SUMIFS('PL1.1 ML2027-2028'!$G:$G,'PL1.1 ML2027-2028'!$J:$J,'TH theo DV'!$H$3,'PL1.1 ML2027-2028'!$K:$K,'TH theo DV'!C24)/$D$1</f>
        <v>0</v>
      </c>
      <c r="I24" s="673">
        <f>SUMIFS('PL1.1 ML2027-2028'!$G:$G,'PL1.1 ML2027-2028'!$J:$J,'TH theo DV'!$I$3,'PL1.1 ML2027-2028'!$K:$K,'TH theo DV'!C24)/$D$1</f>
        <v>0</v>
      </c>
      <c r="J24" s="673">
        <f>SUMIFS('PL1.1 ML2027-2028'!$G:$G,'PL1.1 ML2027-2028'!$J:$J,'TH theo DV'!J$3,'PL1.1 ML2027-2028'!$K:$K,'TH theo DV'!$C24)/$D$1</f>
        <v>0</v>
      </c>
      <c r="K24" s="674">
        <f>SUM(D24:J24)</f>
        <v>1.6936690000000001</v>
      </c>
      <c r="L24" s="178">
        <f t="shared" si="14"/>
        <v>6.7179737885864607E-2</v>
      </c>
      <c r="M24" s="673">
        <f>SUMIFS('PL1.1 ML2027-2028'!$H:$H,'PL1.1 ML2027-2028'!$J:$J,'TH theo DV'!M$3,'PL1.1 ML2027-2028'!$K:$K,'TH theo DV'!$C24)/$D$1</f>
        <v>0</v>
      </c>
      <c r="N24" s="673">
        <f>SUMIFS('PL1.1 ML2027-2028'!$H:$H,'PL1.1 ML2027-2028'!$J:$J,'TH theo DV'!N$3,'PL1.1 ML2027-2028'!$K:$K,'TH theo DV'!$C24)/$D$1</f>
        <v>0</v>
      </c>
      <c r="O24" s="673">
        <f>SUMIFS('PL1.1 ML2027-2028'!$H:$H,'PL1.1 ML2027-2028'!$J:$J,'TH theo DV'!O$3,'PL1.1 ML2027-2028'!$K:$K,'TH theo DV'!$C24)/$D$1</f>
        <v>0</v>
      </c>
      <c r="P24" s="673">
        <f>SUMIFS('PL1.1 ML2027-2028'!$H:$H,'PL1.1 ML2027-2028'!$J:$J,'TH theo DV'!P$3,'PL1.1 ML2027-2028'!$K:$K,'TH theo DV'!$C24)/$D$1</f>
        <v>4.8321878000000007</v>
      </c>
      <c r="Q24" s="673">
        <f>SUMIFS('PL1.1 ML2027-2028'!$H:$H,'PL1.1 ML2027-2028'!$J:$J,'TH theo DV'!Q$3,'PL1.1 ML2027-2028'!$K:$K,'TH theo DV'!$C24)/$D$1</f>
        <v>0</v>
      </c>
      <c r="R24" s="673">
        <f>SUMIFS('PL1.1 ML2027-2028'!$H:$H,'PL1.1 ML2027-2028'!$J:$J,'TH theo DV'!R$3,'PL1.1 ML2027-2028'!$K:$K,'TH theo DV'!$C24)/$D$1</f>
        <v>0</v>
      </c>
      <c r="S24" s="673">
        <f>SUMIFS('PL1.1 ML2027-2028'!$H:$H,'PL1.1 ML2027-2028'!$J:$J,'TH theo DV'!S$3,'PL1.1 ML2027-2028'!$K:$K,'TH theo DV'!$C24)/$D$1</f>
        <v>0</v>
      </c>
      <c r="T24" s="676">
        <f t="shared" si="36"/>
        <v>4.8321878000000007</v>
      </c>
      <c r="U24" s="680"/>
      <c r="V24" s="122">
        <f t="shared" si="37"/>
        <v>0</v>
      </c>
      <c r="W24" s="122">
        <f t="shared" si="37"/>
        <v>0</v>
      </c>
      <c r="X24" s="122">
        <f t="shared" si="37"/>
        <v>0</v>
      </c>
      <c r="Y24" s="122">
        <f t="shared" si="37"/>
        <v>6.5258568000000006</v>
      </c>
      <c r="Z24" s="122">
        <f t="shared" si="37"/>
        <v>0</v>
      </c>
      <c r="AA24" s="122">
        <f t="shared" si="37"/>
        <v>0</v>
      </c>
      <c r="AB24" s="114">
        <f>SUM(V24:AA24)</f>
        <v>6.5258568000000006</v>
      </c>
      <c r="AC24" s="124">
        <f t="shared" si="10"/>
        <v>0.15058534471623422</v>
      </c>
      <c r="AD24" s="234">
        <v>1</v>
      </c>
      <c r="AE24" s="234"/>
      <c r="AF24" s="229"/>
      <c r="AG24" s="229"/>
      <c r="AH24" s="229"/>
      <c r="AI24" s="229"/>
      <c r="AJ24" s="232"/>
    </row>
    <row r="25" spans="1:39" outlineLevel="1">
      <c r="A25" s="67" t="s">
        <v>8</v>
      </c>
      <c r="B25" s="125" t="s">
        <v>99</v>
      </c>
      <c r="C25" s="129" t="s">
        <v>99</v>
      </c>
      <c r="D25" s="673">
        <f>SUMIFS('PL1.1 ML2027-2028'!$G:$G,'PL1.1 ML2027-2028'!$J:$J,'TH theo DV'!$D$3,'PL1.1 ML2027-2028'!$K:$K,'TH theo DV'!C25)/$D$1</f>
        <v>0</v>
      </c>
      <c r="E25" s="673">
        <f>SUMIFS('PL1.1 ML2027-2028'!$G:$G,'PL1.1 ML2027-2028'!$J:$J,'TH theo DV'!$E$3,'PL1.1 ML2027-2028'!$K:$K,'TH theo DV'!C25)/$D$1</f>
        <v>0</v>
      </c>
      <c r="F25" s="673">
        <f>SUMIFS('PL1.1 ML2027-2028'!$G:$G,'PL1.1 ML2027-2028'!$J:$J,'TH theo DV'!$F$3,'PL1.1 ML2027-2028'!$K:$K,'TH theo DV'!C25)/$D$1</f>
        <v>0</v>
      </c>
      <c r="G25" s="673">
        <f>SUMIFS('PL1.1 ML2027-2028'!$G:$G,'PL1.1 ML2027-2028'!$J:$J,'TH theo DV'!$G$3,'PL1.1 ML2027-2028'!$K:$K,'TH theo DV'!C25)/$D$1</f>
        <v>0</v>
      </c>
      <c r="H25" s="673">
        <f>SUMIFS('PL1.1 ML2027-2028'!$G:$G,'PL1.1 ML2027-2028'!$J:$J,'TH theo DV'!$H$3,'PL1.1 ML2027-2028'!$K:$K,'TH theo DV'!C25)/$D$1</f>
        <v>0</v>
      </c>
      <c r="I25" s="673">
        <f>SUMIFS('PL1.1 ML2027-2028'!$G:$G,'PL1.1 ML2027-2028'!$J:$J,'TH theo DV'!$I$3,'PL1.1 ML2027-2028'!$K:$K,'TH theo DV'!C25)/$D$1</f>
        <v>0</v>
      </c>
      <c r="J25" s="673">
        <f>SUMIFS('PL1.1 ML2027-2028'!$G:$G,'PL1.1 ML2027-2028'!$J:$J,'TH theo DV'!J$3,'PL1.1 ML2027-2028'!$K:$K,'TH theo DV'!$C25)/$D$1</f>
        <v>0</v>
      </c>
      <c r="K25" s="674">
        <f>SUM(D25:J25)</f>
        <v>0</v>
      </c>
      <c r="L25" s="178">
        <f t="shared" si="14"/>
        <v>0</v>
      </c>
      <c r="M25" s="673">
        <f>SUMIFS('PL1.1 ML2027-2028'!$H:$H,'PL1.1 ML2027-2028'!$J:$J,'TH theo DV'!M$3,'PL1.1 ML2027-2028'!$K:$K,'TH theo DV'!$C25)/$D$1</f>
        <v>0</v>
      </c>
      <c r="N25" s="673">
        <f>SUMIFS('PL1.1 ML2027-2028'!$H:$H,'PL1.1 ML2027-2028'!$J:$J,'TH theo DV'!N$3,'PL1.1 ML2027-2028'!$K:$K,'TH theo DV'!$C25)/$D$1</f>
        <v>0</v>
      </c>
      <c r="O25" s="673">
        <f>SUMIFS('PL1.1 ML2027-2028'!$H:$H,'PL1.1 ML2027-2028'!$J:$J,'TH theo DV'!O$3,'PL1.1 ML2027-2028'!$K:$K,'TH theo DV'!$C25)/$D$1</f>
        <v>0</v>
      </c>
      <c r="P25" s="673">
        <f>SUMIFS('PL1.1 ML2027-2028'!$H:$H,'PL1.1 ML2027-2028'!$J:$J,'TH theo DV'!P$3,'PL1.1 ML2027-2028'!$K:$K,'TH theo DV'!$C25)/$D$1</f>
        <v>0</v>
      </c>
      <c r="Q25" s="673">
        <f>SUMIFS('PL1.1 ML2027-2028'!$H:$H,'PL1.1 ML2027-2028'!$J:$J,'TH theo DV'!Q$3,'PL1.1 ML2027-2028'!$K:$K,'TH theo DV'!$C25)/$D$1</f>
        <v>0</v>
      </c>
      <c r="R25" s="673">
        <f>SUMIFS('PL1.1 ML2027-2028'!$H:$H,'PL1.1 ML2027-2028'!$J:$J,'TH theo DV'!R$3,'PL1.1 ML2027-2028'!$K:$K,'TH theo DV'!$C25)/$D$1</f>
        <v>0</v>
      </c>
      <c r="S25" s="673">
        <f>SUMIFS('PL1.1 ML2027-2028'!$H:$H,'PL1.1 ML2027-2028'!$J:$J,'TH theo DV'!S$3,'PL1.1 ML2027-2028'!$K:$K,'TH theo DV'!$C25)/$D$1</f>
        <v>0</v>
      </c>
      <c r="T25" s="676">
        <f t="shared" si="36"/>
        <v>0</v>
      </c>
      <c r="U25" s="680"/>
      <c r="V25" s="122">
        <f t="shared" si="37"/>
        <v>0</v>
      </c>
      <c r="W25" s="122">
        <f t="shared" si="37"/>
        <v>0</v>
      </c>
      <c r="X25" s="122">
        <f t="shared" si="37"/>
        <v>0</v>
      </c>
      <c r="Y25" s="122">
        <f t="shared" si="37"/>
        <v>0</v>
      </c>
      <c r="Z25" s="122">
        <f t="shared" si="37"/>
        <v>0</v>
      </c>
      <c r="AA25" s="122">
        <f t="shared" si="37"/>
        <v>0</v>
      </c>
      <c r="AB25" s="114">
        <f>SUM(V25:AA25)</f>
        <v>0</v>
      </c>
      <c r="AC25" s="124">
        <f t="shared" si="10"/>
        <v>0</v>
      </c>
      <c r="AD25" s="234">
        <v>1</v>
      </c>
      <c r="AE25" s="234"/>
      <c r="AF25" s="229"/>
      <c r="AG25" s="229"/>
      <c r="AH25" s="229"/>
      <c r="AI25" s="229"/>
      <c r="AJ25" s="232"/>
    </row>
    <row r="26" spans="1:39" s="53" customFormat="1" outlineLevel="1">
      <c r="A26" s="147">
        <v>5</v>
      </c>
      <c r="B26" s="151" t="s">
        <v>1006</v>
      </c>
      <c r="C26" s="29"/>
      <c r="D26" s="676">
        <f t="shared" ref="D26:I26" si="38">SUBTOTAL(9,D27:D29)</f>
        <v>0</v>
      </c>
      <c r="E26" s="676">
        <f t="shared" si="38"/>
        <v>0</v>
      </c>
      <c r="F26" s="676">
        <f t="shared" si="38"/>
        <v>0</v>
      </c>
      <c r="G26" s="676">
        <f t="shared" si="38"/>
        <v>0</v>
      </c>
      <c r="H26" s="676">
        <f>SUBTOTAL(9,H27:H28)</f>
        <v>0.241124</v>
      </c>
      <c r="I26" s="676">
        <f t="shared" si="38"/>
        <v>0</v>
      </c>
      <c r="J26" s="676">
        <f t="shared" ref="J26" si="39">SUBTOTAL(9,J27:J29)</f>
        <v>0</v>
      </c>
      <c r="K26" s="674">
        <f>SUBTOTAL(9,K27:K28)</f>
        <v>0.241124</v>
      </c>
      <c r="L26" s="178">
        <f t="shared" ref="L26:L28" si="40">K26/$K$4</f>
        <v>9.5642342854425615E-3</v>
      </c>
      <c r="M26" s="671">
        <f>SUBTOTAL(9,M27:M29)</f>
        <v>0</v>
      </c>
      <c r="N26" s="671">
        <f t="shared" ref="N26:S26" si="41">SUBTOTAL(9,N27:N29)</f>
        <v>0</v>
      </c>
      <c r="O26" s="671">
        <f t="shared" si="41"/>
        <v>0</v>
      </c>
      <c r="P26" s="671">
        <f t="shared" si="41"/>
        <v>0</v>
      </c>
      <c r="Q26" s="671">
        <f t="shared" si="41"/>
        <v>0.26795999999999998</v>
      </c>
      <c r="R26" s="671">
        <f t="shared" si="41"/>
        <v>0</v>
      </c>
      <c r="S26" s="676">
        <f t="shared" si="41"/>
        <v>0</v>
      </c>
      <c r="T26" s="671">
        <f>SUBTOTAL(9,T27:T29)</f>
        <v>0.26795999999999998</v>
      </c>
      <c r="U26" s="681">
        <f>T26/$T$4</f>
        <v>1.0775685153768014E-2</v>
      </c>
      <c r="V26" s="152">
        <f t="shared" ref="V26:AB26" si="42">SUBTOTAL(9,V27:V29)</f>
        <v>0</v>
      </c>
      <c r="W26" s="152">
        <f t="shared" si="42"/>
        <v>0</v>
      </c>
      <c r="X26" s="152">
        <f t="shared" si="42"/>
        <v>0</v>
      </c>
      <c r="Y26" s="152">
        <f t="shared" si="42"/>
        <v>0</v>
      </c>
      <c r="Z26" s="152">
        <f t="shared" si="42"/>
        <v>0.50908399999999998</v>
      </c>
      <c r="AA26" s="152">
        <f t="shared" si="42"/>
        <v>0</v>
      </c>
      <c r="AB26" s="152">
        <f t="shared" si="42"/>
        <v>0.50908399999999998</v>
      </c>
      <c r="AC26" s="178">
        <f t="shared" ref="AC26:AC28" si="43">AB26/$AB$4</f>
        <v>1.1747206838727962E-2</v>
      </c>
      <c r="AD26" s="229"/>
      <c r="AE26" s="229"/>
      <c r="AF26" s="229"/>
      <c r="AG26" s="229"/>
      <c r="AH26" s="229"/>
      <c r="AI26" s="229"/>
      <c r="AJ26" s="232"/>
      <c r="AK26" s="73"/>
    </row>
    <row r="27" spans="1:39" outlineLevel="1">
      <c r="A27" s="67" t="s">
        <v>8</v>
      </c>
      <c r="B27" s="125" t="s">
        <v>1004</v>
      </c>
      <c r="C27" s="205" t="s">
        <v>151</v>
      </c>
      <c r="D27" s="673">
        <f>SUMIFS('PL1.1 ML2027-2028'!$G:$G,'PL1.1 ML2027-2028'!$J:$J,'TH theo DV'!$D$3,'PL1.1 ML2027-2028'!$K:$K,'TH theo DV'!C27)/$D$1</f>
        <v>0</v>
      </c>
      <c r="E27" s="673">
        <f>SUMIFS('PL1.1 ML2027-2028'!$G:$G,'PL1.1 ML2027-2028'!$J:$J,'TH theo DV'!$E$3,'PL1.1 ML2027-2028'!$K:$K,'TH theo DV'!C27)/$D$1</f>
        <v>0</v>
      </c>
      <c r="F27" s="673">
        <f>SUMIFS('PL1.1 ML2027-2028'!$G:$G,'PL1.1 ML2027-2028'!$J:$J,'TH theo DV'!$F$3,'PL1.1 ML2027-2028'!$K:$K,'TH theo DV'!C27)/$D$1</f>
        <v>0</v>
      </c>
      <c r="G27" s="677">
        <f>SUMIFS('PL1.1 ML2027-2028'!$G:$G,'PL1.1 ML2027-2028'!$J:$J,'TH theo DV'!$G$3,'PL1.1 ML2027-2028'!$K:$K,'TH theo DV'!C27)/$D$1</f>
        <v>0</v>
      </c>
      <c r="H27" s="673">
        <f>SUMIFS('PL1.1 ML2027-2028'!$G:$G,'PL1.1 ML2027-2028'!$J:$J,'TH theo DV'!$H$3,'PL1.1 ML2027-2028'!$K:$K,'TH theo DV'!C27)/$D$1</f>
        <v>1.346E-2</v>
      </c>
      <c r="I27" s="673">
        <f>SUMIFS('PL1.1 ML2027-2028'!$G:$G,'PL1.1 ML2027-2028'!$J:$J,'TH theo DV'!$I$3,'PL1.1 ML2027-2028'!$K:$K,'TH theo DV'!C27)/$D$1</f>
        <v>0</v>
      </c>
      <c r="J27" s="673">
        <f>SUMIFS('PL1.1 ML2027-2028'!$G:$G,'PL1.1 ML2027-2028'!$J:$J,'TH theo DV'!J$3,'PL1.1 ML2027-2028'!$K:$K,'TH theo DV'!$C27)/$D$1</f>
        <v>0</v>
      </c>
      <c r="K27" s="674">
        <f>SUM(D27:J27)</f>
        <v>1.346E-2</v>
      </c>
      <c r="L27" s="178">
        <f t="shared" si="40"/>
        <v>5.3389373717281099E-4</v>
      </c>
      <c r="M27" s="673">
        <f>SUMIFS('PL1.1 ML2027-2028'!$H:$H,'PL1.1 ML2027-2028'!$J:$J,'TH theo DV'!M$3,'PL1.1 ML2027-2028'!$K:$K,'TH theo DV'!$C27)/$D$1</f>
        <v>0</v>
      </c>
      <c r="N27" s="673">
        <f>SUMIFS('PL1.1 ML2027-2028'!$H:$H,'PL1.1 ML2027-2028'!$J:$J,'TH theo DV'!N$3,'PL1.1 ML2027-2028'!$K:$K,'TH theo DV'!$C27)/$D$1</f>
        <v>0</v>
      </c>
      <c r="O27" s="673">
        <f>SUMIFS('PL1.1 ML2027-2028'!$H:$H,'PL1.1 ML2027-2028'!$J:$J,'TH theo DV'!O$3,'PL1.1 ML2027-2028'!$K:$K,'TH theo DV'!$C27)/$D$1</f>
        <v>0</v>
      </c>
      <c r="P27" s="673">
        <f>SUMIFS('PL1.1 ML2027-2028'!$H:$H,'PL1.1 ML2027-2028'!$J:$J,'TH theo DV'!P$3,'PL1.1 ML2027-2028'!$K:$K,'TH theo DV'!$C27)/$D$1</f>
        <v>0</v>
      </c>
      <c r="Q27" s="673">
        <f>SUMIFS('PL1.1 ML2027-2028'!$H:$H,'PL1.1 ML2027-2028'!$J:$J,'TH theo DV'!Q$3,'PL1.1 ML2027-2028'!$K:$K,'TH theo DV'!$C27)/$D$1</f>
        <v>1.7639999999999999E-2</v>
      </c>
      <c r="R27" s="673">
        <f>SUMIFS('PL1.1 ML2027-2028'!$H:$H,'PL1.1 ML2027-2028'!$J:$J,'TH theo DV'!R$3,'PL1.1 ML2027-2028'!$K:$K,'TH theo DV'!$C27)/$D$1</f>
        <v>0</v>
      </c>
      <c r="S27" s="673">
        <f>SUMIFS('PL1.1 ML2027-2028'!$H:$H,'PL1.1 ML2027-2028'!$J:$J,'TH theo DV'!S$3,'PL1.1 ML2027-2028'!$K:$K,'TH theo DV'!$C27)/$D$1</f>
        <v>0</v>
      </c>
      <c r="T27" s="676">
        <f t="shared" ref="T27:T28" si="44">SUM(M27:S27)</f>
        <v>1.7639999999999999E-2</v>
      </c>
      <c r="U27" s="680"/>
      <c r="V27" s="122">
        <f t="shared" ref="V27:AA28" si="45">D27+M27</f>
        <v>0</v>
      </c>
      <c r="W27" s="122">
        <f t="shared" si="45"/>
        <v>0</v>
      </c>
      <c r="X27" s="122">
        <f t="shared" si="45"/>
        <v>0</v>
      </c>
      <c r="Y27" s="122">
        <f t="shared" si="45"/>
        <v>0</v>
      </c>
      <c r="Z27" s="122">
        <f t="shared" si="45"/>
        <v>3.1099999999999999E-2</v>
      </c>
      <c r="AA27" s="122">
        <f t="shared" si="45"/>
        <v>0</v>
      </c>
      <c r="AB27" s="114">
        <f>SUM(V27:AA27)</f>
        <v>3.1099999999999999E-2</v>
      </c>
      <c r="AC27" s="124">
        <f t="shared" si="43"/>
        <v>7.1763821429162897E-4</v>
      </c>
      <c r="AD27" s="229"/>
      <c r="AE27" s="229"/>
      <c r="AF27" s="229"/>
      <c r="AG27" s="229"/>
      <c r="AH27" s="229"/>
      <c r="AI27" s="234"/>
      <c r="AJ27" s="234">
        <v>1</v>
      </c>
    </row>
    <row r="28" spans="1:39" outlineLevel="1">
      <c r="A28" s="67" t="s">
        <v>8</v>
      </c>
      <c r="B28" s="125" t="s">
        <v>1005</v>
      </c>
      <c r="C28" s="205" t="s">
        <v>152</v>
      </c>
      <c r="D28" s="673">
        <f>SUMIFS('PL1.1 ML2027-2028'!$G:$G,'PL1.1 ML2027-2028'!$J:$J,'TH theo DV'!$D$3,'PL1.1 ML2027-2028'!$K:$K,'TH theo DV'!C28)/$D$1</f>
        <v>0</v>
      </c>
      <c r="E28" s="673">
        <f>SUMIFS('PL1.1 ML2027-2028'!$G:$G,'PL1.1 ML2027-2028'!$J:$J,'TH theo DV'!$E$3,'PL1.1 ML2027-2028'!$K:$K,'TH theo DV'!C28)/$D$1</f>
        <v>0</v>
      </c>
      <c r="F28" s="673">
        <f>SUMIFS('PL1.1 ML2027-2028'!$G:$G,'PL1.1 ML2027-2028'!$J:$J,'TH theo DV'!$F$3,'PL1.1 ML2027-2028'!$K:$K,'TH theo DV'!C28)/$D$1</f>
        <v>0</v>
      </c>
      <c r="G28" s="677">
        <f>SUMIFS('PL1.1 ML2027-2028'!$G:$G,'PL1.1 ML2027-2028'!$J:$J,'TH theo DV'!$G$3,'PL1.1 ML2027-2028'!$K:$K,'TH theo DV'!C28)/$D$1</f>
        <v>0</v>
      </c>
      <c r="H28" s="673">
        <f>SUMIFS('PL1.1 ML2027-2028'!$G:$G,'PL1.1 ML2027-2028'!$J:$J,'TH theo DV'!$H$3,'PL1.1 ML2027-2028'!$K:$K,'TH theo DV'!C28)/$D$1</f>
        <v>0.22766400000000001</v>
      </c>
      <c r="I28" s="673">
        <f>SUMIFS('PL1.1 ML2027-2028'!$G:$G,'PL1.1 ML2027-2028'!$J:$J,'TH theo DV'!$I$3,'PL1.1 ML2027-2028'!$K:$K,'TH theo DV'!C28)/$D$1</f>
        <v>0</v>
      </c>
      <c r="J28" s="673">
        <f>SUMIFS('PL1.1 ML2027-2028'!$G:$G,'PL1.1 ML2027-2028'!$J:$J,'TH theo DV'!J$3,'PL1.1 ML2027-2028'!$K:$K,'TH theo DV'!$C28)/$D$1</f>
        <v>0</v>
      </c>
      <c r="K28" s="674">
        <f>SUM(D28:J28)</f>
        <v>0.22766400000000001</v>
      </c>
      <c r="L28" s="178">
        <f t="shared" si="40"/>
        <v>9.0303405482697503E-3</v>
      </c>
      <c r="M28" s="673">
        <f>SUMIFS('PL1.1 ML2027-2028'!$H:$H,'PL1.1 ML2027-2028'!$J:$J,'TH theo DV'!M$3,'PL1.1 ML2027-2028'!$K:$K,'TH theo DV'!$C28)/$D$1</f>
        <v>0</v>
      </c>
      <c r="N28" s="673">
        <f>SUMIFS('PL1.1 ML2027-2028'!$H:$H,'PL1.1 ML2027-2028'!$J:$J,'TH theo DV'!N$3,'PL1.1 ML2027-2028'!$K:$K,'TH theo DV'!$C28)/$D$1</f>
        <v>0</v>
      </c>
      <c r="O28" s="673">
        <f>SUMIFS('PL1.1 ML2027-2028'!$H:$H,'PL1.1 ML2027-2028'!$J:$J,'TH theo DV'!O$3,'PL1.1 ML2027-2028'!$K:$K,'TH theo DV'!$C28)/$D$1</f>
        <v>0</v>
      </c>
      <c r="P28" s="673">
        <f>SUMIFS('PL1.1 ML2027-2028'!$H:$H,'PL1.1 ML2027-2028'!$J:$J,'TH theo DV'!P$3,'PL1.1 ML2027-2028'!$K:$K,'TH theo DV'!$C28)/$D$1</f>
        <v>0</v>
      </c>
      <c r="Q28" s="673">
        <f>SUMIFS('PL1.1 ML2027-2028'!$H:$H,'PL1.1 ML2027-2028'!$J:$J,'TH theo DV'!Q$3,'PL1.1 ML2027-2028'!$K:$K,'TH theo DV'!$C28)/$D$1</f>
        <v>0.25031999999999999</v>
      </c>
      <c r="R28" s="673">
        <f>SUMIFS('PL1.1 ML2027-2028'!$H:$H,'PL1.1 ML2027-2028'!$J:$J,'TH theo DV'!R$3,'PL1.1 ML2027-2028'!$K:$K,'TH theo DV'!$C28)/$D$1</f>
        <v>0</v>
      </c>
      <c r="S28" s="673">
        <f>SUMIFS('PL1.1 ML2027-2028'!$H:$H,'PL1.1 ML2027-2028'!$J:$J,'TH theo DV'!S$3,'PL1.1 ML2027-2028'!$K:$K,'TH theo DV'!$C28)/$D$1</f>
        <v>0</v>
      </c>
      <c r="T28" s="676">
        <f t="shared" si="44"/>
        <v>0.25031999999999999</v>
      </c>
      <c r="U28" s="680"/>
      <c r="V28" s="122">
        <f t="shared" si="45"/>
        <v>0</v>
      </c>
      <c r="W28" s="122">
        <f t="shared" si="45"/>
        <v>0</v>
      </c>
      <c r="X28" s="122">
        <f t="shared" si="45"/>
        <v>0</v>
      </c>
      <c r="Y28" s="122">
        <f t="shared" si="45"/>
        <v>0</v>
      </c>
      <c r="Z28" s="122">
        <f t="shared" si="45"/>
        <v>0.47798399999999996</v>
      </c>
      <c r="AA28" s="122">
        <f t="shared" si="45"/>
        <v>0</v>
      </c>
      <c r="AB28" s="114">
        <f>SUM(V28:AA28)</f>
        <v>0.47798399999999996</v>
      </c>
      <c r="AC28" s="124">
        <f t="shared" si="43"/>
        <v>1.1029568624436333E-2</v>
      </c>
      <c r="AD28" s="234">
        <v>1</v>
      </c>
      <c r="AE28" s="234"/>
      <c r="AF28" s="229"/>
      <c r="AG28" s="229"/>
      <c r="AH28" s="229"/>
      <c r="AI28" s="229"/>
      <c r="AJ28" s="232"/>
    </row>
    <row r="29" spans="1:39" ht="26" outlineLevel="1">
      <c r="A29" s="104" t="s">
        <v>19</v>
      </c>
      <c r="B29" s="179" t="s">
        <v>256</v>
      </c>
      <c r="C29" s="155"/>
      <c r="D29" s="672">
        <f t="shared" ref="D29:F29" si="46">SUBTOTAL(9,D30:D33)</f>
        <v>0.53542099999999992</v>
      </c>
      <c r="E29" s="672">
        <f t="shared" si="46"/>
        <v>0.84196192000000003</v>
      </c>
      <c r="F29" s="672">
        <f t="shared" si="46"/>
        <v>0</v>
      </c>
      <c r="G29" s="672">
        <f>SUBTOTAL(9,G30:G33)</f>
        <v>0.93388199999999999</v>
      </c>
      <c r="H29" s="672">
        <f t="shared" ref="H29:K29" si="47">SUBTOTAL(9,H30:H33)</f>
        <v>0.35783999999999999</v>
      </c>
      <c r="I29" s="672">
        <f t="shared" si="47"/>
        <v>1.3602861000000002</v>
      </c>
      <c r="J29" s="707">
        <f t="shared" ref="J29" si="48">SUBTOTAL(9,J30:J33)</f>
        <v>0</v>
      </c>
      <c r="K29" s="672">
        <f t="shared" si="47"/>
        <v>4.0293910200000003</v>
      </c>
      <c r="L29" s="182">
        <f>K29/$K$4</f>
        <v>0.15982664414549516</v>
      </c>
      <c r="M29" s="672">
        <f t="shared" ref="M29" si="49">SUBTOTAL(9,M30:M33)</f>
        <v>0.70130000000000003</v>
      </c>
      <c r="N29" s="672">
        <f t="shared" ref="N29" si="50">SUBTOTAL(9,N31:N33)</f>
        <v>0.87104000000000004</v>
      </c>
      <c r="O29" s="672">
        <f t="shared" ref="O29:T29" si="51">SUBTOTAL(9,O30:O33)</f>
        <v>0</v>
      </c>
      <c r="P29" s="672">
        <f t="shared" si="51"/>
        <v>0.21868899999999999</v>
      </c>
      <c r="Q29" s="672">
        <f t="shared" si="51"/>
        <v>0.33633999999999997</v>
      </c>
      <c r="R29" s="672">
        <f t="shared" si="51"/>
        <v>1.83991211</v>
      </c>
      <c r="S29" s="672">
        <f t="shared" si="51"/>
        <v>0</v>
      </c>
      <c r="T29" s="672">
        <f t="shared" si="51"/>
        <v>4.0672811099999997</v>
      </c>
      <c r="U29" s="182">
        <f>T29/$T$4</f>
        <v>0.16356075784903751</v>
      </c>
      <c r="V29" s="123">
        <f t="shared" ref="V29:AB29" si="52">SUBTOTAL(9,V31:V33)</f>
        <v>0.78912099999999996</v>
      </c>
      <c r="W29" s="123">
        <f t="shared" si="52"/>
        <v>1.6130019200000001</v>
      </c>
      <c r="X29" s="123">
        <f t="shared" si="52"/>
        <v>0</v>
      </c>
      <c r="Y29" s="123">
        <f t="shared" si="52"/>
        <v>1.152571</v>
      </c>
      <c r="Z29" s="123">
        <f t="shared" si="52"/>
        <v>0.4642</v>
      </c>
      <c r="AA29" s="123">
        <f t="shared" si="52"/>
        <v>2.7275140100000002</v>
      </c>
      <c r="AB29" s="123">
        <f t="shared" si="52"/>
        <v>6.7464079300000002</v>
      </c>
      <c r="AC29" s="182">
        <f t="shared" si="10"/>
        <v>0.15567460256489019</v>
      </c>
      <c r="AD29" s="234"/>
      <c r="AE29" s="234"/>
      <c r="AF29" s="229"/>
      <c r="AG29" s="229"/>
      <c r="AH29" s="229"/>
      <c r="AI29" s="229"/>
      <c r="AJ29" s="229"/>
    </row>
    <row r="30" spans="1:39" s="53" customFormat="1" outlineLevel="1">
      <c r="A30" s="29">
        <v>1</v>
      </c>
      <c r="B30" s="87" t="s">
        <v>401</v>
      </c>
      <c r="C30" s="29" t="s">
        <v>402</v>
      </c>
      <c r="D30" s="677">
        <f>SUMIFS('PL1.1 ML2027-2028'!$G:$G,'PL1.1 ML2027-2028'!$J:$J,'TH theo DV'!$D$3,'PL1.1 ML2027-2028'!$K:$K,'TH theo DV'!C30)/$D$1</f>
        <v>0.2238</v>
      </c>
      <c r="E30" s="677">
        <f>SUMIFS('PL1.1 ML2027-2028'!$G:$G,'PL1.1 ML2027-2028'!$J:$J,'TH theo DV'!$E$3,'PL1.1 ML2027-2028'!$K:$K,'TH theo DV'!C30)/$D$1</f>
        <v>0.1</v>
      </c>
      <c r="F30" s="677">
        <f>SUMIFS('PL1.1 ML2027-2028'!$G:$G,'PL1.1 ML2027-2028'!$J:$J,'TH theo DV'!$F$3,'PL1.1 ML2027-2028'!$K:$K,'TH theo DV'!C30)/$D$1</f>
        <v>0</v>
      </c>
      <c r="G30" s="673">
        <f>SUMIFS('PL1.1 ML2027-2028'!$G:$G,'PL1.1 ML2027-2028'!$J:$J,'TH theo DV'!$G$3,'PL1.1 ML2027-2028'!$K:$K,'TH theo DV'!C30)/$D$1</f>
        <v>0</v>
      </c>
      <c r="H30" s="673">
        <f>SUMIFS('PL1.1 ML2027-2028'!$G:$G,'PL1.1 ML2027-2028'!$J:$J,'TH theo DV'!$H$3,'PL1.1 ML2027-2028'!$K:$K,'TH theo DV'!C30)/$D$1</f>
        <v>0.12573999999999999</v>
      </c>
      <c r="I30" s="677">
        <f>SUMIFS('PL1.1 ML2027-2028'!$G:$G,'PL1.1 ML2027-2028'!$J:$J,'TH theo DV'!$I$3,'PL1.1 ML2027-2028'!$K:$K,'TH theo DV'!C30)/$D$1</f>
        <v>0.21954210000000002</v>
      </c>
      <c r="J30" s="329">
        <f>SUMIFS('PL1.1 ML2027-2028'!$G:$G,'PL1.1 ML2027-2028'!$J:$J,'TH theo DV'!J$3,'PL1.1 ML2027-2028'!$K:$K,'TH theo DV'!$C30)/$D$1</f>
        <v>0</v>
      </c>
      <c r="K30" s="674">
        <f>SUM(D30:J30)</f>
        <v>0.66908210000000001</v>
      </c>
      <c r="L30" s="178">
        <f>K30/$K$4</f>
        <v>2.6539282529304046E-2</v>
      </c>
      <c r="M30" s="677">
        <f>SUMIFS('PL1.1 ML2027-2028'!$H:$H,'PL1.1 ML2027-2028'!$J:$J,'TH theo DV'!M$3,'PL1.1 ML2027-2028'!$K:$K,'TH theo DV'!$C30)/$D$1</f>
        <v>0.2238</v>
      </c>
      <c r="N30" s="677">
        <f>SUMIFS('PL1.1 ML2027-2028'!$H:$H,'PL1.1 ML2027-2028'!$J:$J,'TH theo DV'!N$3,'PL1.1 ML2027-2028'!$K:$K,'TH theo DV'!$C30)/$D$1</f>
        <v>0.1</v>
      </c>
      <c r="O30" s="677">
        <f>SUMIFS('PL1.1 ML2027-2028'!$H:$H,'PL1.1 ML2027-2028'!$J:$J,'TH theo DV'!O$3,'PL1.1 ML2027-2028'!$K:$K,'TH theo DV'!$C30)/$D$1</f>
        <v>0</v>
      </c>
      <c r="P30" s="677">
        <f>SUMIFS('PL1.1 ML2027-2028'!$H:$H,'PL1.1 ML2027-2028'!$J:$J,'TH theo DV'!P$3,'PL1.1 ML2027-2028'!$K:$K,'TH theo DV'!$C30)/$D$1</f>
        <v>0</v>
      </c>
      <c r="Q30" s="677">
        <f>SUMIFS('PL1.1 ML2027-2028'!$H:$H,'PL1.1 ML2027-2028'!$J:$J,'TH theo DV'!Q$3,'PL1.1 ML2027-2028'!$K:$K,'TH theo DV'!$C30)/$D$1</f>
        <v>0.10424</v>
      </c>
      <c r="R30" s="677">
        <f>SUMIFS('PL1.1 ML2027-2028'!$H:$H,'PL1.1 ML2027-2028'!$J:$J,'TH theo DV'!R$3,'PL1.1 ML2027-2028'!$K:$K,'TH theo DV'!$C30)/$D$1</f>
        <v>0.25314209999999998</v>
      </c>
      <c r="S30" s="673">
        <f>SUMIFS('PL1.1 ML2027-2028'!$H:$H,'PL1.1 ML2027-2028'!$J:$J,'TH theo DV'!S$3,'PL1.1 ML2027-2028'!$K:$K,'TH theo DV'!$C30)/$D$1</f>
        <v>0</v>
      </c>
      <c r="T30" s="676">
        <f t="shared" ref="T30:T33" si="53">SUM(M30:S30)</f>
        <v>0.68118210000000001</v>
      </c>
      <c r="U30" s="681">
        <f>T30/$T$4</f>
        <v>2.7392908799755634E-2</v>
      </c>
      <c r="V30" s="153">
        <f t="shared" ref="V30:AA33" si="54">D30+M30</f>
        <v>0.4476</v>
      </c>
      <c r="W30" s="153">
        <f t="shared" si="54"/>
        <v>0.2</v>
      </c>
      <c r="X30" s="153">
        <f t="shared" si="54"/>
        <v>0</v>
      </c>
      <c r="Y30" s="153">
        <f t="shared" si="54"/>
        <v>0</v>
      </c>
      <c r="Z30" s="153">
        <f t="shared" si="54"/>
        <v>0.22997999999999999</v>
      </c>
      <c r="AA30" s="153">
        <f t="shared" si="54"/>
        <v>0.4726842</v>
      </c>
      <c r="AB30" s="152">
        <f t="shared" ref="AB30" si="55">SUM(V30:AA30)</f>
        <v>1.3502641999999998</v>
      </c>
      <c r="AC30" s="178">
        <f t="shared" si="10"/>
        <v>3.1157594511572823E-2</v>
      </c>
      <c r="AD30" s="234">
        <v>1</v>
      </c>
      <c r="AE30" s="234"/>
      <c r="AF30" s="234">
        <v>0.8</v>
      </c>
      <c r="AG30" s="234">
        <v>0.2</v>
      </c>
      <c r="AH30" s="234"/>
      <c r="AI30" s="234"/>
      <c r="AJ30" s="234">
        <v>1</v>
      </c>
      <c r="AK30" s="73"/>
    </row>
    <row r="31" spans="1:39" ht="26" outlineLevel="1">
      <c r="A31" s="67">
        <v>2</v>
      </c>
      <c r="B31" s="154" t="s">
        <v>400</v>
      </c>
      <c r="C31" s="129" t="s">
        <v>145</v>
      </c>
      <c r="D31" s="677">
        <f>SUMIFS('PL1.1 ML2027-2028'!$G:$G,'PL1.1 ML2027-2028'!$J:$J,'TH theo DV'!$D$3,'PL1.1 ML2027-2028'!$K:$K,'TH theo DV'!C31)/$D$1</f>
        <v>0.31162099999999998</v>
      </c>
      <c r="E31" s="677">
        <f>SUMIFS('PL1.1 ML2027-2028'!$G:$G,'PL1.1 ML2027-2028'!$J:$J,'TH theo DV'!$E$3,'PL1.1 ML2027-2028'!$K:$K,'TH theo DV'!C31)/$D$1</f>
        <v>0.74196192000000005</v>
      </c>
      <c r="F31" s="677">
        <f>SUMIFS('PL1.1 ML2027-2028'!$G:$G,'PL1.1 ML2027-2028'!$J:$J,'TH theo DV'!$F$3,'PL1.1 ML2027-2028'!$K:$K,'TH theo DV'!C31)/$D$1</f>
        <v>0</v>
      </c>
      <c r="G31" s="673">
        <f>SUMIFS('PL1.1 ML2027-2028'!$G:$G,'PL1.1 ML2027-2028'!$J:$J,'TH theo DV'!$G$3,'PL1.1 ML2027-2028'!$K:$K,'TH theo DV'!C31)/$D$1</f>
        <v>0.93388199999999999</v>
      </c>
      <c r="H31" s="673">
        <f>SUMIFS('PL1.1 ML2027-2028'!$G:$G,'PL1.1 ML2027-2028'!$J:$J,'TH theo DV'!$H$3,'PL1.1 ML2027-2028'!$K:$K,'TH theo DV'!C31)/$D$1</f>
        <v>0</v>
      </c>
      <c r="I31" s="677">
        <f>SUMIFS('PL1.1 ML2027-2028'!$G:$G,'PL1.1 ML2027-2028'!$J:$J,'TH theo DV'!$I$3,'PL1.1 ML2027-2028'!$K:$K,'TH theo DV'!C31)/$D$1</f>
        <v>0.22997999999999999</v>
      </c>
      <c r="J31" s="329">
        <f>SUMIFS('PL1.1 ML2027-2028'!$G:$G,'PL1.1 ML2027-2028'!$J:$J,'TH theo DV'!J$3,'PL1.1 ML2027-2028'!$K:$K,'TH theo DV'!$C31)/$D$1</f>
        <v>0</v>
      </c>
      <c r="K31" s="674">
        <f>SUM(D31:J31)</f>
        <v>2.2174449199999997</v>
      </c>
      <c r="L31" s="124">
        <f>K31/$K$4</f>
        <v>8.7955420157033046E-2</v>
      </c>
      <c r="M31" s="673">
        <f>SUMIFS('PL1.1 ML2027-2028'!$H:$H,'PL1.1 ML2027-2028'!$J:$J,'TH theo DV'!M$3,'PL1.1 ML2027-2028'!$K:$K,'TH theo DV'!$C31)/$D$1</f>
        <v>0.47749999999999998</v>
      </c>
      <c r="N31" s="673">
        <f>SUMIFS('PL1.1 ML2027-2028'!$H:$H,'PL1.1 ML2027-2028'!$J:$J,'TH theo DV'!N$3,'PL1.1 ML2027-2028'!$K:$K,'TH theo DV'!$C31)/$D$1</f>
        <v>0.87104000000000004</v>
      </c>
      <c r="O31" s="673">
        <f>SUMIFS('PL1.1 ML2027-2028'!$H:$H,'PL1.1 ML2027-2028'!$J:$J,'TH theo DV'!O$3,'PL1.1 ML2027-2028'!$K:$K,'TH theo DV'!$C31)/$D$1</f>
        <v>0</v>
      </c>
      <c r="P31" s="673">
        <f>SUMIFS('PL1.1 ML2027-2028'!$H:$H,'PL1.1 ML2027-2028'!$J:$J,'TH theo DV'!P$3,'PL1.1 ML2027-2028'!$K:$K,'TH theo DV'!$C31)/$D$1</f>
        <v>0.21868899999999999</v>
      </c>
      <c r="Q31" s="673">
        <f>SUMIFS('PL1.1 ML2027-2028'!$H:$H,'PL1.1 ML2027-2028'!$J:$J,'TH theo DV'!Q$3,'PL1.1 ML2027-2028'!$K:$K,'TH theo DV'!$C31)/$D$1</f>
        <v>0</v>
      </c>
      <c r="R31" s="673">
        <f>SUMIFS('PL1.1 ML2027-2028'!$H:$H,'PL1.1 ML2027-2028'!$J:$J,'TH theo DV'!R$3,'PL1.1 ML2027-2028'!$K:$K,'TH theo DV'!$C31)/$D$1</f>
        <v>5.2249999999999998E-2</v>
      </c>
      <c r="S31" s="673">
        <f>SUMIFS('PL1.1 ML2027-2028'!$H:$H,'PL1.1 ML2027-2028'!$J:$J,'TH theo DV'!S$3,'PL1.1 ML2027-2028'!$K:$K,'TH theo DV'!$C31)/$D$1</f>
        <v>0</v>
      </c>
      <c r="T31" s="676">
        <f t="shared" si="53"/>
        <v>1.6194789999999999</v>
      </c>
      <c r="U31" s="683">
        <f>T31/$T$4</f>
        <v>6.5125376239509897E-2</v>
      </c>
      <c r="V31" s="122">
        <f t="shared" si="54"/>
        <v>0.78912099999999996</v>
      </c>
      <c r="W31" s="122">
        <f t="shared" si="54"/>
        <v>1.6130019200000001</v>
      </c>
      <c r="X31" s="122">
        <f t="shared" si="54"/>
        <v>0</v>
      </c>
      <c r="Y31" s="122">
        <f t="shared" si="54"/>
        <v>1.152571</v>
      </c>
      <c r="Z31" s="122">
        <f t="shared" si="54"/>
        <v>0</v>
      </c>
      <c r="AA31" s="122">
        <f t="shared" si="54"/>
        <v>0.28222999999999998</v>
      </c>
      <c r="AB31" s="114">
        <f t="shared" ref="AB31:AB32" si="56">SUM(V31:AA31)</f>
        <v>3.8369239200000003</v>
      </c>
      <c r="AC31" s="124">
        <f t="shared" si="10"/>
        <v>8.8537724447641061E-2</v>
      </c>
      <c r="AD31" s="234">
        <v>1</v>
      </c>
      <c r="AE31" s="234"/>
      <c r="AF31" s="234">
        <v>0.8</v>
      </c>
      <c r="AG31" s="234">
        <v>0.2</v>
      </c>
      <c r="AH31" s="234"/>
      <c r="AI31" s="234"/>
      <c r="AJ31" s="234">
        <v>1</v>
      </c>
      <c r="AK31" s="203"/>
      <c r="AL31" s="162"/>
      <c r="AM31" s="69"/>
    </row>
    <row r="32" spans="1:39" ht="17.649999999999999" customHeight="1" outlineLevel="1">
      <c r="A32" s="29">
        <v>3</v>
      </c>
      <c r="B32" s="132" t="s">
        <v>403</v>
      </c>
      <c r="C32" s="67" t="s">
        <v>259</v>
      </c>
      <c r="D32" s="677">
        <f>SUMIFS('PL1.1 ML2027-2028'!$G:$G,'PL1.1 ML2027-2028'!$J:$J,'TH theo DV'!$D$3,'PL1.1 ML2027-2028'!$K:$K,'TH theo DV'!C32)/$D$1</f>
        <v>0</v>
      </c>
      <c r="E32" s="677">
        <f>SUMIFS('PL1.1 ML2027-2028'!$G:$G,'PL1.1 ML2027-2028'!$J:$J,'TH theo DV'!$E$3,'PL1.1 ML2027-2028'!$K:$K,'TH theo DV'!C32)/$D$1</f>
        <v>0</v>
      </c>
      <c r="F32" s="245">
        <f>SUMIFS('PL1.1 ML2027-2028'!$G:$G,'PL1.1 ML2027-2028'!$J:$J,'TH theo DV'!$F$3,'PL1.1 ML2027-2028'!$K:$K,'TH theo DV'!C32)/$D$1</f>
        <v>0</v>
      </c>
      <c r="G32" s="673">
        <f>SUMIFS('PL1.1 ML2027-2028'!$G:$G,'PL1.1 ML2027-2028'!$J:$J,'TH theo DV'!$G$3,'PL1.1 ML2027-2028'!$K:$K,'TH theo DV'!C32)/$D$1</f>
        <v>0</v>
      </c>
      <c r="H32" s="673">
        <f>SUMIFS('PL1.1 ML2027-2028'!$G:$G,'PL1.1 ML2027-2028'!$J:$J,'TH theo DV'!$H$3,'PL1.1 ML2027-2028'!$K:$K,'TH theo DV'!C32)/$D$1</f>
        <v>0.2321</v>
      </c>
      <c r="I32" s="677">
        <f>SUMIFS('PL1.1 ML2027-2028'!$G:$G,'PL1.1 ML2027-2028'!$J:$J,'TH theo DV'!$I$3,'PL1.1 ML2027-2028'!$K:$K,'TH theo DV'!C32)/$D$1</f>
        <v>0.91076400000000002</v>
      </c>
      <c r="J32" s="329">
        <f>SUMIFS('PL1.1 ML2027-2028'!$G:$G,'PL1.1 ML2027-2028'!$J:$J,'TH theo DV'!J$3,'PL1.1 ML2027-2028'!$K:$K,'TH theo DV'!$C32)/$D$1</f>
        <v>0</v>
      </c>
      <c r="K32" s="674">
        <f>SUM(D32:J32)</f>
        <v>1.1428640000000001</v>
      </c>
      <c r="L32" s="124">
        <f>K32/$K$4</f>
        <v>4.5331941459158066E-2</v>
      </c>
      <c r="M32" s="673">
        <f>SUMIFS('PL1.1 ML2027-2028'!$H:$H,'PL1.1 ML2027-2028'!$J:$J,'TH theo DV'!M$3,'PL1.1 ML2027-2028'!$K:$K,'TH theo DV'!$C32)/$D$1</f>
        <v>0</v>
      </c>
      <c r="N32" s="673">
        <f>SUMIFS('PL1.1 ML2027-2028'!$H:$H,'PL1.1 ML2027-2028'!$J:$J,'TH theo DV'!N$3,'PL1.1 ML2027-2028'!$K:$K,'TH theo DV'!$C32)/$D$1</f>
        <v>0</v>
      </c>
      <c r="O32" s="329">
        <f>SUMIFS('PL1.1 ML2027-2028'!$H:$H,'PL1.1 ML2027-2028'!$J:$J,'TH theo DV'!O$3,'PL1.1 ML2027-2028'!$K:$K,'TH theo DV'!$C32)/$D$1</f>
        <v>0</v>
      </c>
      <c r="P32" s="673">
        <f>SUMIFS('PL1.1 ML2027-2028'!$H:$H,'PL1.1 ML2027-2028'!$J:$J,'TH theo DV'!P$3,'PL1.1 ML2027-2028'!$K:$K,'TH theo DV'!$C32)/$D$1</f>
        <v>0</v>
      </c>
      <c r="Q32" s="673">
        <f>SUMIFS('PL1.1 ML2027-2028'!$H:$H,'PL1.1 ML2027-2028'!$J:$J,'TH theo DV'!Q$3,'PL1.1 ML2027-2028'!$K:$K,'TH theo DV'!$C32)/$D$1</f>
        <v>0.2321</v>
      </c>
      <c r="R32" s="673">
        <f>SUMIFS('PL1.1 ML2027-2028'!$H:$H,'PL1.1 ML2027-2028'!$J:$J,'TH theo DV'!R$3,'PL1.1 ML2027-2028'!$K:$K,'TH theo DV'!$C32)/$D$1</f>
        <v>1.53452001</v>
      </c>
      <c r="S32" s="673">
        <f>SUMIFS('PL1.1 ML2027-2028'!$H:$H,'PL1.1 ML2027-2028'!$J:$J,'TH theo DV'!S$3,'PL1.1 ML2027-2028'!$K:$K,'TH theo DV'!$C32)/$D$1</f>
        <v>0</v>
      </c>
      <c r="T32" s="676">
        <f t="shared" si="53"/>
        <v>1.76662001</v>
      </c>
      <c r="U32" s="683">
        <f>T32/$T$4</f>
        <v>7.1042472809771995E-2</v>
      </c>
      <c r="V32" s="122">
        <f t="shared" si="54"/>
        <v>0</v>
      </c>
      <c r="W32" s="122">
        <f t="shared" si="54"/>
        <v>0</v>
      </c>
      <c r="X32" s="122">
        <f t="shared" si="54"/>
        <v>0</v>
      </c>
      <c r="Y32" s="122">
        <f t="shared" si="54"/>
        <v>0</v>
      </c>
      <c r="Z32" s="122">
        <f t="shared" si="54"/>
        <v>0.4642</v>
      </c>
      <c r="AA32" s="122">
        <f t="shared" si="54"/>
        <v>2.44528401</v>
      </c>
      <c r="AB32" s="114">
        <f t="shared" si="56"/>
        <v>2.9094840099999999</v>
      </c>
      <c r="AC32" s="124">
        <f t="shared" si="10"/>
        <v>6.7136878117249124E-2</v>
      </c>
      <c r="AD32" s="234">
        <v>1</v>
      </c>
      <c r="AE32" s="234"/>
      <c r="AF32" s="234">
        <v>1</v>
      </c>
      <c r="AG32" s="229"/>
      <c r="AH32" s="229"/>
      <c r="AI32" s="229"/>
      <c r="AJ32" s="230"/>
      <c r="AK32" s="203"/>
    </row>
    <row r="33" spans="1:40" s="53" customFormat="1" outlineLevel="1">
      <c r="A33" s="29">
        <v>4</v>
      </c>
      <c r="B33" s="154" t="s">
        <v>212</v>
      </c>
      <c r="C33" s="29" t="s">
        <v>213</v>
      </c>
      <c r="D33" s="677">
        <f>SUMIFS('PL1.1 ML2027-2028'!$G:$G,'PL1.1 ML2027-2028'!$J:$J,'TH theo DV'!$D$3,'PL1.1 ML2027-2028'!$K:$K,'TH theo DV'!C33)/$D$1</f>
        <v>0</v>
      </c>
      <c r="E33" s="153">
        <f>SUMIFS('PL1.1 ML2027-2028'!$G:$G,'PL1.1 ML2027-2028'!$J:$J,'TH theo DV'!$E$3,'PL1.1 ML2027-2028'!$K:$K,'TH theo DV'!C33)/$D$1</f>
        <v>0</v>
      </c>
      <c r="F33" s="153">
        <f>SUMIFS('PL1.1 ML2027-2028'!$G:$G,'PL1.1 ML2027-2028'!$J:$J,'TH theo DV'!$F$3,'PL1.1 ML2027-2028'!$K:$K,'TH theo DV'!C33)/$D$1</f>
        <v>0</v>
      </c>
      <c r="G33" s="122">
        <f>SUMIFS('PL1.1 ML2027-2028'!$G:$G,'PL1.1 ML2027-2028'!$J:$J,'TH theo DV'!$G$3,'PL1.1 ML2027-2028'!$K:$K,'TH theo DV'!C33)/$D$1</f>
        <v>0</v>
      </c>
      <c r="H33" s="122">
        <f>SUMIFS('PL1.1 ML2027-2028'!$G:$G,'PL1.1 ML2027-2028'!$J:$J,'TH theo DV'!$H$3,'PL1.1 ML2027-2028'!$K:$K,'TH theo DV'!C33)/$D$1</f>
        <v>0</v>
      </c>
      <c r="I33" s="153">
        <f>SUMIFS('PL1.1 ML2027-2028'!$G:$G,'PL1.1 ML2027-2028'!$J:$J,'TH theo DV'!$I$3,'PL1.1 ML2027-2028'!$K:$K,'TH theo DV'!C33)/$D$1</f>
        <v>0</v>
      </c>
      <c r="J33" s="153">
        <f>SUMIFS('PL1.1 ML2027-2028'!$G:$G,'PL1.1 ML2027-2028'!$J:$J,'TH theo DV'!$I$3,'PL1.1 ML2027-2028'!$K:$K,'TH theo DV'!D33)/$D$1</f>
        <v>0</v>
      </c>
      <c r="K33" s="674">
        <f>SUM(D33:J33)</f>
        <v>0</v>
      </c>
      <c r="L33" s="124">
        <f>K33/$K$4</f>
        <v>0</v>
      </c>
      <c r="M33" s="122">
        <f>SUMIFS('PL1.1 ML2027-2028'!$H:$H,'PL1.1 ML2027-2028'!$J:$J,'TH theo DV'!M$3,'PL1.1 ML2027-2028'!$K:$K,'TH theo DV'!$C33)/$D$1</f>
        <v>0</v>
      </c>
      <c r="N33" s="122">
        <f>SUMIFS('PL1.1 ML2027-2028'!$H:$H,'PL1.1 ML2027-2028'!$J:$J,'TH theo DV'!N$3,'PL1.1 ML2027-2028'!$K:$K,'TH theo DV'!$C33)/$D$1</f>
        <v>0</v>
      </c>
      <c r="O33" s="122">
        <f>SUMIFS('PL1.1 ML2027-2028'!$H:$H,'PL1.1 ML2027-2028'!$J:$J,'TH theo DV'!O$3,'PL1.1 ML2027-2028'!$K:$K,'TH theo DV'!$C33)/$D$1</f>
        <v>0</v>
      </c>
      <c r="P33" s="122">
        <f>SUMIFS('PL1.1 ML2027-2028'!$H:$H,'PL1.1 ML2027-2028'!$J:$J,'TH theo DV'!P$3,'PL1.1 ML2027-2028'!$K:$K,'TH theo DV'!$C33)/$D$1</f>
        <v>0</v>
      </c>
      <c r="Q33" s="122">
        <f>SUMIFS('PL1.1 ML2027-2028'!$H:$H,'PL1.1 ML2027-2028'!$J:$J,'TH theo DV'!Q$3,'PL1.1 ML2027-2028'!$K:$K,'TH theo DV'!$C33)/$D$1</f>
        <v>0</v>
      </c>
      <c r="R33" s="122">
        <f>SUMIFS('PL1.1 ML2027-2028'!$H:$H,'PL1.1 ML2027-2028'!$J:$J,'TH theo DV'!R$3,'PL1.1 ML2027-2028'!$K:$K,'TH theo DV'!$C33)/$D$1</f>
        <v>0</v>
      </c>
      <c r="S33" s="673">
        <f>SUMIFS('PL1.1 ML2027-2028'!$H:$H,'PL1.1 ML2027-2028'!$J:$J,'TH theo DV'!S$3,'PL1.1 ML2027-2028'!$K:$K,'TH theo DV'!$C33)/$D$1</f>
        <v>0</v>
      </c>
      <c r="T33" s="676">
        <f t="shared" si="53"/>
        <v>0</v>
      </c>
      <c r="U33" s="683">
        <f>T33/$T$4</f>
        <v>0</v>
      </c>
      <c r="V33" s="122">
        <f t="shared" si="54"/>
        <v>0</v>
      </c>
      <c r="W33" s="122">
        <f t="shared" si="54"/>
        <v>0</v>
      </c>
      <c r="X33" s="122">
        <f t="shared" si="54"/>
        <v>0</v>
      </c>
      <c r="Y33" s="122">
        <f t="shared" si="54"/>
        <v>0</v>
      </c>
      <c r="Z33" s="122">
        <f t="shared" si="54"/>
        <v>0</v>
      </c>
      <c r="AA33" s="122">
        <f t="shared" si="54"/>
        <v>0</v>
      </c>
      <c r="AB33" s="114">
        <f t="shared" ref="AB33" si="57">SUM(V33:AA33)</f>
        <v>0</v>
      </c>
      <c r="AC33" s="124">
        <f t="shared" si="10"/>
        <v>0</v>
      </c>
      <c r="AD33" s="234">
        <v>0.8</v>
      </c>
      <c r="AE33" s="234"/>
      <c r="AF33" s="234">
        <v>0.2</v>
      </c>
      <c r="AG33" s="229"/>
      <c r="AH33" s="229"/>
      <c r="AI33" s="229"/>
      <c r="AJ33" s="230"/>
      <c r="AK33" s="203"/>
      <c r="AL33" s="162"/>
      <c r="AM33" s="69"/>
    </row>
    <row r="34" spans="1:40" s="53" customFormat="1">
      <c r="A34" s="169"/>
      <c r="B34" s="170"/>
      <c r="C34" s="171"/>
      <c r="D34" s="172"/>
      <c r="E34" s="173"/>
      <c r="F34" s="172"/>
      <c r="G34" s="172"/>
      <c r="H34" s="173"/>
      <c r="I34" s="172"/>
      <c r="J34" s="172"/>
      <c r="K34" s="174"/>
      <c r="L34" s="175"/>
      <c r="M34" s="172"/>
      <c r="N34" s="172"/>
      <c r="O34" s="172"/>
      <c r="P34" s="172"/>
      <c r="Q34" s="172"/>
      <c r="R34" s="172"/>
      <c r="S34" s="172"/>
      <c r="T34" s="174"/>
      <c r="U34" s="6"/>
      <c r="V34" s="6"/>
      <c r="W34" s="6"/>
      <c r="X34" s="6"/>
      <c r="Y34" s="6"/>
      <c r="Z34" s="6"/>
      <c r="AA34" s="6"/>
      <c r="AB34" s="6"/>
      <c r="AC34" s="6"/>
      <c r="AD34" s="6"/>
      <c r="AE34" s="6"/>
      <c r="AF34" s="6"/>
      <c r="AG34" s="6"/>
      <c r="AH34" s="6"/>
      <c r="AI34" s="6"/>
      <c r="AJ34" s="6"/>
      <c r="AK34" s="6"/>
      <c r="AL34" s="6"/>
      <c r="AM34" s="6"/>
      <c r="AN34" s="6"/>
    </row>
  </sheetData>
  <mergeCells count="5">
    <mergeCell ref="AF1:AG1"/>
    <mergeCell ref="AD2:AJ2"/>
    <mergeCell ref="M2:U2"/>
    <mergeCell ref="D2:L2"/>
    <mergeCell ref="V2:AC2"/>
  </mergeCells>
  <pageMargins left="0.7" right="0.7" top="0.75" bottom="0.75" header="0.3" footer="0.3"/>
  <pageSetup paperSize="9" orientation="portrait" verticalDpi="300" r:id="rId1"/>
  <extLst>
    <ext xmlns:x14="http://schemas.microsoft.com/office/spreadsheetml/2009/9/main" uri="{CCE6A557-97BC-4b89-ADB6-D9C93CAAB3DF}">
      <x14:dataValidations xmlns:xm="http://schemas.microsoft.com/office/excel/2006/main" count="3">
        <x14:dataValidation type="list" allowBlank="1" showInputMessage="1" showErrorMessage="1">
          <x14:formula1>
            <xm:f>Mã!$C$4:$C$26</xm:f>
          </x14:formula1>
          <xm:sqref>C6</xm:sqref>
        </x14:dataValidation>
        <x14:dataValidation type="list" allowBlank="1" showInputMessage="1" showErrorMessage="1">
          <x14:formula1>
            <xm:f>Mã!$C$4:$C$30</xm:f>
          </x14:formula1>
          <xm:sqref>C7:C26 C29:C34</xm:sqref>
        </x14:dataValidation>
        <x14:dataValidation type="list" allowBlank="1" showInputMessage="1" showErrorMessage="1">
          <x14:formula1>
            <xm:f>Mã!$C$4:$C$33</xm:f>
          </x14:formula1>
          <xm:sqref>C27:C28</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tabColor rgb="FFEE0033"/>
    <outlinePr summaryBelow="0" summaryRight="0"/>
    <pageSetUpPr fitToPage="1"/>
  </sheetPr>
  <dimension ref="A1:N60"/>
  <sheetViews>
    <sheetView zoomScale="90" zoomScaleNormal="90" workbookViewId="0">
      <pane xSplit="4" ySplit="4" topLeftCell="E43" activePane="bottomRight" state="frozen"/>
      <selection activeCell="N27" sqref="N27"/>
      <selection pane="topRight" activeCell="N27" sqref="N27"/>
      <selection pane="bottomLeft" activeCell="N27" sqref="N27"/>
      <selection pane="bottomRight" activeCell="D43" sqref="D43"/>
    </sheetView>
  </sheetViews>
  <sheetFormatPr defaultColWidth="9.26953125" defaultRowHeight="13" outlineLevelRow="2"/>
  <cols>
    <col min="1" max="1" width="3.26953125" style="8" bestFit="1" customWidth="1"/>
    <col min="2" max="2" width="24.7265625" style="219" customWidth="1"/>
    <col min="3" max="3" width="9.26953125" style="57" customWidth="1"/>
    <col min="4" max="4" width="57" style="6" customWidth="1"/>
    <col min="5" max="5" width="7.26953125" style="6" customWidth="1"/>
    <col min="6" max="6" width="7.453125" style="17" customWidth="1"/>
    <col min="7" max="7" width="53.54296875" style="6" customWidth="1"/>
    <col min="8" max="8" width="7.26953125" style="6" customWidth="1"/>
    <col min="9" max="9" width="10.7265625" style="57" customWidth="1"/>
    <col min="10" max="10" width="9.1796875" style="57" customWidth="1"/>
    <col min="11" max="12" width="9.26953125" style="8" customWidth="1"/>
    <col min="13" max="14" width="9.26953125" style="6" customWidth="1"/>
    <col min="15" max="15" width="8.54296875" style="6" customWidth="1"/>
    <col min="16" max="16384" width="9.26953125" style="6"/>
  </cols>
  <sheetData>
    <row r="1" spans="1:14" ht="17.5">
      <c r="A1" s="754" t="s">
        <v>418</v>
      </c>
      <c r="B1" s="755"/>
      <c r="C1" s="755"/>
      <c r="D1" s="755"/>
      <c r="E1" s="755"/>
      <c r="F1" s="755"/>
      <c r="G1" s="755"/>
      <c r="H1" s="755"/>
      <c r="I1" s="755"/>
      <c r="J1" s="755"/>
    </row>
    <row r="2" spans="1:14">
      <c r="C2" s="115"/>
      <c r="F2" s="140"/>
      <c r="I2" s="115"/>
      <c r="J2" s="115"/>
    </row>
    <row r="3" spans="1:14" s="7" customFormat="1">
      <c r="A3" s="757" t="s">
        <v>0</v>
      </c>
      <c r="B3" s="756" t="s">
        <v>77</v>
      </c>
      <c r="C3" s="757">
        <v>2027</v>
      </c>
      <c r="D3" s="757"/>
      <c r="E3" s="757"/>
      <c r="F3" s="758">
        <v>2028</v>
      </c>
      <c r="G3" s="758"/>
      <c r="H3" s="758"/>
      <c r="I3" s="759" t="s">
        <v>417</v>
      </c>
      <c r="J3" s="756" t="s">
        <v>173</v>
      </c>
      <c r="K3" s="16"/>
      <c r="L3" s="16"/>
    </row>
    <row r="4" spans="1:14" ht="39">
      <c r="A4" s="757"/>
      <c r="B4" s="756"/>
      <c r="C4" s="112" t="s">
        <v>415</v>
      </c>
      <c r="D4" s="218" t="s">
        <v>174</v>
      </c>
      <c r="E4" s="218" t="s">
        <v>173</v>
      </c>
      <c r="F4" s="227" t="s">
        <v>415</v>
      </c>
      <c r="G4" s="64" t="s">
        <v>174</v>
      </c>
      <c r="H4" s="64" t="s">
        <v>173</v>
      </c>
      <c r="I4" s="759"/>
      <c r="J4" s="756"/>
      <c r="M4" s="69">
        <f>C5</f>
        <v>21.797522952369519</v>
      </c>
    </row>
    <row r="5" spans="1:14">
      <c r="A5" s="21"/>
      <c r="B5" s="24" t="s">
        <v>78</v>
      </c>
      <c r="C5" s="44">
        <f>SUBTOTAL(9,C6:C60)</f>
        <v>21.797522952369519</v>
      </c>
      <c r="D5" s="22"/>
      <c r="E5" s="25">
        <f>C5/I5</f>
        <v>0.61082428992118987</v>
      </c>
      <c r="F5" s="71">
        <f>SUBTOTAL(9,F7:F60)</f>
        <v>13.887899700324743</v>
      </c>
      <c r="G5" s="22"/>
      <c r="H5" s="25">
        <f>F5/I5</f>
        <v>0.38917571007881002</v>
      </c>
      <c r="I5" s="44">
        <f>SUBTOTAL(9,I6:I60)</f>
        <v>35.685422652694264</v>
      </c>
      <c r="J5" s="44"/>
    </row>
    <row r="6" spans="1:14" ht="26">
      <c r="A6" s="113" t="s">
        <v>13</v>
      </c>
      <c r="B6" s="58" t="s">
        <v>248</v>
      </c>
      <c r="C6" s="80">
        <f>SUBTOTAL(9,C7:C14)</f>
        <v>0.16042599999999999</v>
      </c>
      <c r="D6" s="190"/>
      <c r="E6" s="59">
        <f>C6/$C$5</f>
        <v>7.3598270936817952E-3</v>
      </c>
      <c r="F6" s="80">
        <f>SUBTOTAL(9,F7:F13)</f>
        <v>3.1064000000000001E-2</v>
      </c>
      <c r="G6" s="79"/>
      <c r="H6" s="59">
        <f>F6/$F$5</f>
        <v>2.2367673060940687E-3</v>
      </c>
      <c r="I6" s="80">
        <f>SUBTOTAL(9,I7:I14)</f>
        <v>0.19148999999999999</v>
      </c>
      <c r="J6" s="59">
        <f>I6/$I$5</f>
        <v>5.3660566630711441E-3</v>
      </c>
    </row>
    <row r="7" spans="1:14" s="72" customFormat="1" outlineLevel="1">
      <c r="A7" s="54" t="s">
        <v>4</v>
      </c>
      <c r="B7" s="11" t="s">
        <v>113</v>
      </c>
      <c r="C7" s="3">
        <f>SUBTOTAL(9,C8:C11)</f>
        <v>3.5299999999999998E-2</v>
      </c>
      <c r="D7" s="191"/>
      <c r="E7" s="116">
        <f>C7/$C$5</f>
        <v>1.6194500667408487E-3</v>
      </c>
      <c r="F7" s="10">
        <f>SUBTOTAL(9,F8:F11)</f>
        <v>3.1064000000000001E-2</v>
      </c>
      <c r="G7" s="198">
        <v>0</v>
      </c>
      <c r="H7" s="116">
        <f>F7/$F$5</f>
        <v>2.2367673060940687E-3</v>
      </c>
      <c r="I7" s="3">
        <f>SUBTOTAL(9,I8:I11)</f>
        <v>6.6364000000000006E-2</v>
      </c>
      <c r="J7" s="116">
        <f>I7/$I$5</f>
        <v>1.859694941710029E-3</v>
      </c>
      <c r="K7" s="225"/>
      <c r="L7" s="56"/>
      <c r="N7" s="84">
        <f>'PL1.3 Buc tranh sau QH'!D6-'PL1.2 TH theo mục đích'!C7</f>
        <v>3.1064000000000008E-2</v>
      </c>
    </row>
    <row r="8" spans="1:14" s="298" customFormat="1" ht="26" outlineLevel="2">
      <c r="A8" s="131">
        <v>1</v>
      </c>
      <c r="B8" s="291" t="s">
        <v>73</v>
      </c>
      <c r="C8" s="235">
        <f>SUMIFS('PL1.1 ML2027-2028'!$G:$G,'PL1.1 ML2027-2028'!$J:$J,L8,'PL1.1 ML2027-2028'!$K:$K,'PL1.2 TH theo mục đích'!K8)/10^6</f>
        <v>0</v>
      </c>
      <c r="D8" s="293" t="s">
        <v>649</v>
      </c>
      <c r="E8" s="296"/>
      <c r="F8" s="235">
        <f>SUMIFS('PL1.1 ML2027-2028'!$H:$H,'PL1.1 ML2027-2028'!$J:$J,"VT",'PL1.1 ML2027-2028'!$K:$K,"5G",'PL1.1 ML2027-2028'!$L:$L,"VTTB")/10^6+SUMIFS('PL1.1 ML2027-2028'!$H:$H,'PL1.1 ML2027-2028'!$J:$J,"VT",'PL1.1 ML2027-2028'!$K:$K,"5G",'PL1.1 ML2027-2028'!$L:$L,"TK")/10^6</f>
        <v>0</v>
      </c>
      <c r="G8" s="293" t="s">
        <v>650</v>
      </c>
      <c r="H8" s="296"/>
      <c r="I8" s="235">
        <f>C8+F8</f>
        <v>0</v>
      </c>
      <c r="J8" s="296">
        <f t="shared" ref="J8:J12" si="0">I8/$I$5</f>
        <v>0</v>
      </c>
      <c r="K8" s="297" t="s">
        <v>93</v>
      </c>
      <c r="L8" s="297" t="s">
        <v>7</v>
      </c>
    </row>
    <row r="9" spans="1:14" s="256" customFormat="1" outlineLevel="2">
      <c r="A9" s="257">
        <v>2</v>
      </c>
      <c r="B9" s="258" t="s">
        <v>72</v>
      </c>
      <c r="C9" s="251">
        <f>SUMIFS('PL1.1 ML2027-2028'!$G:$G,'PL1.1 ML2027-2028'!$J:$J,L9,'PL1.1 ML2027-2028'!$K:$K,K9)/10^6</f>
        <v>0</v>
      </c>
      <c r="D9" s="252"/>
      <c r="E9" s="254">
        <f t="shared" ref="E9:E14" si="1">C9/$C$5</f>
        <v>0</v>
      </c>
      <c r="F9" s="253">
        <f>SUMIFS('PL1.1 ML2027-2028'!$H:$H,'PL1.1 ML2027-2028'!$J:$J,"ML",'PL1.1 ML2027-2028'!$K:$K,"5G",'PL1.1 ML2027-2028'!$L:$L,"VTTB")/10^6+SUMIFS('PL1.1 ML2027-2028'!$H:$H,'PL1.1 ML2027-2028'!$J:$J,"ML",'PL1.1 ML2027-2028'!$K:$K,"5G",'PL1.1 ML2027-2028'!$L:$L,"TK")/10^6</f>
        <v>0</v>
      </c>
      <c r="G9" s="252"/>
      <c r="H9" s="254"/>
      <c r="I9" s="253">
        <f t="shared" ref="I9:I14" si="2">C9+F9</f>
        <v>0</v>
      </c>
      <c r="J9" s="254">
        <f t="shared" si="0"/>
        <v>0</v>
      </c>
      <c r="K9" s="255" t="s">
        <v>93</v>
      </c>
      <c r="L9" s="255" t="s">
        <v>18</v>
      </c>
    </row>
    <row r="10" spans="1:14" s="53" customFormat="1" ht="39" outlineLevel="2">
      <c r="A10" s="1">
        <v>3</v>
      </c>
      <c r="B10" s="55" t="s">
        <v>74</v>
      </c>
      <c r="C10" s="10">
        <f>'TH theo DV'!H7</f>
        <v>3.5299999999999998E-2</v>
      </c>
      <c r="D10" s="187" t="s">
        <v>1007</v>
      </c>
      <c r="E10" s="51">
        <f t="shared" si="1"/>
        <v>1.6194500667408487E-3</v>
      </c>
      <c r="F10" s="10">
        <f>SUMIFS('PL1.1 ML2027-2028'!$H:$H,'PL1.1 ML2027-2028'!$J:$J,"TD",'PL1.1 ML2027-2028'!$K:$K,"5G",'PL1.1 ML2027-2028'!$L:$L,"VTTB")/10^6+SUMIFS('PL1.1 ML2027-2028'!$H:$H,'PL1.1 ML2027-2028'!$J:$J,"TD",'PL1.1 ML2027-2028'!$K:$K,"5G",'PL1.1 ML2027-2028'!$L:$L,"TK")/10^6</f>
        <v>3.1064000000000001E-2</v>
      </c>
      <c r="G10" s="198">
        <v>0</v>
      </c>
      <c r="H10" s="51"/>
      <c r="I10" s="10">
        <f t="shared" si="2"/>
        <v>6.6364000000000006E-2</v>
      </c>
      <c r="J10" s="51">
        <f t="shared" si="0"/>
        <v>1.859694941710029E-3</v>
      </c>
      <c r="K10" s="73" t="s">
        <v>93</v>
      </c>
      <c r="L10" s="73" t="s">
        <v>21</v>
      </c>
    </row>
    <row r="11" spans="1:14" s="53" customFormat="1" ht="39" outlineLevel="2">
      <c r="A11" s="1">
        <v>4</v>
      </c>
      <c r="B11" s="55" t="s">
        <v>75</v>
      </c>
      <c r="C11" s="10">
        <f>'TH theo DV'!I7</f>
        <v>0</v>
      </c>
      <c r="D11" s="99" t="s">
        <v>416</v>
      </c>
      <c r="E11" s="51">
        <f t="shared" si="1"/>
        <v>0</v>
      </c>
      <c r="F11" s="10">
        <f>SUMIFS('PL1.1 ML2027-2028'!$H:$H,'PL1.1 ML2027-2028'!$J:$J,"CĐ",'PL1.1 ML2027-2028'!$K:$K,"5G",'PL1.1 ML2027-2028'!$L:$L,"VTTB")/10^6+SUMIFS('PL1.1 ML2027-2028'!$H:$H,'PL1.1 ML2027-2028'!$J:$J,"CĐ",'PL1.1 ML2027-2028'!$K:$K,"5G",'PL1.1 ML2027-2028'!$L:$L,"TK")/10^6</f>
        <v>0</v>
      </c>
      <c r="G11" s="198">
        <v>0</v>
      </c>
      <c r="H11" s="51"/>
      <c r="I11" s="10">
        <f t="shared" si="2"/>
        <v>0</v>
      </c>
      <c r="J11" s="51">
        <f t="shared" si="0"/>
        <v>0</v>
      </c>
      <c r="K11" s="73" t="s">
        <v>93</v>
      </c>
      <c r="L11" s="73" t="s">
        <v>6</v>
      </c>
    </row>
    <row r="12" spans="1:14" s="72" customFormat="1" outlineLevel="2">
      <c r="A12" s="54" t="s">
        <v>12</v>
      </c>
      <c r="B12" s="215" t="s">
        <v>249</v>
      </c>
      <c r="C12" s="3">
        <f>SUMIFS('PL1.1 ML2027-2028'!$G:$G,'PL1.1 ML2027-2028'!$K:$K,'PL1.2 TH theo mục đích'!K12)/10^6</f>
        <v>0</v>
      </c>
      <c r="D12" s="130" t="s">
        <v>390</v>
      </c>
      <c r="E12" s="116">
        <f t="shared" si="1"/>
        <v>0</v>
      </c>
      <c r="F12" s="3">
        <f>'TH theo DV'!T8</f>
        <v>0</v>
      </c>
      <c r="G12" s="216">
        <v>0</v>
      </c>
      <c r="H12" s="116"/>
      <c r="I12" s="3">
        <f t="shared" si="2"/>
        <v>0</v>
      </c>
      <c r="J12" s="51">
        <f t="shared" si="0"/>
        <v>0</v>
      </c>
      <c r="K12" s="73" t="s">
        <v>249</v>
      </c>
      <c r="L12" s="73" t="s">
        <v>29</v>
      </c>
    </row>
    <row r="13" spans="1:14" s="241" customFormat="1" ht="26" outlineLevel="2">
      <c r="A13" s="283" t="s">
        <v>19</v>
      </c>
      <c r="B13" s="284" t="s">
        <v>250</v>
      </c>
      <c r="C13" s="246">
        <f>SUMIFS('PL1.1 ML2027-2028'!$G:$G,'PL1.1 ML2027-2028'!$J:$J,L13,'PL1.1 ML2027-2028'!$K:$K,K13)/10^6</f>
        <v>0.12512599999999999</v>
      </c>
      <c r="D13" s="334" t="s">
        <v>1012</v>
      </c>
      <c r="E13" s="285">
        <f t="shared" si="1"/>
        <v>5.7403770269409465E-3</v>
      </c>
      <c r="F13" s="127">
        <f>'TH theo DV'!T9</f>
        <v>0</v>
      </c>
      <c r="G13" s="334" t="s">
        <v>1013</v>
      </c>
      <c r="H13" s="248"/>
      <c r="I13" s="127">
        <f t="shared" si="2"/>
        <v>0.12512599999999999</v>
      </c>
      <c r="J13" s="248">
        <f>I13/$I$5</f>
        <v>3.5063617213611149E-3</v>
      </c>
      <c r="K13" s="249" t="s">
        <v>250</v>
      </c>
      <c r="L13" s="249" t="s">
        <v>38</v>
      </c>
    </row>
    <row r="14" spans="1:14" s="53" customFormat="1" outlineLevel="2">
      <c r="A14" s="54" t="s">
        <v>26</v>
      </c>
      <c r="B14" s="215" t="s">
        <v>221</v>
      </c>
      <c r="C14" s="3">
        <f>SUMIFS('PL1.1 ML2027-2028'!$G:$G,'PL1.1 ML2027-2028'!$K:$K,'PL1.2 TH theo mục đích'!K14)/10^6</f>
        <v>0</v>
      </c>
      <c r="D14" s="184" t="s">
        <v>391</v>
      </c>
      <c r="E14" s="116">
        <f t="shared" si="1"/>
        <v>0</v>
      </c>
      <c r="F14" s="10">
        <f>'TH theo DV'!T10</f>
        <v>0</v>
      </c>
      <c r="G14" s="198">
        <v>0</v>
      </c>
      <c r="H14" s="51"/>
      <c r="I14" s="10">
        <f t="shared" si="2"/>
        <v>0</v>
      </c>
      <c r="J14" s="51">
        <f>I14/$I$5</f>
        <v>0</v>
      </c>
      <c r="K14" s="73" t="s">
        <v>251</v>
      </c>
      <c r="L14" s="73" t="s">
        <v>18</v>
      </c>
    </row>
    <row r="15" spans="1:14" ht="26">
      <c r="A15" s="60" t="s">
        <v>42</v>
      </c>
      <c r="B15" s="222" t="s">
        <v>252</v>
      </c>
      <c r="C15" s="121">
        <f>SUBTOTAL(9,C16:C37)</f>
        <v>17.607705932369516</v>
      </c>
      <c r="D15" s="192"/>
      <c r="E15" s="50">
        <f>C15/$C$5</f>
        <v>0.80778471805464735</v>
      </c>
      <c r="F15" s="121">
        <f>SUBTOTAL(9,F16:F37)</f>
        <v>9.7895545903247427</v>
      </c>
      <c r="G15" s="199"/>
      <c r="H15" s="50">
        <f>F15/$F$5</f>
        <v>0.70489813445987315</v>
      </c>
      <c r="I15" s="121">
        <f>SUBTOTAL(9,I16:I37)</f>
        <v>27.39726052269426</v>
      </c>
      <c r="J15" s="50">
        <f>I15/$I$5</f>
        <v>0.7677437588265682</v>
      </c>
      <c r="L15" s="226"/>
      <c r="N15" s="19">
        <f>'PL1.3 Buc tranh sau QH'!D10-'PL1.2 TH theo mục đích'!C15</f>
        <v>16.931647606724741</v>
      </c>
    </row>
    <row r="16" spans="1:14" s="72" customFormat="1" outlineLevel="1">
      <c r="A16" s="54" t="s">
        <v>4</v>
      </c>
      <c r="B16" s="11" t="s">
        <v>73</v>
      </c>
      <c r="C16" s="3">
        <f>SUBTOTAL(9,C17:C19)</f>
        <v>6.1685237016552295</v>
      </c>
      <c r="D16" s="191"/>
      <c r="E16" s="116">
        <f>C16/C5</f>
        <v>0.28299195808323141</v>
      </c>
      <c r="F16" s="10">
        <f>SUBTOTAL(9,F17:F19)</f>
        <v>6.2622168190324334</v>
      </c>
      <c r="G16" s="198">
        <v>0</v>
      </c>
      <c r="H16" s="116">
        <f>F16/F5</f>
        <v>0.45091172561434922</v>
      </c>
      <c r="I16" s="10">
        <f>SUBTOTAL(9,I17:I19)</f>
        <v>12.430740520687664</v>
      </c>
      <c r="J16" s="116">
        <f>I16/$I$5</f>
        <v>0.34834225284842291</v>
      </c>
      <c r="K16" s="56"/>
      <c r="L16" s="56"/>
      <c r="N16" s="84">
        <f>C16-'PL1.3 Buc tranh sau QH'!D11</f>
        <v>-15.833702508867599</v>
      </c>
    </row>
    <row r="17" spans="1:14" s="298" customFormat="1" outlineLevel="2">
      <c r="A17" s="131">
        <v>1</v>
      </c>
      <c r="B17" s="291" t="s">
        <v>79</v>
      </c>
      <c r="C17" s="235">
        <f>SUMIFS('PL1.1 ML2027-2028'!$G:$G,'PL1.1 ML2027-2028'!$J:$J,"VT",'PL1.1 ML2027-2028'!$K:$K,"VPDĐ",'PL1.1 ML2027-2028'!$L:$L,"VTTB")/10^6</f>
        <v>1.1282283516552296</v>
      </c>
      <c r="D17" s="293" t="s">
        <v>643</v>
      </c>
      <c r="E17" s="296">
        <f t="shared" ref="E17:E19" si="3">C17/$C$5</f>
        <v>5.1759475336741627E-2</v>
      </c>
      <c r="F17" s="235">
        <f>SUMIFS('PL1.1 ML2027-2028'!$H:$H,'PL1.1 ML2027-2028'!$J:$J,"VT",'PL1.1 ML2027-2028'!$K:$K,"VPDĐ",'PL1.1 ML2027-2028'!$L:$L,"VTTB")/10^6</f>
        <v>0.65373302703832492</v>
      </c>
      <c r="G17" s="295" t="s">
        <v>644</v>
      </c>
      <c r="H17" s="296"/>
      <c r="I17" s="235">
        <f>C17+F17</f>
        <v>1.7819613786935546</v>
      </c>
      <c r="J17" s="296">
        <f>I17/$I$5</f>
        <v>4.9935274580782243E-2</v>
      </c>
      <c r="K17" s="297" t="s">
        <v>7</v>
      </c>
      <c r="L17" s="297" t="s">
        <v>7</v>
      </c>
    </row>
    <row r="18" spans="1:14" s="53" customFormat="1" outlineLevel="2">
      <c r="A18" s="1">
        <v>2</v>
      </c>
      <c r="B18" s="55" t="s">
        <v>80</v>
      </c>
      <c r="C18" s="10">
        <f>SUMIFS('PL1.1 ML2027-2028'!$G:$G,'PL1.1 ML2027-2028'!$J:$J,"VT",'PL1.1 ML2027-2028'!$K:$K,"VPDĐ",'PL1.1 ML2027-2028'!$L:$L,"TK")/10^6</f>
        <v>0</v>
      </c>
      <c r="D18" s="99" t="s">
        <v>367</v>
      </c>
      <c r="E18" s="51">
        <f t="shared" si="3"/>
        <v>0</v>
      </c>
      <c r="F18" s="10">
        <f>SUMIFS('PL1.1 ML2027-2028'!$H:$H,'PL1.1 ML2027-2028'!$J:$J,"VT",'PL1.1 ML2027-2028'!$K:$K,"VPDĐ",'PL1.1 ML2027-2028'!$L:$L,"TK")/10^6</f>
        <v>0</v>
      </c>
      <c r="G18" s="198">
        <v>0</v>
      </c>
      <c r="H18" s="51"/>
      <c r="I18" s="10">
        <f>C18+F18</f>
        <v>0</v>
      </c>
      <c r="J18" s="51">
        <f t="shared" ref="J18:J19" si="4">I18/$I$5</f>
        <v>0</v>
      </c>
      <c r="K18" s="73" t="s">
        <v>7</v>
      </c>
      <c r="L18" s="73" t="s">
        <v>7</v>
      </c>
    </row>
    <row r="19" spans="1:14" s="298" customFormat="1" ht="114.5" customHeight="1" outlineLevel="2">
      <c r="A19" s="131">
        <v>3</v>
      </c>
      <c r="B19" s="291" t="s">
        <v>81</v>
      </c>
      <c r="C19" s="235">
        <f>SUMIFS('PL1.1 ML2027-2028'!$G:$G,'PL1.1 ML2027-2028'!$J:$J,"VT",'PL1.1 ML2027-2028'!$K:$K,"DLDĐ",'PL1.1 ML2027-2028'!$L:$L,"VTTB")/10^6
+ SUMIFS('PL1.1 ML2027-2028'!$G:$G,'PL1.1 ML2027-2028'!$J:$J,"VT",'PL1.1 ML2027-2028'!$K:$K,"DLDĐ",'PL1.1 ML2027-2028'!$L:$L,"TK")/10^6</f>
        <v>5.0402953500000001</v>
      </c>
      <c r="D19" s="293" t="s">
        <v>645</v>
      </c>
      <c r="E19" s="296">
        <f t="shared" si="3"/>
        <v>0.2312324827464898</v>
      </c>
      <c r="F19" s="235">
        <f>SUMIFS('PL1.1 ML2027-2028'!$H:$H,'PL1.1 ML2027-2028'!$J:$J,"VT",'PL1.1 ML2027-2028'!$K:$K,"DLDĐ",'PL1.1 ML2027-2028'!$L:$L,"VTTB")/10^6
+ SUMIFS('PL1.1 ML2027-2028'!$H:$H,'PL1.1 ML2027-2028'!$J:$J,"VT",'PL1.1 ML2027-2028'!$K:$K,"DLDĐ",'PL1.1 ML2027-2028'!$L:$L,"TK")/10^6</f>
        <v>5.6084837919941082</v>
      </c>
      <c r="G19" s="293" t="s">
        <v>646</v>
      </c>
      <c r="H19" s="296"/>
      <c r="I19" s="235">
        <f>C19+F19</f>
        <v>10.648779141994108</v>
      </c>
      <c r="J19" s="296">
        <f t="shared" si="4"/>
        <v>0.29840697826764062</v>
      </c>
      <c r="K19" s="297" t="s">
        <v>7</v>
      </c>
      <c r="L19" s="297" t="s">
        <v>7</v>
      </c>
    </row>
    <row r="20" spans="1:14" s="53" customFormat="1" outlineLevel="1">
      <c r="A20" s="54" t="s">
        <v>19</v>
      </c>
      <c r="B20" s="11" t="s">
        <v>72</v>
      </c>
      <c r="C20" s="238">
        <f>SUBTOTAL(9,C21:C21)</f>
        <v>3.5683678571428574</v>
      </c>
      <c r="D20" s="193"/>
      <c r="E20" s="116">
        <f>C20/C5</f>
        <v>0.16370520012481302</v>
      </c>
      <c r="F20" s="237">
        <f>SUBTOTAL(9,F21:F21)</f>
        <v>0.29189999999999999</v>
      </c>
      <c r="G20" s="198">
        <v>0</v>
      </c>
      <c r="H20" s="116">
        <f>F20/F5</f>
        <v>2.101829695624706E-2</v>
      </c>
      <c r="I20" s="3">
        <f>SUBTOTAL(9,I21:I21)</f>
        <v>3.8602678571428575</v>
      </c>
      <c r="J20" s="116">
        <f>I20/$I$5</f>
        <v>0.10817492326523995</v>
      </c>
      <c r="K20" s="202"/>
      <c r="L20" s="202"/>
      <c r="N20" s="117">
        <f>C20-'PL1.3 Buc tranh sau QH'!D14</f>
        <v>1.5516132571428574</v>
      </c>
    </row>
    <row r="21" spans="1:14" s="256" customFormat="1" ht="78" outlineLevel="2">
      <c r="A21" s="257">
        <v>1</v>
      </c>
      <c r="B21" s="258" t="s">
        <v>82</v>
      </c>
      <c r="C21" s="287">
        <f>SUMIFS('PL1.1 ML2027-2028'!$G:$G,'PL1.1 ML2027-2028'!$J:$J,"ML",'PL1.1 ML2027-2028'!$K:$K,"DLDĐ")/10^6</f>
        <v>3.5683678571428574</v>
      </c>
      <c r="D21" s="259" t="s">
        <v>551</v>
      </c>
      <c r="E21" s="288"/>
      <c r="F21" s="251">
        <f>SUMIFS('PL1.1 ML2027-2028'!$H:$H,'PL1.1 ML2027-2028'!$J:$J,"ML",'PL1.1 ML2027-2028'!$K:$K,"DLDĐ")/10^6</f>
        <v>0.29189999999999999</v>
      </c>
      <c r="G21" s="259" t="s">
        <v>552</v>
      </c>
      <c r="H21" s="254"/>
      <c r="I21" s="253">
        <f t="shared" ref="I21:I37" si="5">C21+F21</f>
        <v>3.8602678571428575</v>
      </c>
      <c r="J21" s="254">
        <f>I21/$I$5</f>
        <v>0.10817492326523995</v>
      </c>
      <c r="K21" s="255" t="s">
        <v>128</v>
      </c>
      <c r="L21" s="255" t="s">
        <v>18</v>
      </c>
    </row>
    <row r="22" spans="1:14" s="72" customFormat="1" outlineLevel="1">
      <c r="A22" s="54" t="s">
        <v>26</v>
      </c>
      <c r="B22" s="11" t="s">
        <v>83</v>
      </c>
      <c r="C22" s="3">
        <f>SUBTOTAL(9,C23:C27)</f>
        <v>0.24886575999999999</v>
      </c>
      <c r="D22" s="194"/>
      <c r="E22" s="118">
        <f>C22/C5</f>
        <v>1.1417157836870029E-2</v>
      </c>
      <c r="F22" s="3">
        <f>SUBTOTAL(9,F23:F27)</f>
        <v>0.15776484000000002</v>
      </c>
      <c r="G22" s="198">
        <v>0</v>
      </c>
      <c r="H22" s="116">
        <f>F22/F5</f>
        <v>1.1359877548389191E-2</v>
      </c>
      <c r="I22" s="3">
        <f>SUBTOTAL(9,I23:I27)</f>
        <v>0.40663060000000001</v>
      </c>
      <c r="J22" s="116">
        <f>I22/$I$5</f>
        <v>1.139486573992698E-2</v>
      </c>
      <c r="K22" s="56"/>
      <c r="L22" s="56"/>
      <c r="N22" s="84">
        <f>C22-'PL1.3 Buc tranh sau QH'!D15</f>
        <v>0.24886575999999999</v>
      </c>
    </row>
    <row r="23" spans="1:14" s="53" customFormat="1" ht="26" outlineLevel="2">
      <c r="A23" s="1">
        <v>1</v>
      </c>
      <c r="B23" s="55" t="s">
        <v>136</v>
      </c>
      <c r="C23" s="10">
        <f>('PL1.1 ML2027-2028'!G270+'PL1.1 ML2027-2028'!G2360)/10^6</f>
        <v>0</v>
      </c>
      <c r="D23" s="99"/>
      <c r="E23" s="119"/>
      <c r="F23" s="10">
        <f>('PL1.1 ML2027-2028'!H270+'PL1.1 ML2027-2028'!H2360)/10^6</f>
        <v>0</v>
      </c>
      <c r="G23" s="200"/>
      <c r="H23" s="51"/>
      <c r="I23" s="10">
        <f t="shared" si="5"/>
        <v>0</v>
      </c>
      <c r="J23" s="51">
        <f t="shared" ref="J23:J27" si="6">I23/$I$5</f>
        <v>0</v>
      </c>
      <c r="K23" s="73" t="s">
        <v>29</v>
      </c>
      <c r="L23" s="73" t="s">
        <v>29</v>
      </c>
    </row>
    <row r="24" spans="1:14" s="53" customFormat="1" ht="26" outlineLevel="2">
      <c r="A24" s="1">
        <v>2</v>
      </c>
      <c r="B24" s="55" t="s">
        <v>137</v>
      </c>
      <c r="C24" s="10">
        <f>('PL1.1 ML2027-2028'!G271+'PL1.1 ML2027-2028'!G2361)/10^6</f>
        <v>0</v>
      </c>
      <c r="D24" s="99"/>
      <c r="E24" s="51"/>
      <c r="F24" s="10"/>
      <c r="G24" s="198">
        <v>0</v>
      </c>
      <c r="H24" s="51"/>
      <c r="I24" s="10">
        <f t="shared" si="5"/>
        <v>0</v>
      </c>
      <c r="J24" s="51">
        <f t="shared" si="6"/>
        <v>0</v>
      </c>
      <c r="K24" s="73" t="s">
        <v>29</v>
      </c>
      <c r="L24" s="73" t="s">
        <v>29</v>
      </c>
    </row>
    <row r="25" spans="1:14" s="53" customFormat="1" ht="26" outlineLevel="2">
      <c r="A25" s="1">
        <v>3</v>
      </c>
      <c r="B25" s="243" t="s">
        <v>579</v>
      </c>
      <c r="C25" s="237">
        <f>SUMIFS('PL1.1 ML2027-2028'!$G:$G,'PL1.1 ML2027-2028'!$J:$J,$K25,'PL1.1 ML2027-2028'!$K:$K,"KT")/10^6</f>
        <v>0.24886575999999999</v>
      </c>
      <c r="D25" s="244"/>
      <c r="E25" s="51"/>
      <c r="F25" s="237">
        <f>SUMIFS('PL1.1 ML2027-2028'!$H:$H,'PL1.1 ML2027-2028'!$J:$J,K25,'PL1.1 ML2027-2028'!$K:$K,"KT")/10^6</f>
        <v>0.15776484000000002</v>
      </c>
      <c r="G25" s="244"/>
      <c r="H25" s="51"/>
      <c r="I25" s="10">
        <f t="shared" ref="I25" si="7">C25+F25</f>
        <v>0.40663060000000001</v>
      </c>
      <c r="J25" s="51">
        <f t="shared" ref="J25" si="8">I25/$I$5</f>
        <v>1.139486573992698E-2</v>
      </c>
      <c r="K25" s="73" t="s">
        <v>29</v>
      </c>
      <c r="L25" s="73" t="s">
        <v>29</v>
      </c>
    </row>
    <row r="26" spans="1:14" s="53" customFormat="1" outlineLevel="2">
      <c r="A26" s="1">
        <v>4</v>
      </c>
      <c r="B26" s="55" t="s">
        <v>138</v>
      </c>
      <c r="C26" s="10">
        <f>SUMIFS('PL1.1 ML2027-2028'!$G:$G,'PL1.1 ML2027-2028'!$J:$J,K26,'PL1.1 ML2027-2028'!$K:$K,"DLGPON")/10^6</f>
        <v>0</v>
      </c>
      <c r="D26" s="196"/>
      <c r="E26" s="51"/>
      <c r="F26" s="10"/>
      <c r="G26" s="198">
        <v>0</v>
      </c>
      <c r="H26" s="51"/>
      <c r="I26" s="10">
        <f t="shared" si="5"/>
        <v>0</v>
      </c>
      <c r="J26" s="51">
        <f t="shared" si="6"/>
        <v>0</v>
      </c>
      <c r="K26" s="73" t="s">
        <v>29</v>
      </c>
      <c r="L26" s="73" t="s">
        <v>29</v>
      </c>
    </row>
    <row r="27" spans="1:14" s="53" customFormat="1" outlineLevel="2">
      <c r="A27" s="1">
        <v>5</v>
      </c>
      <c r="B27" s="55" t="s">
        <v>139</v>
      </c>
      <c r="C27" s="10">
        <f>SUMIFS('PL1.1 ML2027-2028'!$G:$G,'PL1.1 ML2027-2028'!$J:$J,K24,'PL1.1 ML2027-2028'!$K:$K,"TH")/10^6</f>
        <v>0</v>
      </c>
      <c r="D27" s="196"/>
      <c r="E27" s="51"/>
      <c r="F27" s="43"/>
      <c r="G27" s="198">
        <v>0</v>
      </c>
      <c r="H27" s="51"/>
      <c r="I27" s="10">
        <f t="shared" si="5"/>
        <v>0</v>
      </c>
      <c r="J27" s="51">
        <f t="shared" si="6"/>
        <v>0</v>
      </c>
      <c r="K27" s="73" t="s">
        <v>29</v>
      </c>
      <c r="L27" s="73" t="s">
        <v>29</v>
      </c>
    </row>
    <row r="28" spans="1:14" s="72" customFormat="1" outlineLevel="1">
      <c r="A28" s="54" t="s">
        <v>37</v>
      </c>
      <c r="B28" s="11" t="s">
        <v>38</v>
      </c>
      <c r="C28" s="3">
        <f>SUBTOTAL(9,C29:C31)</f>
        <v>2.0840050000000003</v>
      </c>
      <c r="D28" s="194"/>
      <c r="E28" s="118">
        <f>C28/C5</f>
        <v>9.5607423125729826E-2</v>
      </c>
      <c r="F28" s="10">
        <f>SUBTOTAL(9,F29:F31)</f>
        <v>1.3823783600000002E-2</v>
      </c>
      <c r="G28" s="198">
        <v>0</v>
      </c>
      <c r="H28" s="116">
        <f>F28/F5</f>
        <v>9.9538331196881826E-4</v>
      </c>
      <c r="I28" s="3">
        <f>SUBTOTAL(9,I29:I31)</f>
        <v>2.0978287836000002</v>
      </c>
      <c r="J28" s="116">
        <f>I28/$I$5</f>
        <v>5.8786715349204738E-2</v>
      </c>
      <c r="K28" s="56"/>
      <c r="L28" s="56"/>
      <c r="N28" s="84">
        <f>C28-'PL1.3 Buc tranh sau QH'!D19</f>
        <v>2.0840050000000003</v>
      </c>
    </row>
    <row r="29" spans="1:14" s="241" customFormat="1" ht="39" outlineLevel="2">
      <c r="A29" s="242">
        <v>1</v>
      </c>
      <c r="B29" s="240" t="s">
        <v>254</v>
      </c>
      <c r="C29" s="246">
        <f>SUMIFS('PL1.1 ML2027-2028'!$G:$G,'PL1.1 ML2027-2028'!$J:$J,K29,'PL1.1 ML2027-2028'!$K:$K,"TTKD")/10^6</f>
        <v>0.39033600000000002</v>
      </c>
      <c r="D29" s="247" t="s">
        <v>1014</v>
      </c>
      <c r="E29" s="248"/>
      <c r="F29" s="127">
        <f>SUMIFS('PL1.1 ML2027-2028'!$H:$H,'PL1.1 ML2027-2028'!$J:$J,"CNTT",'PL1.1 ML2027-2028'!$M:$M,"cloud")/1000000000</f>
        <v>6.911891800000001E-3</v>
      </c>
      <c r="G29" s="247" t="s">
        <v>1014</v>
      </c>
      <c r="H29" s="248"/>
      <c r="I29" s="127">
        <f t="shared" si="5"/>
        <v>0.39724789180000003</v>
      </c>
      <c r="J29" s="248">
        <f t="shared" ref="J29" si="9">I29/$I$5</f>
        <v>1.1131937420671341E-2</v>
      </c>
      <c r="K29" s="249" t="s">
        <v>38</v>
      </c>
      <c r="L29" s="249" t="s">
        <v>38</v>
      </c>
    </row>
    <row r="30" spans="1:14" s="241" customFormat="1" ht="234" outlineLevel="2">
      <c r="A30" s="242">
        <v>2</v>
      </c>
      <c r="B30" s="240" t="s">
        <v>255</v>
      </c>
      <c r="C30" s="246">
        <f>SUMIFS('PL1.1 ML2027-2028'!$G:$G,'PL1.1 ML2027-2028'!$J:$J,K30,'PL1.1 ML2027-2028'!$K:$K,"HTKD")/10^6</f>
        <v>1.6936690000000001</v>
      </c>
      <c r="D30" s="333" t="s">
        <v>1016</v>
      </c>
      <c r="E30" s="248"/>
      <c r="F30" s="246">
        <f>SUMIFS('PL1.1 ML2027-2028'!$H:$H,'PL1.1 ML2027-2028'!$J:$J,"CNTT",'PL1.1 ML2027-2028'!$M:$M,"cloud")/1000000000</f>
        <v>6.911891800000001E-3</v>
      </c>
      <c r="G30" s="333" t="s">
        <v>1015</v>
      </c>
      <c r="H30" s="248"/>
      <c r="I30" s="127">
        <f t="shared" ref="I30" si="10">C30+F30</f>
        <v>1.7005808918</v>
      </c>
      <c r="J30" s="248">
        <f>I30/$I$5</f>
        <v>4.7654777928533391E-2</v>
      </c>
      <c r="K30" s="249" t="s">
        <v>38</v>
      </c>
      <c r="L30" s="249" t="s">
        <v>38</v>
      </c>
    </row>
    <row r="31" spans="1:14" s="241" customFormat="1" outlineLevel="2">
      <c r="A31" s="242">
        <v>3</v>
      </c>
      <c r="B31" s="240" t="s">
        <v>280</v>
      </c>
      <c r="C31" s="127">
        <f>SUMIFS('PL1.1 ML2027-2028'!$G:$G,'PL1.1 ML2027-2028'!$J:$J,"CNTT",'PL1.1 ML2027-2028'!$K:$K,"ATTT")/10^6</f>
        <v>0</v>
      </c>
      <c r="D31" s="250" t="s">
        <v>281</v>
      </c>
      <c r="E31" s="248"/>
      <c r="F31" s="127">
        <f>SUMIFS('PL1.1 ML2027-2028'!$H:$H,'PL1.1 ML2027-2028'!$J:$J,"CNTT",'PL1.1 ML2027-2028'!$M:$M,"Bigdata")/1000000000</f>
        <v>0</v>
      </c>
      <c r="G31" s="286">
        <v>0</v>
      </c>
      <c r="H31" s="248"/>
      <c r="I31" s="127">
        <f>C31+F31</f>
        <v>0</v>
      </c>
      <c r="J31" s="248">
        <f>I31/$I$5</f>
        <v>0</v>
      </c>
      <c r="K31" s="249" t="s">
        <v>38</v>
      </c>
      <c r="L31" s="249" t="s">
        <v>38</v>
      </c>
    </row>
    <row r="32" spans="1:14" s="72" customFormat="1" outlineLevel="1">
      <c r="A32" s="54" t="s">
        <v>98</v>
      </c>
      <c r="B32" s="11" t="s">
        <v>74</v>
      </c>
      <c r="C32" s="3">
        <f>SUBTOTAL(9,C33:C34)</f>
        <v>3.6325999285714285</v>
      </c>
      <c r="D32" s="194"/>
      <c r="E32" s="118">
        <f>C32/C5</f>
        <v>0.16665196024837967</v>
      </c>
      <c r="F32" s="3">
        <f>SUBTOTAL(9,F33:F34)</f>
        <v>1.2327063076923075</v>
      </c>
      <c r="G32" s="198">
        <v>0</v>
      </c>
      <c r="H32" s="116">
        <f>F32/F5</f>
        <v>8.8761175864733741E-2</v>
      </c>
      <c r="I32" s="3">
        <f>SUBTOTAL(9,I33:I34)</f>
        <v>4.865306236263736</v>
      </c>
      <c r="J32" s="116">
        <f>I32/$I$5</f>
        <v>0.13633875892727876</v>
      </c>
      <c r="K32" s="56"/>
      <c r="L32" s="56"/>
      <c r="N32" s="84">
        <f>C32-'PL1.3 Buc tranh sau QH'!D24</f>
        <v>3.6325999285714285</v>
      </c>
    </row>
    <row r="33" spans="1:14" s="53" customFormat="1" ht="26" outlineLevel="2">
      <c r="A33" s="1">
        <v>1</v>
      </c>
      <c r="B33" s="55" t="s">
        <v>148</v>
      </c>
      <c r="C33" s="10">
        <f>'TH theo DV'!H13+'TH theo DV'!H16</f>
        <v>0.83425899999999997</v>
      </c>
      <c r="D33" s="187" t="s">
        <v>1008</v>
      </c>
      <c r="E33" s="51"/>
      <c r="F33" s="10">
        <f>'TH theo DV'!Q13+'TH theo DV'!Q16</f>
        <v>1.1404723076923076</v>
      </c>
      <c r="G33" s="198">
        <v>0</v>
      </c>
      <c r="H33" s="51"/>
      <c r="I33" s="10">
        <f>C33+F33</f>
        <v>1.9747313076923074</v>
      </c>
      <c r="J33" s="51">
        <f t="shared" ref="J33:J34" si="11">I33/$I$5</f>
        <v>5.5337198242297249E-2</v>
      </c>
      <c r="K33" s="73" t="s">
        <v>21</v>
      </c>
      <c r="L33" s="73" t="s">
        <v>21</v>
      </c>
    </row>
    <row r="34" spans="1:14" s="53" customFormat="1" ht="52" outlineLevel="2">
      <c r="A34" s="1">
        <v>2</v>
      </c>
      <c r="B34" s="55" t="s">
        <v>81</v>
      </c>
      <c r="C34" s="10">
        <f>'TH theo DV'!H17+'TH theo DV'!H18+'TH theo DV'!H19+'TH theo DV'!H20+'TH theo DV'!H21</f>
        <v>2.7983409285714287</v>
      </c>
      <c r="D34" s="196" t="s">
        <v>1009</v>
      </c>
      <c r="E34" s="51"/>
      <c r="F34" s="10">
        <f>'TH theo DV'!Q14+'TH theo DV'!Q17</f>
        <v>9.2233999999999997E-2</v>
      </c>
      <c r="G34" s="198">
        <v>0</v>
      </c>
      <c r="H34" s="51"/>
      <c r="I34" s="10">
        <f>C34+F34</f>
        <v>2.8905749285714286</v>
      </c>
      <c r="J34" s="51">
        <f t="shared" si="11"/>
        <v>8.1001560684981516E-2</v>
      </c>
      <c r="K34" s="73" t="s">
        <v>21</v>
      </c>
      <c r="L34" s="73" t="s">
        <v>21</v>
      </c>
    </row>
    <row r="35" spans="1:14" s="72" customFormat="1" outlineLevel="1">
      <c r="A35" s="54" t="s">
        <v>98</v>
      </c>
      <c r="B35" s="11" t="s">
        <v>75</v>
      </c>
      <c r="C35" s="3">
        <f>SUBTOTAL(9,C36:C37)</f>
        <v>1.9053436849999998</v>
      </c>
      <c r="D35" s="223"/>
      <c r="E35" s="224">
        <f>C35/$C$5</f>
        <v>8.7411018635623353E-2</v>
      </c>
      <c r="F35" s="10">
        <f>SUBTOTAL(9,F36:F37)</f>
        <v>1.83114284</v>
      </c>
      <c r="G35" s="198">
        <v>0</v>
      </c>
      <c r="H35" s="224">
        <f>F35/$F$5</f>
        <v>0.131851675164185</v>
      </c>
      <c r="I35" s="3">
        <f>SUBTOTAL(9,I36:I37)</f>
        <v>3.7364865250000001</v>
      </c>
      <c r="J35" s="116">
        <f>I35/$I$5</f>
        <v>0.10470624269649484</v>
      </c>
      <c r="K35" s="56"/>
      <c r="L35" s="56"/>
      <c r="N35" s="84" t="e">
        <f>C35-'PL1.3 Buc tranh sau QH'!#REF!</f>
        <v>#REF!</v>
      </c>
    </row>
    <row r="36" spans="1:14" s="53" customFormat="1" ht="117" outlineLevel="2">
      <c r="A36" s="1">
        <v>1</v>
      </c>
      <c r="B36" s="55" t="s">
        <v>148</v>
      </c>
      <c r="C36" s="10">
        <f>'TH theo DV'!I13</f>
        <v>1.4700764149999999</v>
      </c>
      <c r="D36" s="187" t="s">
        <v>419</v>
      </c>
      <c r="E36" s="2"/>
      <c r="F36" s="10">
        <f>'TH theo DV'!R13+'TH theo DV'!R16</f>
        <v>0.97021670000000004</v>
      </c>
      <c r="G36" s="198">
        <v>0</v>
      </c>
      <c r="H36" s="2"/>
      <c r="I36" s="10">
        <f t="shared" si="5"/>
        <v>2.4402931149999998</v>
      </c>
      <c r="J36" s="51">
        <f t="shared" ref="J36:J37" si="12">I36/$I$5</f>
        <v>6.8383472398518913E-2</v>
      </c>
      <c r="K36" s="73" t="s">
        <v>6</v>
      </c>
      <c r="L36" s="73" t="s">
        <v>6</v>
      </c>
    </row>
    <row r="37" spans="1:14" s="53" customFormat="1" outlineLevel="2">
      <c r="A37" s="1">
        <v>2</v>
      </c>
      <c r="B37" s="55" t="s">
        <v>81</v>
      </c>
      <c r="C37" s="10">
        <f>'TH theo DV'!I14+'TH theo DV'!I17+'TH theo DV'!I18</f>
        <v>0.43526727000000004</v>
      </c>
      <c r="E37" s="2"/>
      <c r="F37" s="10">
        <f>'TH theo DV'!R14+'TH theo DV'!R17+'TH theo DV'!R18</f>
        <v>0.86092614000000001</v>
      </c>
      <c r="H37" s="2"/>
      <c r="I37" s="10">
        <f t="shared" si="5"/>
        <v>1.2961934100000001</v>
      </c>
      <c r="J37" s="51">
        <f t="shared" si="12"/>
        <v>3.6322770297975912E-2</v>
      </c>
      <c r="K37" s="73" t="s">
        <v>6</v>
      </c>
      <c r="L37" s="73" t="s">
        <v>6</v>
      </c>
    </row>
    <row r="38" spans="1:14">
      <c r="A38" s="52" t="s">
        <v>47</v>
      </c>
      <c r="B38" s="220" t="s">
        <v>401</v>
      </c>
      <c r="C38" s="236">
        <f>SUBTOTAL(9,C39:C44)</f>
        <v>0.66908210000000001</v>
      </c>
      <c r="D38" s="195"/>
      <c r="E38" s="120">
        <f>C38/$C$5</f>
        <v>3.069532723796338E-2</v>
      </c>
      <c r="F38" s="107">
        <f>SUBTOTAL(9,F39:F44)</f>
        <v>0.68118210000000001</v>
      </c>
      <c r="G38" s="195"/>
      <c r="H38" s="97">
        <f>F38/$F$5</f>
        <v>4.9048604518944779E-2</v>
      </c>
      <c r="I38" s="107">
        <f>SUBTOTAL(9,I39:I44)</f>
        <v>1.3502641999999998</v>
      </c>
      <c r="J38" s="120">
        <f>I38/$I$5</f>
        <v>3.7837976956062599E-2</v>
      </c>
      <c r="N38" s="19">
        <f>'PL1.3 Buc tranh sau QH'!D18-'PL1.2 TH theo mục đích'!C38</f>
        <v>-0.2624515</v>
      </c>
    </row>
    <row r="39" spans="1:14" s="298" customFormat="1" ht="13" customHeight="1" outlineLevel="1">
      <c r="A39" s="131">
        <v>1</v>
      </c>
      <c r="B39" s="291" t="s">
        <v>73</v>
      </c>
      <c r="C39" s="292">
        <f>SUMIFS('PL1.1 ML2027-2028'!$G:$G,'PL1.1 ML2027-2028'!$J:$J,K39,'PL1.1 ML2027-2028'!$K:$K,"ƯCTT")/10^6</f>
        <v>0.2238</v>
      </c>
      <c r="D39" s="293" t="s">
        <v>647</v>
      </c>
      <c r="E39" s="294"/>
      <c r="F39" s="235">
        <f>SUMIFS('PL1.1 ML2027-2028'!$H:$H,'PL1.1 ML2027-2028'!$J:$J,"VT",'PL1.1 ML2027-2028'!$K:$K,"ƯCTT")/10^6</f>
        <v>0.2238</v>
      </c>
      <c r="G39" s="295" t="s">
        <v>647</v>
      </c>
      <c r="H39" s="296"/>
      <c r="I39" s="235">
        <f t="shared" ref="I39:I44" si="13">C39+F39</f>
        <v>0.4476</v>
      </c>
      <c r="J39" s="296">
        <f t="shared" ref="J39:J44" si="14">I39/$I$5</f>
        <v>1.2542936771584126E-2</v>
      </c>
      <c r="K39" s="297" t="s">
        <v>7</v>
      </c>
      <c r="L39" s="297" t="s">
        <v>7</v>
      </c>
    </row>
    <row r="40" spans="1:14" s="256" customFormat="1" ht="13" customHeight="1" outlineLevel="1">
      <c r="A40" s="257">
        <v>2</v>
      </c>
      <c r="B40" s="258" t="s">
        <v>72</v>
      </c>
      <c r="C40" s="127">
        <f>SUMIFS('PL1.1 ML2027-2028'!$G:$G,'PL1.1 ML2027-2028'!$J:$J,K40,'PL1.1 ML2027-2028'!$K:$K,"ƯCTT")/10^6</f>
        <v>0.1</v>
      </c>
      <c r="D40" s="252"/>
      <c r="E40" s="288"/>
      <c r="F40" s="253">
        <f>SUMIFS('PL1.1 ML2027-2028'!$H:$H,'PL1.1 ML2027-2028'!$J:$J,"ML",'PL1.1 ML2027-2028'!$K:$K,"ƯCTT")/10^6</f>
        <v>0.1</v>
      </c>
      <c r="G40" s="252"/>
      <c r="H40" s="254"/>
      <c r="I40" s="253">
        <f t="shared" si="13"/>
        <v>0.2</v>
      </c>
      <c r="J40" s="254">
        <f t="shared" si="14"/>
        <v>5.6045293885541225E-3</v>
      </c>
      <c r="K40" s="255" t="s">
        <v>18</v>
      </c>
      <c r="L40" s="255" t="s">
        <v>18</v>
      </c>
    </row>
    <row r="41" spans="1:14" s="241" customFormat="1" ht="13" customHeight="1" outlineLevel="1">
      <c r="A41" s="242">
        <v>3</v>
      </c>
      <c r="B41" s="240" t="s">
        <v>38</v>
      </c>
      <c r="C41" s="290">
        <f>SUMIFS('PL1.1 ML2027-2028'!$G:$G,'PL1.1 ML2027-2028'!$J:$J,K41,'PL1.1 ML2027-2028'!$K:$K,"ƯCTT")/10^6</f>
        <v>0</v>
      </c>
      <c r="D41" s="250" t="s">
        <v>364</v>
      </c>
      <c r="E41" s="248"/>
      <c r="F41" s="127">
        <f>SUMIFS('PL1.1 ML2027-2028'!$H:$H,'PL1.1 ML2027-2028'!$J:$J,K41,'PL1.1 ML2027-2028'!$K:$K,"ƯCTT")/10^6</f>
        <v>0</v>
      </c>
      <c r="G41" s="286">
        <v>0</v>
      </c>
      <c r="H41" s="248"/>
      <c r="I41" s="127">
        <f t="shared" si="13"/>
        <v>0</v>
      </c>
      <c r="J41" s="248">
        <f t="shared" si="14"/>
        <v>0</v>
      </c>
      <c r="K41" s="249" t="s">
        <v>38</v>
      </c>
      <c r="L41" s="249" t="s">
        <v>38</v>
      </c>
    </row>
    <row r="42" spans="1:14" outlineLevel="1">
      <c r="A42" s="23">
        <v>4</v>
      </c>
      <c r="B42" s="221" t="s">
        <v>74</v>
      </c>
      <c r="C42" s="10">
        <f>SUMIFS('PL1.1 ML2027-2028'!$G:$G,'PL1.1 ML2027-2028'!$J:$J,K42,'PL1.1 ML2027-2028'!$K:$K,"ƯCTT")/10^6</f>
        <v>0.12573999999999999</v>
      </c>
      <c r="D42" s="196" t="s">
        <v>1011</v>
      </c>
      <c r="E42" s="27"/>
      <c r="F42" s="127">
        <f>SUMIFS('PL1.1 ML2027-2028'!$H:$H,'PL1.1 ML2027-2028'!$J:$J,K42,'PL1.1 ML2027-2028'!$K:$K,"ƯCTT")/10^6</f>
        <v>0.10424</v>
      </c>
      <c r="G42" s="198">
        <v>0</v>
      </c>
      <c r="H42" s="27"/>
      <c r="I42" s="10">
        <f t="shared" si="13"/>
        <v>0.22997999999999999</v>
      </c>
      <c r="J42" s="51">
        <f t="shared" si="14"/>
        <v>6.4446483438983845E-3</v>
      </c>
      <c r="K42" s="8" t="s">
        <v>21</v>
      </c>
      <c r="L42" s="8" t="s">
        <v>21</v>
      </c>
    </row>
    <row r="43" spans="1:14" ht="91" outlineLevel="1">
      <c r="A43" s="23">
        <v>5</v>
      </c>
      <c r="B43" s="221" t="s">
        <v>83</v>
      </c>
      <c r="C43" s="10">
        <f>SUMIFS('PL1.1 ML2027-2028'!$G:$G,'PL1.1 ML2027-2028'!$J:$J,K43,'PL1.1 ML2027-2028'!$K:$K,"ƯCTT")/10^6</f>
        <v>0</v>
      </c>
      <c r="D43" s="196" t="s">
        <v>342</v>
      </c>
      <c r="E43" s="27"/>
      <c r="F43" s="127">
        <f>SUMIFS('PL1.1 ML2027-2028'!$H:$H,'PL1.1 ML2027-2028'!$J:$J,K43,'PL1.1 ML2027-2028'!$K:$K,"ƯCTT")/10^6</f>
        <v>0</v>
      </c>
      <c r="G43" s="198">
        <v>0</v>
      </c>
      <c r="H43" s="27"/>
      <c r="I43" s="10">
        <f t="shared" si="13"/>
        <v>0</v>
      </c>
      <c r="J43" s="51">
        <f t="shared" si="14"/>
        <v>0</v>
      </c>
      <c r="K43" s="8" t="s">
        <v>29</v>
      </c>
      <c r="L43" s="8" t="s">
        <v>29</v>
      </c>
    </row>
    <row r="44" spans="1:14" ht="65" outlineLevel="1">
      <c r="A44" s="23">
        <v>5</v>
      </c>
      <c r="B44" s="221" t="s">
        <v>75</v>
      </c>
      <c r="C44" s="10">
        <f>SUMIFS('PL1.1 ML2027-2028'!$G:$G,'PL1.1 ML2027-2028'!$J:$J,K44,'PL1.1 ML2027-2028'!$K:$K,"ƯCTT")/10^6</f>
        <v>0.21954210000000002</v>
      </c>
      <c r="D44" s="196" t="s">
        <v>344</v>
      </c>
      <c r="E44" s="27"/>
      <c r="F44" s="127">
        <f>SUMIFS('PL1.1 ML2027-2028'!$H:$H,'PL1.1 ML2027-2028'!$J:$J,K44,'PL1.1 ML2027-2028'!$K:$K,"ƯCTT")/10^6</f>
        <v>0.25314209999999998</v>
      </c>
      <c r="G44" s="198">
        <v>0</v>
      </c>
      <c r="H44" s="27"/>
      <c r="I44" s="10">
        <f t="shared" si="13"/>
        <v>0.4726842</v>
      </c>
      <c r="J44" s="51">
        <f t="shared" si="14"/>
        <v>1.3245862452025971E-2</v>
      </c>
      <c r="K44" s="8" t="s">
        <v>6</v>
      </c>
      <c r="L44" s="8" t="s">
        <v>6</v>
      </c>
    </row>
    <row r="45" spans="1:14" ht="26">
      <c r="A45" s="52" t="s">
        <v>47</v>
      </c>
      <c r="B45" s="220" t="s">
        <v>133</v>
      </c>
      <c r="C45" s="107">
        <f>SUBTOTAL(9,C46:C51)</f>
        <v>2.2174449199999997</v>
      </c>
      <c r="D45" s="195"/>
      <c r="E45" s="120">
        <f>C45/$C$5</f>
        <v>0.10172921596850298</v>
      </c>
      <c r="F45" s="107">
        <f>SUBTOTAL(9,F46:F51)</f>
        <v>1.6194789999999999</v>
      </c>
      <c r="G45" s="195"/>
      <c r="H45" s="97">
        <f>F45/$F$5</f>
        <v>0.11661079320454275</v>
      </c>
      <c r="I45" s="107">
        <f>SUBTOTAL(9,I46:I51)</f>
        <v>3.8369239200000003</v>
      </c>
      <c r="J45" s="120">
        <f>I45/$I$5</f>
        <v>0.10752076435643143</v>
      </c>
      <c r="N45" s="19">
        <f>'PL1.3 Buc tranh sau QH'!D25-'PL1.2 TH theo mục đích'!C45</f>
        <v>4.52896301</v>
      </c>
    </row>
    <row r="46" spans="1:14" s="298" customFormat="1" ht="26" outlineLevel="1">
      <c r="A46" s="131">
        <v>1</v>
      </c>
      <c r="B46" s="291" t="s">
        <v>73</v>
      </c>
      <c r="C46" s="292">
        <f>SUMIFS('PL1.1 ML2027-2028'!$G:$G,'PL1.1 ML2027-2028'!$J:$J,K46,'PL1.1 ML2027-2028'!$K:$K,"VHKT")/10^6</f>
        <v>0.31162099999999998</v>
      </c>
      <c r="D46" s="293" t="s">
        <v>648</v>
      </c>
      <c r="E46" s="294"/>
      <c r="F46" s="235">
        <f>SUMIFS('PL1.1 ML2027-2028'!$H:$H,'PL1.1 ML2027-2028'!$J:$J,K46,'PL1.1 ML2027-2028'!$K:$K,"VHKT")/10^6</f>
        <v>0.47749999999999998</v>
      </c>
      <c r="G46" s="293" t="s">
        <v>648</v>
      </c>
      <c r="H46" s="296"/>
      <c r="I46" s="235">
        <f t="shared" ref="I46:I51" si="15">C46+F46</f>
        <v>0.78912099999999996</v>
      </c>
      <c r="J46" s="296">
        <f t="shared" ref="J46:J51" si="16">I46/$I$5</f>
        <v>2.2113259178126086E-2</v>
      </c>
      <c r="K46" s="297" t="s">
        <v>7</v>
      </c>
      <c r="L46" s="297" t="s">
        <v>7</v>
      </c>
    </row>
    <row r="47" spans="1:14" s="256" customFormat="1" ht="39" outlineLevel="1">
      <c r="A47" s="257">
        <v>2</v>
      </c>
      <c r="B47" s="258" t="s">
        <v>72</v>
      </c>
      <c r="C47" s="251">
        <f>SUMIFS('PL1.1 ML2027-2028'!$G:$G,'PL1.1 ML2027-2028'!$J:$J,K47,'PL1.1 ML2027-2028'!$K:$K,"VHKT")/10^6</f>
        <v>0.74196192000000005</v>
      </c>
      <c r="D47" s="252" t="s">
        <v>553</v>
      </c>
      <c r="E47" s="288"/>
      <c r="F47" s="10">
        <f>SUMIFS('PL1.1 ML2027-2028'!$H:$H,'PL1.1 ML2027-2028'!$J:$J,K47,'PL1.1 ML2027-2028'!$K:$K,"VHKT")/10^6</f>
        <v>0.87104000000000004</v>
      </c>
      <c r="G47" s="289" t="s">
        <v>554</v>
      </c>
      <c r="H47" s="254"/>
      <c r="I47" s="253">
        <f t="shared" si="15"/>
        <v>1.6130019200000001</v>
      </c>
      <c r="J47" s="254">
        <f t="shared" si="16"/>
        <v>4.5200583322171126E-2</v>
      </c>
      <c r="K47" s="255" t="s">
        <v>18</v>
      </c>
      <c r="L47" s="255" t="s">
        <v>18</v>
      </c>
    </row>
    <row r="48" spans="1:14" s="241" customFormat="1" ht="39" outlineLevel="1">
      <c r="A48" s="242">
        <v>3</v>
      </c>
      <c r="B48" s="240" t="s">
        <v>38</v>
      </c>
      <c r="C48" s="127">
        <f>SUMIFS('PL1.1 ML2027-2028'!$G:$G,'PL1.1 ML2027-2028'!$J:$J,K48,'PL1.1 ML2027-2028'!$K:$K,"VHKT")/10^6</f>
        <v>0.93388199999999999</v>
      </c>
      <c r="D48" s="250" t="s">
        <v>364</v>
      </c>
      <c r="E48" s="248"/>
      <c r="F48" s="10">
        <f>SUMIFS('PL1.1 ML2027-2028'!$H:$H,'PL1.1 ML2027-2028'!$J:$J,K48,'PL1.1 ML2027-2028'!$K:$K,"VHKT")/10^6</f>
        <v>0.21868899999999999</v>
      </c>
      <c r="G48" s="286">
        <v>0</v>
      </c>
      <c r="H48" s="248"/>
      <c r="I48" s="127">
        <f t="shared" si="15"/>
        <v>1.152571</v>
      </c>
      <c r="J48" s="248">
        <f t="shared" si="16"/>
        <v>3.2298090209476063E-2</v>
      </c>
      <c r="K48" s="249" t="s">
        <v>38</v>
      </c>
      <c r="L48" s="249" t="s">
        <v>38</v>
      </c>
    </row>
    <row r="49" spans="1:14" outlineLevel="1">
      <c r="A49" s="23">
        <v>4</v>
      </c>
      <c r="B49" s="221" t="s">
        <v>74</v>
      </c>
      <c r="C49" s="10">
        <f>'TH theo DV'!H31</f>
        <v>0</v>
      </c>
      <c r="D49" s="196"/>
      <c r="E49" s="27"/>
      <c r="F49" s="10">
        <f>SUMIFS('PL1.1 ML2027-2028'!$H:$H,'PL1.1 ML2027-2028'!$J:$J,K49,'PL1.1 ML2027-2028'!$K:$K,"VHKT")/10^6</f>
        <v>0</v>
      </c>
      <c r="G49" s="198">
        <v>0</v>
      </c>
      <c r="H49" s="27"/>
      <c r="I49" s="10">
        <f t="shared" si="15"/>
        <v>0</v>
      </c>
      <c r="J49" s="51">
        <f t="shared" si="16"/>
        <v>0</v>
      </c>
      <c r="K49" s="8" t="s">
        <v>21</v>
      </c>
      <c r="L49" s="8" t="s">
        <v>21</v>
      </c>
    </row>
    <row r="50" spans="1:14" outlineLevel="1">
      <c r="A50" s="23">
        <v>5</v>
      </c>
      <c r="B50" s="221" t="s">
        <v>83</v>
      </c>
      <c r="C50" s="10">
        <f>SUMIFS('PL1.1 ML2027-2028'!$G:$G,'PL1.1 ML2027-2028'!$J:$J,K50,'PL1.1 ML2027-2028'!$K:$K,"VHKT")/10^6</f>
        <v>0</v>
      </c>
      <c r="D50" s="196"/>
      <c r="E50" s="27"/>
      <c r="F50" s="10">
        <f>SUMIFS('PL1.1 ML2027-2028'!$H:$H,'PL1.1 ML2027-2028'!$J:$J,K50,'PL1.1 ML2027-2028'!$K:$K,"VHKT")/10^6</f>
        <v>0</v>
      </c>
      <c r="G50" s="198">
        <v>0</v>
      </c>
      <c r="H50" s="27"/>
      <c r="I50" s="10">
        <f t="shared" si="15"/>
        <v>0</v>
      </c>
      <c r="J50" s="51">
        <f t="shared" ref="J50" si="17">I50/$I$5</f>
        <v>0</v>
      </c>
      <c r="K50" s="8" t="s">
        <v>29</v>
      </c>
      <c r="L50" s="8" t="s">
        <v>29</v>
      </c>
    </row>
    <row r="51" spans="1:14" ht="65" outlineLevel="1">
      <c r="A51" s="23">
        <v>5</v>
      </c>
      <c r="B51" s="221" t="s">
        <v>75</v>
      </c>
      <c r="C51" s="10">
        <f>'TH theo DV'!I31</f>
        <v>0.22997999999999999</v>
      </c>
      <c r="D51" s="196" t="s">
        <v>344</v>
      </c>
      <c r="E51" s="27"/>
      <c r="F51" s="10">
        <f>SUMIFS('PL1.1 ML2027-2028'!$H:$H,'PL1.1 ML2027-2028'!$J:$J,K51,'PL1.1 ML2027-2028'!$K:$K,"VHKT")/10^6</f>
        <v>5.2249999999999998E-2</v>
      </c>
      <c r="G51" s="198">
        <v>0</v>
      </c>
      <c r="H51" s="27"/>
      <c r="I51" s="10">
        <f t="shared" si="15"/>
        <v>0.28222999999999998</v>
      </c>
      <c r="J51" s="51">
        <f t="shared" si="16"/>
        <v>7.9088316466581488E-3</v>
      </c>
      <c r="K51" s="8" t="s">
        <v>6</v>
      </c>
      <c r="L51" s="8" t="s">
        <v>6</v>
      </c>
    </row>
    <row r="52" spans="1:14">
      <c r="A52" s="113" t="s">
        <v>54</v>
      </c>
      <c r="B52" s="62" t="s">
        <v>118</v>
      </c>
      <c r="C52" s="106">
        <f>SUBTOTAL(9,C53:C56)</f>
        <v>1.1428640000000001</v>
      </c>
      <c r="D52" s="197"/>
      <c r="E52" s="98">
        <f>C52/$C$5</f>
        <v>5.2430911645204352E-2</v>
      </c>
      <c r="F52" s="106">
        <f>SUBTOTAL(9,F53:F56)</f>
        <v>0</v>
      </c>
      <c r="G52" s="197"/>
      <c r="H52" s="98">
        <f>F52/$F$5</f>
        <v>0</v>
      </c>
      <c r="I52" s="106">
        <f>SUBTOTAL(9,I53:I56)</f>
        <v>1.1428640000000001</v>
      </c>
      <c r="J52" s="98">
        <f>I52/$I$5</f>
        <v>3.2026074375602592E-2</v>
      </c>
      <c r="N52" s="19" t="e">
        <f>'PL1.3 Buc tranh sau QH'!#REF!-'PL1.2 TH theo mục đích'!C52</f>
        <v>#REF!</v>
      </c>
    </row>
    <row r="53" spans="1:14" outlineLevel="1">
      <c r="A53" s="23">
        <v>1</v>
      </c>
      <c r="B53" s="221" t="s">
        <v>73</v>
      </c>
      <c r="C53" s="10">
        <f>SUMIFS('PL1.1 ML2027-2028'!G:G,'PL1.1 ML2027-2028'!J:J,$L53,'PL1.1 ML2027-2028'!K:K,$K53)/10^6</f>
        <v>0</v>
      </c>
      <c r="D53" s="99" t="s">
        <v>368</v>
      </c>
      <c r="E53" s="27"/>
      <c r="F53" s="10">
        <f>SUMIFS('PL1.1 ML2027-2028'!$H:$H,'PL1.1 ML2027-2028'!$J:$J,"VT",'PL1.1 ML2027-2028'!$K:$K,"CCKC",'PL1.1 ML2027-2028'!$L:$L,"VTTB")/10^6
+SUMIFS('PL1.1 ML2027-2028'!$H:$H,'PL1.1 ML2027-2028'!$J:$J,"VT",'PL1.1 ML2027-2028'!$K:$K,"CCKC",'PL1.1 ML2027-2028'!$L:$L,"TK")/10^6+ SUMIFS('PL1.1 ML2027-2028'!$H:$H,'PL1.1 ML2027-2028'!$J:$J,"VT",'PL1.1 ML2027-2028'!$K:$K,"VHKT&amp;CLM",'PL1.1 ML2027-2028'!$L:$L,"VTTB")/10^6</f>
        <v>0</v>
      </c>
      <c r="G53" s="198">
        <v>0</v>
      </c>
      <c r="H53" s="27"/>
      <c r="I53" s="10">
        <f>C53+F53</f>
        <v>0</v>
      </c>
      <c r="J53" s="51">
        <f t="shared" ref="J53:J56" si="18">I53/$I$5</f>
        <v>0</v>
      </c>
      <c r="K53" s="8" t="s">
        <v>259</v>
      </c>
      <c r="L53" s="8" t="s">
        <v>7</v>
      </c>
    </row>
    <row r="54" spans="1:14" ht="26" outlineLevel="1">
      <c r="A54" s="23">
        <v>2</v>
      </c>
      <c r="B54" s="221" t="s">
        <v>83</v>
      </c>
      <c r="C54" s="10">
        <f>SUMIFS('PL1.1 ML2027-2028'!G:G,'PL1.1 ML2027-2028'!J:J,$L54,'PL1.1 ML2027-2028'!K:K,$K54)/10^6</f>
        <v>0</v>
      </c>
      <c r="D54" s="99" t="s">
        <v>260</v>
      </c>
      <c r="E54" s="27"/>
      <c r="F54" s="10">
        <f>SUMIFS('PL1.1 ML2027-2028'!$H:$H,'PL1.1 ML2027-2028'!$J:$J,"CĐBR",'PL1.1 ML2027-2028'!$K:$K,"CCKC",'PL1.1 ML2027-2028'!$L:$L,"VTTB")/10^6
+ SUMIFS('PL1.1 ML2027-2028'!$H:$H,'PL1.1 ML2027-2028'!$J:$J,"CĐBR",'PL1.1 ML2027-2028'!$K:$K,"CCKC",'PL1.1 ML2027-2028'!$L:$L,"TK")/10^6</f>
        <v>0</v>
      </c>
      <c r="G54" s="198">
        <v>0</v>
      </c>
      <c r="H54" s="27"/>
      <c r="I54" s="10">
        <f>C54+F54</f>
        <v>0</v>
      </c>
      <c r="J54" s="51">
        <f t="shared" si="18"/>
        <v>0</v>
      </c>
      <c r="K54" s="8" t="s">
        <v>259</v>
      </c>
      <c r="L54" s="8" t="s">
        <v>29</v>
      </c>
    </row>
    <row r="55" spans="1:14" ht="52" outlineLevel="1">
      <c r="A55" s="23">
        <v>3</v>
      </c>
      <c r="B55" s="221" t="s">
        <v>74</v>
      </c>
      <c r="C55" s="10">
        <f>'TH theo DV'!H32</f>
        <v>0.2321</v>
      </c>
      <c r="D55" s="187" t="s">
        <v>1010</v>
      </c>
      <c r="E55" s="42"/>
      <c r="F55" s="10">
        <f>'TH theo DV'!Q23</f>
        <v>0</v>
      </c>
      <c r="G55" s="198">
        <v>0</v>
      </c>
      <c r="H55" s="42"/>
      <c r="I55" s="10">
        <f>C55+F55</f>
        <v>0.2321</v>
      </c>
      <c r="J55" s="51">
        <f t="shared" si="18"/>
        <v>6.5040563554170589E-3</v>
      </c>
      <c r="K55" s="8" t="s">
        <v>259</v>
      </c>
      <c r="L55" s="8" t="s">
        <v>21</v>
      </c>
    </row>
    <row r="56" spans="1:14" ht="104" outlineLevel="1">
      <c r="A56" s="23">
        <v>4</v>
      </c>
      <c r="B56" s="221" t="s">
        <v>75</v>
      </c>
      <c r="C56" s="10">
        <f>'TH theo DV'!I32</f>
        <v>0.91076400000000002</v>
      </c>
      <c r="D56" s="196" t="s">
        <v>345</v>
      </c>
      <c r="E56" s="26"/>
      <c r="F56" s="10">
        <f>'TH theo DV'!R23</f>
        <v>0</v>
      </c>
      <c r="G56" s="198">
        <v>0</v>
      </c>
      <c r="H56" s="26"/>
      <c r="I56" s="10">
        <f>C56+F56</f>
        <v>0.91076400000000002</v>
      </c>
      <c r="J56" s="51">
        <f t="shared" si="18"/>
        <v>2.5522018020185534E-2</v>
      </c>
      <c r="K56" s="8" t="s">
        <v>259</v>
      </c>
      <c r="L56" s="8" t="s">
        <v>6</v>
      </c>
    </row>
    <row r="57" spans="1:14" ht="26">
      <c r="A57" s="113" t="s">
        <v>57</v>
      </c>
      <c r="B57" s="62" t="s">
        <v>212</v>
      </c>
      <c r="C57" s="106">
        <f>SUBTOTAL(9,C58:C60)</f>
        <v>0</v>
      </c>
      <c r="D57" s="197"/>
      <c r="E57" s="98">
        <f>C57/$C$5</f>
        <v>0</v>
      </c>
      <c r="F57" s="106">
        <f>SUBTOTAL(9,F58:F60)</f>
        <v>1.76662001</v>
      </c>
      <c r="G57" s="197"/>
      <c r="H57" s="98">
        <f>F57/$F$5</f>
        <v>0.12720570051054522</v>
      </c>
      <c r="I57" s="106">
        <f>SUBTOTAL(9,I58:I60)</f>
        <v>1.76662001</v>
      </c>
      <c r="J57" s="98">
        <f>I57/$I$5</f>
        <v>4.9505368822263883E-2</v>
      </c>
      <c r="N57" s="19" t="e">
        <f>'PL1.3 Buc tranh sau QH'!#REF!-'PL1.2 TH theo mục đích'!C57</f>
        <v>#REF!</v>
      </c>
    </row>
    <row r="58" spans="1:14" ht="39" outlineLevel="1">
      <c r="A58" s="23">
        <v>1</v>
      </c>
      <c r="B58" s="221" t="s">
        <v>73</v>
      </c>
      <c r="C58" s="10">
        <f>SUMIFS('PL1.1 ML2027-2028'!G:G,'PL1.1 ML2027-2028'!J:J,$L58,'PL1.1 ML2027-2028'!K:K,$K58)/10^6</f>
        <v>0</v>
      </c>
      <c r="D58" s="101" t="s">
        <v>380</v>
      </c>
      <c r="E58" s="27"/>
      <c r="F58" s="10">
        <f>SUMIFS('PL1.1 ML2027-2028'!$H:$H,'PL1.1 ML2027-2028'!$J:$J,"VT",'PL1.1 ML2027-2028'!$K:$K,"CCKC",'PL1.1 ML2027-2028'!$L:$L,"VTTB")/10^6
+SUMIFS('PL1.1 ML2027-2028'!$H:$H,'PL1.1 ML2027-2028'!$J:$J,"VT",'PL1.1 ML2027-2028'!$K:$K,"CCKC",'PL1.1 ML2027-2028'!$L:$L,"TK")/10^6+ SUMIFS('PL1.1 ML2027-2028'!$H:$H,'PL1.1 ML2027-2028'!$J:$J,"VT",'PL1.1 ML2027-2028'!$K:$K,"VHKT&amp;CLM",'PL1.1 ML2027-2028'!$L:$L,"VTTB")/10^6</f>
        <v>0</v>
      </c>
      <c r="G58" s="198">
        <v>0</v>
      </c>
      <c r="H58" s="27"/>
      <c r="I58" s="10">
        <f>C58+F58</f>
        <v>0</v>
      </c>
      <c r="J58" s="51">
        <f t="shared" ref="J58:J60" si="19">I58/$I$5</f>
        <v>0</v>
      </c>
      <c r="K58" s="8" t="s">
        <v>213</v>
      </c>
      <c r="L58" s="8" t="s">
        <v>7</v>
      </c>
    </row>
    <row r="59" spans="1:14" ht="65" outlineLevel="1">
      <c r="A59" s="23">
        <v>2</v>
      </c>
      <c r="B59" s="221" t="s">
        <v>74</v>
      </c>
      <c r="C59" s="10">
        <f>'TH theo DV'!H33</f>
        <v>0</v>
      </c>
      <c r="D59" s="187" t="s">
        <v>343</v>
      </c>
      <c r="E59" s="42"/>
      <c r="F59" s="10">
        <f>'TH theo DV'!Q32</f>
        <v>0.2321</v>
      </c>
      <c r="G59" s="198">
        <v>0</v>
      </c>
      <c r="H59" s="42"/>
      <c r="I59" s="10">
        <f>C59+F59</f>
        <v>0.2321</v>
      </c>
      <c r="J59" s="51">
        <f t="shared" si="19"/>
        <v>6.5040563554170589E-3</v>
      </c>
      <c r="K59" s="8" t="s">
        <v>213</v>
      </c>
      <c r="L59" s="8" t="s">
        <v>21</v>
      </c>
    </row>
    <row r="60" spans="1:14" ht="52" outlineLevel="1">
      <c r="A60" s="23">
        <v>3</v>
      </c>
      <c r="B60" s="221" t="s">
        <v>75</v>
      </c>
      <c r="C60" s="10">
        <f>'TH theo DV'!I33</f>
        <v>0</v>
      </c>
      <c r="D60" s="196" t="s">
        <v>346</v>
      </c>
      <c r="E60" s="26"/>
      <c r="F60" s="10">
        <f>'TH theo DV'!R32</f>
        <v>1.53452001</v>
      </c>
      <c r="G60" s="198">
        <v>0</v>
      </c>
      <c r="H60" s="26"/>
      <c r="I60" s="10">
        <f>C60+F60</f>
        <v>1.53452001</v>
      </c>
      <c r="J60" s="51">
        <f t="shared" si="19"/>
        <v>4.3001312466846825E-2</v>
      </c>
      <c r="K60" s="8" t="s">
        <v>213</v>
      </c>
      <c r="L60" s="8" t="s">
        <v>6</v>
      </c>
    </row>
  </sheetData>
  <autoFilter ref="A5:L60"/>
  <mergeCells count="7">
    <mergeCell ref="A1:J1"/>
    <mergeCell ref="J3:J4"/>
    <mergeCell ref="A3:A4"/>
    <mergeCell ref="B3:B4"/>
    <mergeCell ref="C3:E3"/>
    <mergeCell ref="F3:H3"/>
    <mergeCell ref="I3:I4"/>
  </mergeCells>
  <pageMargins left="0.39" right="0.18" top="0.2" bottom="0.14000000000000001" header="0.21" footer="0.13"/>
  <pageSetup paperSize="9" scale="75" fitToHeight="0" orientation="landscape" horizontalDpi="300"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tabColor rgb="FFEE0033"/>
    <outlinePr summaryBelow="0" summaryRight="0"/>
    <pageSetUpPr fitToPage="1"/>
  </sheetPr>
  <dimension ref="A1:K29"/>
  <sheetViews>
    <sheetView zoomScale="90" zoomScaleNormal="90" workbookViewId="0">
      <pane xSplit="2" ySplit="3" topLeftCell="C19" activePane="bottomRight" state="frozen"/>
      <selection activeCell="N27" sqref="N27"/>
      <selection pane="topRight" activeCell="N27" sqref="N27"/>
      <selection pane="bottomLeft" activeCell="N27" sqref="N27"/>
      <selection pane="bottomRight" activeCell="C24" sqref="C24"/>
    </sheetView>
  </sheetViews>
  <sheetFormatPr defaultColWidth="9.26953125" defaultRowHeight="13" outlineLevelRow="1"/>
  <cols>
    <col min="1" max="1" width="3.26953125" style="12" bestFit="1" customWidth="1"/>
    <col min="2" max="2" width="26.7265625" style="12" customWidth="1"/>
    <col min="3" max="3" width="78" style="12" customWidth="1"/>
    <col min="4" max="4" width="10.81640625" style="33" customWidth="1"/>
    <col min="5" max="5" width="7.1796875" style="37" customWidth="1"/>
    <col min="6" max="6" width="59.54296875" style="12" customWidth="1"/>
    <col min="7" max="7" width="0" style="34" hidden="1" customWidth="1"/>
    <col min="8" max="8" width="14.26953125" style="57" hidden="1" customWidth="1"/>
    <col min="9" max="16384" width="9.26953125" style="12"/>
  </cols>
  <sheetData>
    <row r="1" spans="1:9" ht="17.5">
      <c r="A1" s="754" t="s">
        <v>382</v>
      </c>
      <c r="B1" s="755"/>
      <c r="C1" s="755"/>
      <c r="D1" s="755"/>
      <c r="E1" s="755"/>
      <c r="F1" s="755"/>
      <c r="G1" s="36"/>
      <c r="H1" s="36"/>
      <c r="I1" s="36"/>
    </row>
    <row r="2" spans="1:9">
      <c r="C2" s="95"/>
    </row>
    <row r="3" spans="1:9" ht="26">
      <c r="A3" s="4" t="s">
        <v>0</v>
      </c>
      <c r="B3" s="5" t="s">
        <v>84</v>
      </c>
      <c r="C3" s="5" t="s">
        <v>85</v>
      </c>
      <c r="D3" s="112" t="s">
        <v>415</v>
      </c>
      <c r="E3" s="38" t="s">
        <v>86</v>
      </c>
      <c r="F3" s="5" t="s">
        <v>114</v>
      </c>
    </row>
    <row r="4" spans="1:9">
      <c r="A4" s="4"/>
      <c r="B4" s="217" t="s">
        <v>78</v>
      </c>
      <c r="C4" s="217"/>
      <c r="D4" s="31">
        <f>SUBTOTAL(9,D5:D29)</f>
        <v>42.827515669094254</v>
      </c>
      <c r="E4" s="38"/>
      <c r="F4" s="217"/>
    </row>
    <row r="5" spans="1:9">
      <c r="A5" s="4" t="s">
        <v>4</v>
      </c>
      <c r="B5" s="141" t="s">
        <v>248</v>
      </c>
      <c r="C5" s="142"/>
      <c r="D5" s="20">
        <f>SUBTOTAL(9,D6:D9)</f>
        <v>0.19148999999999999</v>
      </c>
      <c r="E5" s="143">
        <f>D5/$D$4</f>
        <v>4.4711909390108629E-3</v>
      </c>
      <c r="F5" s="142"/>
    </row>
    <row r="6" spans="1:9" s="264" customFormat="1" ht="117" outlineLevel="1">
      <c r="A6" s="242">
        <v>1</v>
      </c>
      <c r="B6" s="240" t="s">
        <v>113</v>
      </c>
      <c r="C6" s="247" t="s">
        <v>389</v>
      </c>
      <c r="D6" s="239">
        <f>'TH theo DV'!AB7</f>
        <v>6.6364000000000006E-2</v>
      </c>
      <c r="E6" s="261">
        <f>D6/$D$4</f>
        <v>1.5495645489399809E-3</v>
      </c>
      <c r="F6" s="247" t="s">
        <v>388</v>
      </c>
      <c r="G6" s="262" t="s">
        <v>93</v>
      </c>
      <c r="H6" s="263"/>
      <c r="I6" s="281"/>
    </row>
    <row r="7" spans="1:9" outlineLevel="1">
      <c r="A7" s="28">
        <v>2</v>
      </c>
      <c r="B7" s="183" t="s">
        <v>249</v>
      </c>
      <c r="C7" s="130" t="s">
        <v>390</v>
      </c>
      <c r="D7" s="108">
        <f>'TH theo DV'!AB8</f>
        <v>0</v>
      </c>
      <c r="E7" s="35">
        <f>D7/$D$4</f>
        <v>0</v>
      </c>
      <c r="F7" s="184" t="s">
        <v>339</v>
      </c>
    </row>
    <row r="8" spans="1:9" s="271" customFormat="1" ht="26" outlineLevel="1">
      <c r="A8" s="257">
        <v>3</v>
      </c>
      <c r="B8" s="282" t="s">
        <v>250</v>
      </c>
      <c r="C8" s="334" t="s">
        <v>1012</v>
      </c>
      <c r="D8" s="267">
        <f>'TH theo DV'!AB9</f>
        <v>0.12512599999999999</v>
      </c>
      <c r="E8" s="268">
        <f>D8/$D$4</f>
        <v>2.9216263900708824E-3</v>
      </c>
      <c r="F8" s="252" t="s">
        <v>363</v>
      </c>
      <c r="G8" s="269" t="s">
        <v>38</v>
      </c>
      <c r="H8" s="270"/>
    </row>
    <row r="9" spans="1:9" ht="26" outlineLevel="1">
      <c r="A9" s="28">
        <v>4</v>
      </c>
      <c r="B9" s="96" t="s">
        <v>221</v>
      </c>
      <c r="C9" s="184" t="s">
        <v>391</v>
      </c>
      <c r="D9" s="108">
        <f>'TH theo DV'!AB10</f>
        <v>0</v>
      </c>
      <c r="E9" s="35">
        <f>D9/$D$4</f>
        <v>0</v>
      </c>
      <c r="F9" s="184" t="s">
        <v>348</v>
      </c>
      <c r="G9" s="34" t="s">
        <v>251</v>
      </c>
    </row>
    <row r="10" spans="1:9">
      <c r="A10" s="60" t="s">
        <v>12</v>
      </c>
      <c r="B10" s="61" t="s">
        <v>252</v>
      </c>
      <c r="C10" s="185"/>
      <c r="D10" s="109">
        <f>SUBTOTAL(9,D11:D24)</f>
        <v>34.539353539094257</v>
      </c>
      <c r="E10" s="46">
        <f>D10/D4</f>
        <v>0.8064757667935194</v>
      </c>
      <c r="F10" s="189"/>
    </row>
    <row r="11" spans="1:9" outlineLevel="1">
      <c r="A11" s="164">
        <v>1</v>
      </c>
      <c r="B11" s="151" t="s">
        <v>76</v>
      </c>
      <c r="C11" s="186"/>
      <c r="D11" s="201">
        <f>SUBTOTAL(9,D12:D13)</f>
        <v>22.002226210522828</v>
      </c>
      <c r="E11" s="35">
        <f t="shared" ref="E11:E19" si="0">D11/$D$4</f>
        <v>0.51374042754481697</v>
      </c>
      <c r="F11" s="130"/>
    </row>
    <row r="12" spans="1:9" ht="117" outlineLevel="1">
      <c r="A12" s="28" t="s">
        <v>8</v>
      </c>
      <c r="B12" s="144" t="s">
        <v>216</v>
      </c>
      <c r="C12" s="184" t="s">
        <v>387</v>
      </c>
      <c r="D12" s="108">
        <f>'TH theo DV'!AB13</f>
        <v>6.1969858013858623</v>
      </c>
      <c r="E12" s="35">
        <f t="shared" si="0"/>
        <v>0.14469636411476025</v>
      </c>
      <c r="F12" s="184" t="s">
        <v>392</v>
      </c>
      <c r="G12" s="34" t="s">
        <v>7</v>
      </c>
    </row>
    <row r="13" spans="1:9" s="264" customFormat="1" ht="130" outlineLevel="1">
      <c r="A13" s="242" t="s">
        <v>8</v>
      </c>
      <c r="B13" s="260" t="s">
        <v>217</v>
      </c>
      <c r="C13" s="247" t="s">
        <v>560</v>
      </c>
      <c r="D13" s="239">
        <f>'TH theo DV'!AB14</f>
        <v>15.805240409136967</v>
      </c>
      <c r="E13" s="261">
        <f t="shared" si="0"/>
        <v>0.36904406343005669</v>
      </c>
      <c r="F13" s="247" t="s">
        <v>559</v>
      </c>
      <c r="G13" s="262" t="s">
        <v>18</v>
      </c>
      <c r="H13" s="263"/>
    </row>
    <row r="14" spans="1:9" outlineLevel="1">
      <c r="A14" s="147">
        <v>2</v>
      </c>
      <c r="B14" s="151" t="s">
        <v>219</v>
      </c>
      <c r="C14" s="187"/>
      <c r="D14" s="201">
        <f>SUBTOTAL(9,D15:D18)</f>
        <v>2.0167546000000001</v>
      </c>
      <c r="E14" s="35">
        <f t="shared" si="0"/>
        <v>4.7090160811157127E-2</v>
      </c>
      <c r="F14" s="184"/>
    </row>
    <row r="15" spans="1:9" ht="52" outlineLevel="1">
      <c r="A15" s="29" t="s">
        <v>8</v>
      </c>
      <c r="B15" s="144" t="s">
        <v>121</v>
      </c>
      <c r="C15" s="184" t="s">
        <v>394</v>
      </c>
      <c r="D15" s="108">
        <f>'TH theo DV'!AB16</f>
        <v>0</v>
      </c>
      <c r="E15" s="35">
        <f t="shared" si="0"/>
        <v>0</v>
      </c>
      <c r="F15" s="184" t="s">
        <v>393</v>
      </c>
      <c r="G15" s="34" t="s">
        <v>29</v>
      </c>
    </row>
    <row r="16" spans="1:9" ht="104" outlineLevel="1">
      <c r="A16" s="29" t="s">
        <v>8</v>
      </c>
      <c r="B16" s="144" t="s">
        <v>138</v>
      </c>
      <c r="C16" s="184" t="s">
        <v>395</v>
      </c>
      <c r="D16" s="108">
        <f>'TH theo DV'!AB17</f>
        <v>1.6101239999999999</v>
      </c>
      <c r="E16" s="35">
        <f t="shared" si="0"/>
        <v>3.759554984324992E-2</v>
      </c>
      <c r="F16" s="184" t="s">
        <v>396</v>
      </c>
      <c r="G16" s="34" t="s">
        <v>29</v>
      </c>
    </row>
    <row r="17" spans="1:11" ht="78" outlineLevel="1">
      <c r="A17" s="29" t="s">
        <v>8</v>
      </c>
      <c r="B17" s="144" t="s">
        <v>139</v>
      </c>
      <c r="C17" s="184" t="s">
        <v>405</v>
      </c>
      <c r="D17" s="108">
        <f>'TH theo DV'!AB18</f>
        <v>0</v>
      </c>
      <c r="E17" s="35">
        <f t="shared" si="0"/>
        <v>0</v>
      </c>
      <c r="F17" s="184" t="s">
        <v>397</v>
      </c>
      <c r="G17" s="34" t="s">
        <v>29</v>
      </c>
    </row>
    <row r="18" spans="1:11" outlineLevel="1">
      <c r="A18" s="29" t="s">
        <v>8</v>
      </c>
      <c r="B18" s="144" t="s">
        <v>176</v>
      </c>
      <c r="C18" s="184" t="s">
        <v>341</v>
      </c>
      <c r="D18" s="108">
        <f>'TH theo DV'!AB19</f>
        <v>0.40663060000000001</v>
      </c>
      <c r="E18" s="35">
        <f t="shared" si="0"/>
        <v>9.4946109679072063E-3</v>
      </c>
      <c r="F18" s="184" t="s">
        <v>340</v>
      </c>
      <c r="G18" s="34" t="s">
        <v>21</v>
      </c>
    </row>
    <row r="19" spans="1:11" s="271" customFormat="1" ht="26" outlineLevel="1">
      <c r="A19" s="278">
        <v>3</v>
      </c>
      <c r="B19" s="279" t="s">
        <v>119</v>
      </c>
      <c r="C19" s="252" t="s">
        <v>386</v>
      </c>
      <c r="D19" s="280">
        <f>'TH theo DV'!AB20</f>
        <v>0</v>
      </c>
      <c r="E19" s="268">
        <f t="shared" si="0"/>
        <v>0</v>
      </c>
      <c r="F19" s="252" t="s">
        <v>8</v>
      </c>
      <c r="G19" s="269" t="s">
        <v>38</v>
      </c>
      <c r="H19" s="270"/>
      <c r="J19" s="272"/>
    </row>
    <row r="20" spans="1:11" ht="26" outlineLevel="1">
      <c r="A20" s="147">
        <v>4</v>
      </c>
      <c r="B20" s="151" t="s">
        <v>120</v>
      </c>
      <c r="C20" s="184" t="s">
        <v>398</v>
      </c>
      <c r="D20" s="201">
        <f>'TH theo DV'!AB21</f>
        <v>1.7431649285714288</v>
      </c>
      <c r="E20" s="35"/>
      <c r="F20" s="184" t="s">
        <v>399</v>
      </c>
      <c r="G20" s="34" t="s">
        <v>124</v>
      </c>
      <c r="J20" s="41"/>
    </row>
    <row r="21" spans="1:11" outlineLevel="1">
      <c r="A21" s="147">
        <v>5</v>
      </c>
      <c r="B21" s="151" t="s">
        <v>222</v>
      </c>
      <c r="C21" s="184"/>
      <c r="D21" s="201">
        <f>SUBTOTAL(9,D22:D24)</f>
        <v>8.7772078000000011</v>
      </c>
      <c r="E21" s="35"/>
      <c r="F21" s="184"/>
      <c r="J21" s="41"/>
    </row>
    <row r="22" spans="1:11" s="271" customFormat="1" ht="26" outlineLevel="1">
      <c r="A22" s="265" t="s">
        <v>8</v>
      </c>
      <c r="B22" s="266" t="s">
        <v>254</v>
      </c>
      <c r="C22" s="252" t="s">
        <v>1018</v>
      </c>
      <c r="D22" s="267">
        <f>'TH theo DV'!AB23</f>
        <v>2.2513510000000001</v>
      </c>
      <c r="E22" s="268"/>
      <c r="F22" s="760" t="s">
        <v>404</v>
      </c>
      <c r="G22" s="269" t="s">
        <v>38</v>
      </c>
      <c r="H22" s="270"/>
      <c r="J22" s="272"/>
    </row>
    <row r="23" spans="1:11" s="271" customFormat="1" ht="52" outlineLevel="1">
      <c r="A23" s="265" t="s">
        <v>8</v>
      </c>
      <c r="B23" s="266" t="s">
        <v>255</v>
      </c>
      <c r="C23" s="252" t="s">
        <v>1017</v>
      </c>
      <c r="D23" s="267">
        <f>'TH theo DV'!AB24</f>
        <v>6.5258568000000006</v>
      </c>
      <c r="E23" s="268"/>
      <c r="F23" s="761"/>
      <c r="G23" s="269" t="s">
        <v>38</v>
      </c>
      <c r="H23" s="270"/>
      <c r="J23" s="272"/>
    </row>
    <row r="24" spans="1:11" s="271" customFormat="1" ht="26" outlineLevel="1">
      <c r="A24" s="265" t="s">
        <v>8</v>
      </c>
      <c r="B24" s="266" t="s">
        <v>99</v>
      </c>
      <c r="C24" s="252" t="s">
        <v>281</v>
      </c>
      <c r="D24" s="267">
        <f>'TH theo DV'!AB25</f>
        <v>0</v>
      </c>
      <c r="E24" s="268">
        <f>D24/$D$4</f>
        <v>0</v>
      </c>
      <c r="F24" s="252" t="s">
        <v>282</v>
      </c>
      <c r="G24" s="269" t="s">
        <v>38</v>
      </c>
      <c r="H24" s="270"/>
      <c r="I24" s="273"/>
      <c r="J24" s="274"/>
      <c r="K24" s="272"/>
    </row>
    <row r="25" spans="1:11">
      <c r="A25" s="47" t="s">
        <v>19</v>
      </c>
      <c r="B25" s="48" t="s">
        <v>256</v>
      </c>
      <c r="C25" s="188"/>
      <c r="D25" s="110">
        <f>SUBTOTAL(9,D27:D29)</f>
        <v>6.7464079300000002</v>
      </c>
      <c r="E25" s="49">
        <f>D25/$D$4</f>
        <v>0.15752508228882467</v>
      </c>
      <c r="F25" s="188"/>
    </row>
    <row r="26" spans="1:11" s="271" customFormat="1" ht="78" outlineLevel="1">
      <c r="A26" s="257">
        <v>1</v>
      </c>
      <c r="B26" s="275" t="s">
        <v>401</v>
      </c>
      <c r="C26" s="252" t="s">
        <v>555</v>
      </c>
      <c r="D26" s="267">
        <f>'TH theo DV'!AB30</f>
        <v>1.3502641999999998</v>
      </c>
      <c r="E26" s="276"/>
      <c r="F26" s="252" t="s">
        <v>556</v>
      </c>
      <c r="G26" s="269"/>
      <c r="H26" s="270"/>
    </row>
    <row r="27" spans="1:11" s="271" customFormat="1" ht="117" outlineLevel="1">
      <c r="A27" s="257">
        <v>2</v>
      </c>
      <c r="B27" s="277" t="s">
        <v>400</v>
      </c>
      <c r="C27" s="252" t="s">
        <v>557</v>
      </c>
      <c r="D27" s="267">
        <f>'TH theo DV'!AB31</f>
        <v>3.8369239200000003</v>
      </c>
      <c r="E27" s="268"/>
      <c r="F27" s="252" t="s">
        <v>558</v>
      </c>
      <c r="G27" s="269"/>
      <c r="H27" s="270"/>
    </row>
    <row r="28" spans="1:11" ht="143" outlineLevel="1">
      <c r="A28" s="28">
        <v>3</v>
      </c>
      <c r="B28" s="132" t="s">
        <v>403</v>
      </c>
      <c r="C28" s="184" t="s">
        <v>369</v>
      </c>
      <c r="D28" s="108">
        <f>'TH theo DV'!AB32</f>
        <v>2.9094840099999999</v>
      </c>
      <c r="E28" s="35"/>
      <c r="F28" s="184" t="s">
        <v>347</v>
      </c>
    </row>
    <row r="29" spans="1:11" ht="130" outlineLevel="1">
      <c r="A29" s="28">
        <v>4</v>
      </c>
      <c r="B29" s="154" t="s">
        <v>212</v>
      </c>
      <c r="C29" s="184" t="s">
        <v>381</v>
      </c>
      <c r="D29" s="108">
        <f>'TH theo DV'!AB33</f>
        <v>0</v>
      </c>
      <c r="E29" s="35"/>
      <c r="F29" s="184" t="s">
        <v>370</v>
      </c>
    </row>
  </sheetData>
  <autoFilter ref="A3:G29"/>
  <mergeCells count="2">
    <mergeCell ref="A1:F1"/>
    <mergeCell ref="F22:F23"/>
  </mergeCells>
  <pageMargins left="0.45" right="0.2" top="0.25" bottom="0.2" header="0.2" footer="0.2"/>
  <pageSetup paperSize="9" scale="75" fitToHeight="0" orientation="landscape"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dimension ref="B2:K33"/>
  <sheetViews>
    <sheetView workbookViewId="0">
      <selection activeCell="B9" sqref="B9"/>
    </sheetView>
  </sheetViews>
  <sheetFormatPr defaultColWidth="8.7265625" defaultRowHeight="13"/>
  <cols>
    <col min="1" max="2" width="8.7265625" style="9"/>
    <col min="3" max="3" width="12.7265625" style="9" bestFit="1" customWidth="1"/>
    <col min="4" max="6" width="8.7265625" style="9"/>
    <col min="7" max="7" width="2.7265625" style="9" bestFit="1" customWidth="1"/>
    <col min="8" max="8" width="8.7265625" style="165"/>
    <col min="9" max="16384" width="8.7265625" style="9"/>
  </cols>
  <sheetData>
    <row r="2" spans="2:11">
      <c r="B2" s="762" t="s">
        <v>126</v>
      </c>
      <c r="C2" s="762"/>
      <c r="D2" s="762"/>
    </row>
    <row r="3" spans="2:11">
      <c r="B3" s="30" t="s">
        <v>89</v>
      </c>
      <c r="C3" s="30" t="s">
        <v>90</v>
      </c>
      <c r="D3" s="30" t="s">
        <v>91</v>
      </c>
    </row>
    <row r="4" spans="2:11">
      <c r="B4" s="39" t="s">
        <v>7</v>
      </c>
      <c r="C4" s="29" t="s">
        <v>93</v>
      </c>
      <c r="D4" s="1" t="s">
        <v>112</v>
      </c>
      <c r="G4" s="18" t="s">
        <v>4</v>
      </c>
      <c r="H4" s="166" t="s">
        <v>253</v>
      </c>
      <c r="I4" s="161"/>
      <c r="J4" s="161"/>
      <c r="K4" s="161"/>
    </row>
    <row r="5" spans="2:11">
      <c r="B5" s="39"/>
      <c r="C5" s="29" t="s">
        <v>191</v>
      </c>
      <c r="D5" s="1"/>
      <c r="G5" s="32">
        <v>1</v>
      </c>
      <c r="H5" s="167" t="s">
        <v>113</v>
      </c>
      <c r="I5" s="161"/>
      <c r="J5" s="161"/>
      <c r="K5" s="161"/>
    </row>
    <row r="6" spans="2:11">
      <c r="B6" s="39" t="s">
        <v>18</v>
      </c>
      <c r="C6" s="39"/>
      <c r="D6" s="1" t="s">
        <v>62</v>
      </c>
      <c r="G6" s="32">
        <v>2</v>
      </c>
      <c r="H6" s="167" t="s">
        <v>249</v>
      </c>
      <c r="I6" s="161"/>
      <c r="J6" s="161"/>
      <c r="K6" s="161"/>
    </row>
    <row r="7" spans="2:11">
      <c r="B7" s="39" t="s">
        <v>29</v>
      </c>
      <c r="C7" s="39" t="s">
        <v>123</v>
      </c>
      <c r="D7" s="1"/>
      <c r="G7" s="32">
        <v>3</v>
      </c>
      <c r="H7" s="167" t="s">
        <v>250</v>
      </c>
      <c r="I7" s="161"/>
      <c r="J7" s="161"/>
      <c r="K7" s="161"/>
    </row>
    <row r="8" spans="2:11">
      <c r="B8" s="39" t="s">
        <v>10</v>
      </c>
      <c r="C8" s="39"/>
      <c r="D8" s="1"/>
      <c r="G8" s="32">
        <v>4</v>
      </c>
      <c r="H8" s="167" t="s">
        <v>221</v>
      </c>
      <c r="I8" s="161"/>
      <c r="J8" s="161"/>
      <c r="K8" s="161"/>
    </row>
    <row r="9" spans="2:11">
      <c r="B9" s="39"/>
      <c r="C9" s="39" t="s">
        <v>208</v>
      </c>
      <c r="D9" s="1"/>
      <c r="G9" s="18" t="s">
        <v>12</v>
      </c>
      <c r="H9" s="166" t="s">
        <v>252</v>
      </c>
      <c r="I9" s="161"/>
      <c r="J9" s="161"/>
      <c r="K9" s="161"/>
    </row>
    <row r="10" spans="2:11">
      <c r="B10" s="39" t="s">
        <v>38</v>
      </c>
      <c r="C10" s="40" t="s">
        <v>124</v>
      </c>
      <c r="D10" s="1"/>
      <c r="G10" s="32">
        <v>2</v>
      </c>
      <c r="H10" s="167" t="s">
        <v>76</v>
      </c>
      <c r="I10" s="161"/>
      <c r="J10" s="161"/>
      <c r="K10" s="161"/>
    </row>
    <row r="11" spans="2:11">
      <c r="B11" s="39" t="s">
        <v>21</v>
      </c>
      <c r="C11" s="29" t="s">
        <v>127</v>
      </c>
      <c r="D11" s="1"/>
      <c r="G11" s="32" t="s">
        <v>8</v>
      </c>
      <c r="H11" s="167" t="s">
        <v>216</v>
      </c>
      <c r="I11" s="161"/>
      <c r="J11" s="161"/>
      <c r="K11" s="161"/>
    </row>
    <row r="12" spans="2:11">
      <c r="B12" s="39" t="s">
        <v>6</v>
      </c>
      <c r="C12" s="29" t="s">
        <v>128</v>
      </c>
      <c r="D12" s="1"/>
      <c r="G12" s="32" t="s">
        <v>8</v>
      </c>
      <c r="H12" s="167" t="s">
        <v>217</v>
      </c>
      <c r="I12" s="161"/>
      <c r="J12" s="161"/>
      <c r="K12" s="161"/>
    </row>
    <row r="13" spans="2:11">
      <c r="B13" s="39" t="s">
        <v>115</v>
      </c>
      <c r="C13" s="29" t="s">
        <v>129</v>
      </c>
      <c r="D13" s="1"/>
      <c r="G13" s="32">
        <v>3</v>
      </c>
      <c r="H13" s="167" t="s">
        <v>219</v>
      </c>
      <c r="I13" s="161"/>
      <c r="J13" s="161"/>
      <c r="K13" s="161"/>
    </row>
    <row r="14" spans="2:11">
      <c r="B14" s="1"/>
      <c r="C14" s="29" t="s">
        <v>130</v>
      </c>
      <c r="D14" s="1"/>
      <c r="G14" s="32" t="s">
        <v>8</v>
      </c>
      <c r="H14" s="167" t="s">
        <v>116</v>
      </c>
      <c r="I14" s="161"/>
      <c r="J14" s="161"/>
      <c r="K14" s="161"/>
    </row>
    <row r="15" spans="2:11">
      <c r="B15" s="1"/>
      <c r="C15" s="29" t="s">
        <v>249</v>
      </c>
      <c r="D15" s="1"/>
      <c r="G15" s="32" t="s">
        <v>8</v>
      </c>
      <c r="H15" s="167" t="s">
        <v>158</v>
      </c>
      <c r="I15" s="161"/>
      <c r="J15" s="161"/>
      <c r="K15" s="161"/>
    </row>
    <row r="16" spans="2:11">
      <c r="B16" s="1"/>
      <c r="C16" s="29" t="s">
        <v>125</v>
      </c>
      <c r="D16" s="1"/>
      <c r="G16" s="32" t="s">
        <v>8</v>
      </c>
      <c r="H16" s="167" t="s">
        <v>159</v>
      </c>
      <c r="I16" s="161"/>
      <c r="J16" s="161"/>
      <c r="K16" s="161"/>
    </row>
    <row r="17" spans="2:11">
      <c r="B17" s="1"/>
      <c r="C17" s="29" t="s">
        <v>257</v>
      </c>
      <c r="D17" s="1"/>
      <c r="G17" s="32" t="s">
        <v>8</v>
      </c>
      <c r="H17" s="167" t="s">
        <v>177</v>
      </c>
      <c r="I17" s="161"/>
      <c r="J17" s="161"/>
      <c r="K17" s="161"/>
    </row>
    <row r="18" spans="2:11">
      <c r="B18" s="1"/>
      <c r="C18" s="29" t="s">
        <v>258</v>
      </c>
      <c r="D18" s="1"/>
      <c r="G18" s="32">
        <v>4</v>
      </c>
      <c r="H18" s="167" t="s">
        <v>119</v>
      </c>
      <c r="I18" s="161"/>
      <c r="J18" s="161"/>
      <c r="K18" s="161"/>
    </row>
    <row r="19" spans="2:11">
      <c r="B19" s="1"/>
      <c r="C19" s="29" t="s">
        <v>117</v>
      </c>
      <c r="D19" s="1"/>
      <c r="G19" s="32">
        <v>5</v>
      </c>
      <c r="H19" s="167" t="s">
        <v>120</v>
      </c>
      <c r="I19" s="161"/>
      <c r="J19" s="161"/>
      <c r="K19" s="161"/>
    </row>
    <row r="20" spans="2:11">
      <c r="B20" s="1"/>
      <c r="C20" s="29" t="s">
        <v>160</v>
      </c>
      <c r="D20" s="1"/>
      <c r="G20" s="32">
        <v>6</v>
      </c>
      <c r="H20" s="167" t="s">
        <v>222</v>
      </c>
      <c r="I20" s="161"/>
      <c r="J20" s="161"/>
      <c r="K20" s="161"/>
    </row>
    <row r="21" spans="2:11">
      <c r="B21" s="1"/>
      <c r="C21" s="29" t="s">
        <v>157</v>
      </c>
      <c r="D21" s="1"/>
      <c r="G21" s="32" t="s">
        <v>8</v>
      </c>
      <c r="H21" s="168" t="s">
        <v>254</v>
      </c>
      <c r="I21" s="161"/>
      <c r="J21" s="161"/>
      <c r="K21" s="161"/>
    </row>
    <row r="22" spans="2:11">
      <c r="B22" s="1"/>
      <c r="C22" s="29" t="s">
        <v>192</v>
      </c>
      <c r="D22" s="1"/>
      <c r="G22" s="32" t="s">
        <v>8</v>
      </c>
      <c r="H22" s="168" t="s">
        <v>255</v>
      </c>
      <c r="I22" s="161"/>
      <c r="J22" s="161"/>
      <c r="K22" s="161"/>
    </row>
    <row r="23" spans="2:11">
      <c r="B23" s="1"/>
      <c r="C23" s="70" t="s">
        <v>250</v>
      </c>
      <c r="D23" s="1"/>
      <c r="G23" s="32" t="s">
        <v>8</v>
      </c>
      <c r="H23" s="168" t="s">
        <v>99</v>
      </c>
      <c r="I23" s="161"/>
      <c r="J23" s="161"/>
      <c r="K23" s="161"/>
    </row>
    <row r="24" spans="2:11">
      <c r="B24" s="1"/>
      <c r="C24" s="29" t="s">
        <v>251</v>
      </c>
      <c r="D24" s="1"/>
      <c r="G24" s="18" t="s">
        <v>19</v>
      </c>
      <c r="H24" s="166" t="s">
        <v>256</v>
      </c>
      <c r="I24" s="161"/>
      <c r="J24" s="161"/>
      <c r="K24" s="161"/>
    </row>
    <row r="25" spans="2:11">
      <c r="B25" s="1"/>
      <c r="C25" s="29" t="s">
        <v>161</v>
      </c>
      <c r="D25" s="1"/>
      <c r="G25" s="32">
        <v>1</v>
      </c>
      <c r="H25" s="167" t="s">
        <v>215</v>
      </c>
      <c r="I25" s="161"/>
      <c r="J25" s="161"/>
      <c r="K25" s="161"/>
    </row>
    <row r="26" spans="2:11">
      <c r="B26" s="1"/>
      <c r="C26" s="29" t="s">
        <v>99</v>
      </c>
      <c r="D26" s="1"/>
      <c r="G26" s="32">
        <v>2</v>
      </c>
      <c r="H26" s="167" t="s">
        <v>220</v>
      </c>
      <c r="I26" s="161"/>
      <c r="J26" s="161"/>
      <c r="K26" s="161"/>
    </row>
    <row r="27" spans="2:11">
      <c r="B27" s="1"/>
      <c r="C27" s="29" t="s">
        <v>402</v>
      </c>
      <c r="D27" s="1"/>
      <c r="G27" s="32"/>
      <c r="H27" s="167"/>
      <c r="I27" s="161"/>
      <c r="J27" s="161"/>
      <c r="K27" s="161"/>
    </row>
    <row r="28" spans="2:11" ht="12.65" customHeight="1">
      <c r="B28" s="32"/>
      <c r="C28" s="29" t="s">
        <v>145</v>
      </c>
      <c r="D28" s="32"/>
      <c r="G28" s="32">
        <v>3</v>
      </c>
      <c r="H28" s="167" t="s">
        <v>212</v>
      </c>
      <c r="I28" s="161"/>
      <c r="J28" s="161"/>
      <c r="K28" s="161"/>
    </row>
    <row r="29" spans="2:11">
      <c r="B29" s="32"/>
      <c r="C29" s="29" t="s">
        <v>213</v>
      </c>
      <c r="D29" s="32"/>
    </row>
    <row r="30" spans="2:11">
      <c r="B30" s="32"/>
      <c r="C30" s="29" t="s">
        <v>259</v>
      </c>
      <c r="D30" s="32"/>
    </row>
    <row r="31" spans="2:11">
      <c r="B31" s="32"/>
      <c r="C31" s="32" t="s">
        <v>151</v>
      </c>
      <c r="D31" s="32"/>
    </row>
    <row r="32" spans="2:11">
      <c r="B32" s="32"/>
      <c r="C32" s="32" t="s">
        <v>152</v>
      </c>
      <c r="D32" s="32"/>
    </row>
    <row r="33" spans="2:4">
      <c r="B33" s="32"/>
      <c r="C33" s="32" t="s">
        <v>153</v>
      </c>
      <c r="D33" s="32"/>
    </row>
  </sheetData>
  <mergeCells count="1">
    <mergeCell ref="B2:D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6</vt:i4>
      </vt:variant>
    </vt:vector>
  </HeadingPairs>
  <TitlesOfParts>
    <vt:vector size="11" baseType="lpstr">
      <vt:lpstr>PL1.1 ML2027-2028</vt:lpstr>
      <vt:lpstr>TH theo DV</vt:lpstr>
      <vt:lpstr>PL1.2 TH theo mục đích</vt:lpstr>
      <vt:lpstr>PL1.3 Buc tranh sau QH</vt:lpstr>
      <vt:lpstr>Mã</vt:lpstr>
      <vt:lpstr>'PL1.1 ML2027-2028'!Print_Area</vt:lpstr>
      <vt:lpstr>'PL1.2 TH theo mục đích'!Print_Area</vt:lpstr>
      <vt:lpstr>'PL1.3 Buc tranh sau QH'!Print_Area</vt:lpstr>
      <vt:lpstr>'PL1.1 ML2027-2028'!Print_Titles</vt:lpstr>
      <vt:lpstr>'PL1.2 TH theo mục đích'!Print_Titles</vt:lpstr>
      <vt:lpstr>'PL1.3 Buc tranh sau QH'!Print_Titles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thunm6</dc:creator>
  <cp:lastModifiedBy>admin</cp:lastModifiedBy>
  <cp:lastPrinted>2026-07-18T15:56:07Z</cp:lastPrinted>
  <dcterms:created xsi:type="dcterms:W3CDTF">2019-10-23T01:10:24Z</dcterms:created>
  <dcterms:modified xsi:type="dcterms:W3CDTF">2026-09-15T14:23:22Z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VBMPSD">
    <vt:lpwstr>K</vt:lpwstr>
  </property>
</Properties>
</file>