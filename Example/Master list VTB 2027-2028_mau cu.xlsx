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OneDrive - Viettel Group\01. Task Spot\12. Burundi\02. QHTK Burundi\QHDC 2027\Bao cao\"/>
    </mc:Choice>
  </mc:AlternateContent>
  <xr:revisionPtr revIDLastSave="0" documentId="13_ncr:1_{5D6FDDDE-2244-4581-8864-079CBF3E8CF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8" i="5" l="1"/>
  <c r="AI38" i="5"/>
  <c r="AH38" i="5"/>
  <c r="AG38" i="5"/>
  <c r="AG36" i="5" s="1"/>
  <c r="AF38" i="5"/>
  <c r="AF36" i="5" s="1"/>
  <c r="AE38" i="5"/>
  <c r="AD38" i="5"/>
  <c r="AC38" i="5"/>
  <c r="AA38" i="5"/>
  <c r="Z38" i="5"/>
  <c r="Y38" i="5"/>
  <c r="Y36" i="5" s="1"/>
  <c r="X38" i="5"/>
  <c r="X36" i="5" s="1"/>
  <c r="W38" i="5"/>
  <c r="V38" i="5"/>
  <c r="U38" i="5"/>
  <c r="S38" i="5"/>
  <c r="K38" i="5"/>
  <c r="AB38" i="5" s="1"/>
  <c r="AI37" i="5"/>
  <c r="AI36" i="5" s="1"/>
  <c r="AH37" i="5"/>
  <c r="AH36" i="5" s="1"/>
  <c r="AG37" i="5"/>
  <c r="AF37" i="5"/>
  <c r="AE37" i="5"/>
  <c r="AD37" i="5"/>
  <c r="AC37" i="5"/>
  <c r="AB37" i="5"/>
  <c r="AB36" i="5" s="1"/>
  <c r="AA37" i="5"/>
  <c r="Z37" i="5"/>
  <c r="Z36" i="5" s="1"/>
  <c r="Y37" i="5"/>
  <c r="X37" i="5"/>
  <c r="W37" i="5"/>
  <c r="V37" i="5"/>
  <c r="U37" i="5"/>
  <c r="S37" i="5"/>
  <c r="AJ37" i="5" s="1"/>
  <c r="AJ36" i="5" s="1"/>
  <c r="K37" i="5"/>
  <c r="AE36" i="5"/>
  <c r="AD36" i="5"/>
  <c r="AC36" i="5"/>
  <c r="AA36" i="5"/>
  <c r="W36" i="5"/>
  <c r="V36" i="5"/>
  <c r="U36" i="5"/>
  <c r="AI35" i="5"/>
  <c r="AH35" i="5"/>
  <c r="AF35" i="5"/>
  <c r="AE35" i="5"/>
  <c r="AD35" i="5"/>
  <c r="AC35" i="5"/>
  <c r="AA35" i="5"/>
  <c r="Z35" i="5"/>
  <c r="X35" i="5"/>
  <c r="W35" i="5"/>
  <c r="V35" i="5"/>
  <c r="U35" i="5"/>
  <c r="P35" i="5"/>
  <c r="S35" i="5" s="1"/>
  <c r="AJ35" i="5" s="1"/>
  <c r="AI34" i="5"/>
  <c r="AH34" i="5"/>
  <c r="AH33" i="5" s="1"/>
  <c r="AG34" i="5"/>
  <c r="AF34" i="5"/>
  <c r="AF33" i="5" s="1"/>
  <c r="AE34" i="5"/>
  <c r="AE33" i="5" s="1"/>
  <c r="AD34" i="5"/>
  <c r="AC34" i="5"/>
  <c r="AA34" i="5"/>
  <c r="Z34" i="5"/>
  <c r="Z33" i="5" s="1"/>
  <c r="Y34" i="5"/>
  <c r="Y33" i="5" s="1"/>
  <c r="X34" i="5"/>
  <c r="X33" i="5" s="1"/>
  <c r="W34" i="5"/>
  <c r="W33" i="5" s="1"/>
  <c r="V34" i="5"/>
  <c r="U34" i="5"/>
  <c r="N34" i="5"/>
  <c r="S34" i="5" s="1"/>
  <c r="AJ34" i="5" s="1"/>
  <c r="K34" i="5"/>
  <c r="AB34" i="5" s="1"/>
  <c r="AB33" i="5" s="1"/>
  <c r="F34" i="5"/>
  <c r="AI33" i="5"/>
  <c r="AD33" i="5"/>
  <c r="AC33" i="5"/>
  <c r="AA33" i="5"/>
  <c r="V33" i="5"/>
  <c r="U33" i="5"/>
  <c r="AI32" i="5"/>
  <c r="AH32" i="5"/>
  <c r="AG32" i="5"/>
  <c r="AF32" i="5"/>
  <c r="AE32" i="5"/>
  <c r="AD32" i="5"/>
  <c r="AC32" i="5"/>
  <c r="AA32" i="5"/>
  <c r="Z32" i="5"/>
  <c r="Y32" i="5"/>
  <c r="X32" i="5"/>
  <c r="W32" i="5"/>
  <c r="V32" i="5"/>
  <c r="U32" i="5"/>
  <c r="S32" i="5"/>
  <c r="AJ32" i="5" s="1"/>
  <c r="K32" i="5"/>
  <c r="AB32" i="5" s="1"/>
  <c r="AI31" i="5"/>
  <c r="AH31" i="5"/>
  <c r="AG31" i="5"/>
  <c r="AF31" i="5"/>
  <c r="AE31" i="5"/>
  <c r="AD31" i="5"/>
  <c r="AC31" i="5"/>
  <c r="AA31" i="5"/>
  <c r="Z31" i="5"/>
  <c r="Y31" i="5"/>
  <c r="X31" i="5"/>
  <c r="W31" i="5"/>
  <c r="V31" i="5"/>
  <c r="U31" i="5"/>
  <c r="S31" i="5"/>
  <c r="AJ31" i="5" s="1"/>
  <c r="K31" i="5"/>
  <c r="AB31" i="5" s="1"/>
  <c r="AI30" i="5"/>
  <c r="AH30" i="5"/>
  <c r="AH23" i="5" s="1"/>
  <c r="AG30" i="5"/>
  <c r="AF30" i="5"/>
  <c r="AE30" i="5"/>
  <c r="AD30" i="5"/>
  <c r="AC30" i="5"/>
  <c r="AA30" i="5"/>
  <c r="Z30" i="5"/>
  <c r="Z23" i="5" s="1"/>
  <c r="Y30" i="5"/>
  <c r="X30" i="5"/>
  <c r="W30" i="5"/>
  <c r="V30" i="5"/>
  <c r="U30" i="5"/>
  <c r="S30" i="5"/>
  <c r="AJ30" i="5" s="1"/>
  <c r="K30" i="5"/>
  <c r="AB30" i="5" s="1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S29" i="5"/>
  <c r="AJ29" i="5" s="1"/>
  <c r="K29" i="5"/>
  <c r="AI28" i="5"/>
  <c r="AH28" i="5"/>
  <c r="AG28" i="5"/>
  <c r="AF28" i="5"/>
  <c r="AE28" i="5"/>
  <c r="AD28" i="5"/>
  <c r="AC28" i="5"/>
  <c r="AA28" i="5"/>
  <c r="Z28" i="5"/>
  <c r="X28" i="5"/>
  <c r="W28" i="5"/>
  <c r="V28" i="5"/>
  <c r="U28" i="5"/>
  <c r="S28" i="5"/>
  <c r="AJ28" i="5" s="1"/>
  <c r="K28" i="5"/>
  <c r="AB28" i="5" s="1"/>
  <c r="H28" i="5"/>
  <c r="H35" i="5" s="1"/>
  <c r="AI27" i="5"/>
  <c r="AH27" i="5"/>
  <c r="AG27" i="5"/>
  <c r="AF27" i="5"/>
  <c r="AE27" i="5"/>
  <c r="AD27" i="5"/>
  <c r="AC27" i="5"/>
  <c r="AA27" i="5"/>
  <c r="Z27" i="5"/>
  <c r="Y27" i="5"/>
  <c r="X27" i="5"/>
  <c r="W27" i="5"/>
  <c r="V27" i="5"/>
  <c r="U27" i="5"/>
  <c r="P27" i="5"/>
  <c r="S27" i="5" s="1"/>
  <c r="AJ27" i="5" s="1"/>
  <c r="K27" i="5"/>
  <c r="AB27" i="5" s="1"/>
  <c r="AI26" i="5"/>
  <c r="AH26" i="5"/>
  <c r="AG26" i="5"/>
  <c r="AG23" i="5" s="1"/>
  <c r="AF26" i="5"/>
  <c r="AE26" i="5"/>
  <c r="AD26" i="5"/>
  <c r="AC26" i="5"/>
  <c r="AB26" i="5"/>
  <c r="AA26" i="5"/>
  <c r="Z26" i="5"/>
  <c r="Y26" i="5"/>
  <c r="X26" i="5"/>
  <c r="W26" i="5"/>
  <c r="V26" i="5"/>
  <c r="U26" i="5"/>
  <c r="S26" i="5"/>
  <c r="AJ26" i="5" s="1"/>
  <c r="K26" i="5"/>
  <c r="AI25" i="5"/>
  <c r="AI23" i="5" s="1"/>
  <c r="AH25" i="5"/>
  <c r="AG25" i="5"/>
  <c r="AF25" i="5"/>
  <c r="AE25" i="5"/>
  <c r="AD25" i="5"/>
  <c r="AC25" i="5"/>
  <c r="AA25" i="5"/>
  <c r="AA23" i="5" s="1"/>
  <c r="Z25" i="5"/>
  <c r="Y25" i="5"/>
  <c r="X25" i="5"/>
  <c r="W25" i="5"/>
  <c r="V25" i="5"/>
  <c r="U25" i="5"/>
  <c r="S25" i="5"/>
  <c r="AJ25" i="5" s="1"/>
  <c r="K25" i="5"/>
  <c r="AB25" i="5" s="1"/>
  <c r="AI24" i="5"/>
  <c r="AH24" i="5"/>
  <c r="AG24" i="5"/>
  <c r="AF24" i="5"/>
  <c r="AE24" i="5"/>
  <c r="AE23" i="5" s="1"/>
  <c r="AD24" i="5"/>
  <c r="AD23" i="5" s="1"/>
  <c r="AC24" i="5"/>
  <c r="AC23" i="5" s="1"/>
  <c r="AA24" i="5"/>
  <c r="Z24" i="5"/>
  <c r="Y24" i="5"/>
  <c r="X24" i="5"/>
  <c r="W24" i="5"/>
  <c r="W23" i="5" s="1"/>
  <c r="V24" i="5"/>
  <c r="V23" i="5" s="1"/>
  <c r="U24" i="5"/>
  <c r="U23" i="5" s="1"/>
  <c r="P24" i="5"/>
  <c r="S24" i="5" s="1"/>
  <c r="AJ24" i="5" s="1"/>
  <c r="AJ23" i="5" s="1"/>
  <c r="K24" i="5"/>
  <c r="AB24" i="5" s="1"/>
  <c r="AF23" i="5"/>
  <c r="X23" i="5"/>
  <c r="AJ22" i="5"/>
  <c r="AI22" i="5"/>
  <c r="AH22" i="5"/>
  <c r="AG22" i="5"/>
  <c r="AF22" i="5"/>
  <c r="AE22" i="5"/>
  <c r="AD22" i="5"/>
  <c r="AC22" i="5"/>
  <c r="AA22" i="5"/>
  <c r="Z22" i="5"/>
  <c r="Y22" i="5"/>
  <c r="X22" i="5"/>
  <c r="W22" i="5"/>
  <c r="V22" i="5"/>
  <c r="U22" i="5"/>
  <c r="S22" i="5"/>
  <c r="K22" i="5"/>
  <c r="AB22" i="5" s="1"/>
  <c r="AI21" i="5"/>
  <c r="AH21" i="5"/>
  <c r="AG21" i="5"/>
  <c r="AF21" i="5"/>
  <c r="AE21" i="5"/>
  <c r="AD21" i="5"/>
  <c r="AC21" i="5"/>
  <c r="AA21" i="5"/>
  <c r="Z21" i="5"/>
  <c r="Y21" i="5"/>
  <c r="X21" i="5"/>
  <c r="W21" i="5"/>
  <c r="V21" i="5"/>
  <c r="U21" i="5"/>
  <c r="S21" i="5"/>
  <c r="AJ21" i="5" s="1"/>
  <c r="K21" i="5"/>
  <c r="AB21" i="5" s="1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S20" i="5"/>
  <c r="AJ20" i="5" s="1"/>
  <c r="K20" i="5"/>
  <c r="AI19" i="5"/>
  <c r="AH19" i="5"/>
  <c r="AG19" i="5"/>
  <c r="AF19" i="5"/>
  <c r="AE19" i="5"/>
  <c r="AD19" i="5"/>
  <c r="AC19" i="5"/>
  <c r="AA19" i="5"/>
  <c r="Z19" i="5"/>
  <c r="Y19" i="5"/>
  <c r="X19" i="5"/>
  <c r="W19" i="5"/>
  <c r="V19" i="5"/>
  <c r="U19" i="5"/>
  <c r="S19" i="5"/>
  <c r="AJ19" i="5" s="1"/>
  <c r="K19" i="5"/>
  <c r="AB19" i="5" s="1"/>
  <c r="AI18" i="5"/>
  <c r="AH18" i="5"/>
  <c r="AG18" i="5"/>
  <c r="AF18" i="5"/>
  <c r="AE18" i="5"/>
  <c r="AD18" i="5"/>
  <c r="AC18" i="5"/>
  <c r="AA18" i="5"/>
  <c r="Z18" i="5"/>
  <c r="Y18" i="5"/>
  <c r="X18" i="5"/>
  <c r="W18" i="5"/>
  <c r="V18" i="5"/>
  <c r="U18" i="5"/>
  <c r="S18" i="5"/>
  <c r="AJ18" i="5" s="1"/>
  <c r="K18" i="5"/>
  <c r="AB18" i="5" s="1"/>
  <c r="AI17" i="5"/>
  <c r="AH17" i="5"/>
  <c r="AH11" i="5" s="1"/>
  <c r="AG17" i="5"/>
  <c r="AF17" i="5"/>
  <c r="AE17" i="5"/>
  <c r="AD17" i="5"/>
  <c r="AC17" i="5"/>
  <c r="AA17" i="5"/>
  <c r="Z17" i="5"/>
  <c r="Z11" i="5" s="1"/>
  <c r="Y17" i="5"/>
  <c r="X17" i="5"/>
  <c r="W17" i="5"/>
  <c r="V17" i="5"/>
  <c r="U17" i="5"/>
  <c r="S17" i="5"/>
  <c r="AJ17" i="5" s="1"/>
  <c r="K17" i="5"/>
  <c r="AB17" i="5" s="1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S16" i="5"/>
  <c r="AJ16" i="5" s="1"/>
  <c r="K16" i="5"/>
  <c r="AI15" i="5"/>
  <c r="AH15" i="5"/>
  <c r="AG15" i="5"/>
  <c r="AF15" i="5"/>
  <c r="AE15" i="5"/>
  <c r="AD15" i="5"/>
  <c r="AC15" i="5"/>
  <c r="AA15" i="5"/>
  <c r="Z15" i="5"/>
  <c r="Y15" i="5"/>
  <c r="X15" i="5"/>
  <c r="W15" i="5"/>
  <c r="V15" i="5"/>
  <c r="U15" i="5"/>
  <c r="S15" i="5"/>
  <c r="AJ15" i="5" s="1"/>
  <c r="K15" i="5"/>
  <c r="AB15" i="5" s="1"/>
  <c r="AI14" i="5"/>
  <c r="AH14" i="5"/>
  <c r="AG14" i="5"/>
  <c r="AF14" i="5"/>
  <c r="AE14" i="5"/>
  <c r="AD14" i="5"/>
  <c r="AC14" i="5"/>
  <c r="AA14" i="5"/>
  <c r="Z14" i="5"/>
  <c r="Y14" i="5"/>
  <c r="X14" i="5"/>
  <c r="W14" i="5"/>
  <c r="V14" i="5"/>
  <c r="U14" i="5"/>
  <c r="P14" i="5"/>
  <c r="S14" i="5" s="1"/>
  <c r="AJ14" i="5" s="1"/>
  <c r="K14" i="5"/>
  <c r="AB14" i="5" s="1"/>
  <c r="AI13" i="5"/>
  <c r="AI11" i="5" s="1"/>
  <c r="AH13" i="5"/>
  <c r="AF13" i="5"/>
  <c r="AE13" i="5"/>
  <c r="AD13" i="5"/>
  <c r="AC13" i="5"/>
  <c r="AC11" i="5" s="1"/>
  <c r="AC10" i="5" s="1"/>
  <c r="AC9" i="5" s="1"/>
  <c r="AB13" i="5"/>
  <c r="AA13" i="5"/>
  <c r="AA11" i="5" s="1"/>
  <c r="AA10" i="5" s="1"/>
  <c r="AA9" i="5" s="1"/>
  <c r="Z13" i="5"/>
  <c r="Y13" i="5"/>
  <c r="X13" i="5"/>
  <c r="W13" i="5"/>
  <c r="V13" i="5"/>
  <c r="U13" i="5"/>
  <c r="U11" i="5" s="1"/>
  <c r="U10" i="5" s="1"/>
  <c r="U9" i="5" s="1"/>
  <c r="P13" i="5"/>
  <c r="S13" i="5" s="1"/>
  <c r="AJ13" i="5" s="1"/>
  <c r="K13" i="5"/>
  <c r="AI12" i="5"/>
  <c r="AH12" i="5"/>
  <c r="AG12" i="5"/>
  <c r="AF12" i="5"/>
  <c r="AF11" i="5" s="1"/>
  <c r="AE12" i="5"/>
  <c r="AE11" i="5" s="1"/>
  <c r="AD12" i="5"/>
  <c r="AD11" i="5" s="1"/>
  <c r="AD10" i="5" s="1"/>
  <c r="AD9" i="5" s="1"/>
  <c r="AC12" i="5"/>
  <c r="AA12" i="5"/>
  <c r="Z12" i="5"/>
  <c r="Y12" i="5"/>
  <c r="X12" i="5"/>
  <c r="X11" i="5" s="1"/>
  <c r="W12" i="5"/>
  <c r="W11" i="5" s="1"/>
  <c r="V12" i="5"/>
  <c r="V11" i="5" s="1"/>
  <c r="V10" i="5" s="1"/>
  <c r="V9" i="5" s="1"/>
  <c r="U12" i="5"/>
  <c r="S12" i="5"/>
  <c r="AJ12" i="5" s="1"/>
  <c r="AJ11" i="5" s="1"/>
  <c r="H12" i="5"/>
  <c r="K12" i="5" s="1"/>
  <c r="AB12" i="5" s="1"/>
  <c r="Y11" i="5"/>
  <c r="AE10" i="5" l="1"/>
  <c r="AE9" i="5" s="1"/>
  <c r="W10" i="5"/>
  <c r="W9" i="5" s="1"/>
  <c r="AF10" i="5"/>
  <c r="AF9" i="5" s="1"/>
  <c r="X10" i="5"/>
  <c r="X9" i="5" s="1"/>
  <c r="AB23" i="5"/>
  <c r="K35" i="5"/>
  <c r="AB35" i="5" s="1"/>
  <c r="Y35" i="5"/>
  <c r="AI10" i="5"/>
  <c r="AI9" i="5" s="1"/>
  <c r="AH10" i="5"/>
  <c r="AH9" i="5" s="1"/>
  <c r="AJ33" i="5"/>
  <c r="AJ10" i="5" s="1"/>
  <c r="AJ9" i="5" s="1"/>
  <c r="AB11" i="5"/>
  <c r="AB10" i="5" s="1"/>
  <c r="AB9" i="5" s="1"/>
  <c r="Z10" i="5"/>
  <c r="Z9" i="5" s="1"/>
  <c r="AG13" i="5"/>
  <c r="AG11" i="5" s="1"/>
  <c r="Y28" i="5"/>
  <c r="Y23" i="5" s="1"/>
  <c r="Y10" i="5" s="1"/>
  <c r="Y9" i="5" s="1"/>
  <c r="AG35" i="5"/>
  <c r="AG33" i="5" s="1"/>
  <c r="AG10" i="5" l="1"/>
  <c r="AG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ngaht12</author>
    <author>84968</author>
  </authors>
  <commentList>
    <comment ref="I6" authorId="0" shapeId="0" xr:uid="{91BB6EA4-DC82-4539-817A-648223284654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Tập trung vào phần củng cố hạ tầng access (cột, nhà trạm, tuyến cáp, cột cáp, ngầm hóa, vu hồi)</t>
        </r>
      </text>
    </comment>
    <comment ref="J6" authorId="0" shapeId="0" xr:uid="{44F271D1-71D0-4133-AF1E-50DB04E8859F}">
      <text>
        <r>
          <rPr>
            <b/>
            <sz val="9"/>
            <color rgb="FF000000"/>
            <rFont val="Tahoma"/>
            <family val="2"/>
          </rPr>
          <t>ngaht12: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các hạng mục hiện đại thông minh thay thế thiết bị cũ, đặc biệt các mảng mạng lõi CNTT truyền dẫn..</t>
        </r>
      </text>
    </comment>
    <comment ref="Q6" authorId="0" shapeId="0" xr:uid="{2FF1D248-D2AF-4C1C-B054-2AF3DDAC53C4}">
      <text>
        <r>
          <rPr>
            <b/>
            <sz val="9"/>
            <color rgb="FF000000"/>
            <rFont val="Tahoma"/>
            <family val="2"/>
          </rPr>
          <t>ngaht12: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Tập trung vào phần củng cố hạ tầng access (cột, nhà trạm, tuyến cáp, cột cáp, ngầm hóa, vu hồi)</t>
        </r>
      </text>
    </comment>
    <comment ref="R6" authorId="0" shapeId="0" xr:uid="{5C9CB770-8808-4A40-BF71-C3269DC375A6}">
      <text>
        <r>
          <rPr>
            <b/>
            <sz val="9"/>
            <color rgb="FF000000"/>
            <rFont val="Tahoma"/>
            <family val="2"/>
          </rPr>
          <t>ngaht12: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các hạng mục hiện đại thông minh thay thế thiết bị cũ, đặc biệt các mảng mạng lõi CNTT truyền dẫn..</t>
        </r>
      </text>
    </comment>
    <comment ref="Z6" authorId="0" shapeId="0" xr:uid="{BB651055-0696-4454-A87A-8808DE5AF838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Tập trung vào phần củng cố hạ tầng access (cột, nhà trạm, tuyến cáp, cột cáp, ngầm hóa, vu hồi)</t>
        </r>
      </text>
    </comment>
    <comment ref="AA6" authorId="0" shapeId="0" xr:uid="{7972318C-CB49-4CC9-B1CE-35E028D704F2}">
      <text>
        <r>
          <rPr>
            <b/>
            <sz val="9"/>
            <color rgb="FF000000"/>
            <rFont val="Tahoma"/>
            <family val="2"/>
          </rPr>
          <t>ngaht12: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các hạng mục hiện đại thông minh thay thế thiết bị cũ, đặc biệt các mảng mạng lõi CNTT truyền dẫn..</t>
        </r>
      </text>
    </comment>
    <comment ref="AH6" authorId="0" shapeId="0" xr:uid="{76586D00-2F3B-48BC-BA20-C04BDE3FA019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Tập trung vào phần củng cố hạ tầng access (cột, nhà trạm, tuyến cáp, cột cáp, ngầm hóa, vu hồi)</t>
        </r>
      </text>
    </comment>
    <comment ref="AI6" authorId="0" shapeId="0" xr:uid="{0C408158-64AE-4B50-8B91-20D05321FB23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các hạng mục hiện đại thông minh thay thế thiết bị cũ, đặc biệt các mảng mạng lõi CNTT truyền dẫn..</t>
        </r>
      </text>
    </comment>
    <comment ref="G8" authorId="0" shapeId="0" xr:uid="{5FC4FBDC-F570-4161-907D-D991F7CC2940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Hiện đang nghẽn, cần nâng cấp ngay</t>
        </r>
      </text>
    </comment>
    <comment ref="H8" authorId="0" shapeId="0" xr:uid="{0FF648B5-8B13-4A6E-896D-6FC502711A60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Mua phục vụ tăng lưu lượng trong năm
</t>
        </r>
      </text>
    </comment>
    <comment ref="O8" authorId="0" shapeId="0" xr:uid="{5DCA8669-C912-4FD0-8EDB-B3F8437B3479}">
      <text>
        <r>
          <rPr>
            <b/>
            <sz val="9"/>
            <color rgb="FF000000"/>
            <rFont val="Tahoma"/>
            <family val="2"/>
          </rPr>
          <t>ngaht12: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Hiện đang nghẽn, cần nâng cấp ngay</t>
        </r>
      </text>
    </comment>
    <comment ref="P8" authorId="0" shapeId="0" xr:uid="{538E1EEB-3DFC-413A-BC6B-5453E9A51F62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Mua phục vụ tăng lưu lượng trong năm
</t>
        </r>
      </text>
    </comment>
    <comment ref="X8" authorId="0" shapeId="0" xr:uid="{D0E51871-41EA-43DE-8442-37E96BE52158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Hiện đang nghẽn, cần nâng cấp ngay</t>
        </r>
      </text>
    </comment>
    <comment ref="Y8" authorId="0" shapeId="0" xr:uid="{AAF25891-0D72-44B1-BECB-02F2748F1194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Mua phục vụ tăng lưu lượng trong năm
</t>
        </r>
      </text>
    </comment>
    <comment ref="AF8" authorId="0" shapeId="0" xr:uid="{9C49805C-C151-47CF-8158-5479517CE50B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Hiện đang nghẽn, cần nâng cấp ngay</t>
        </r>
      </text>
    </comment>
    <comment ref="AG8" authorId="0" shapeId="0" xr:uid="{F3536EDE-6672-42BE-B820-2BA1ECC70F4C}">
      <text>
        <r>
          <rPr>
            <b/>
            <sz val="9"/>
            <color indexed="81"/>
            <rFont val="Tahoma"/>
            <family val="2"/>
          </rPr>
          <t>ngaht12:</t>
        </r>
        <r>
          <rPr>
            <sz val="9"/>
            <color indexed="81"/>
            <rFont val="Tahoma"/>
            <family val="2"/>
          </rPr>
          <t xml:space="preserve">
Mua phục vụ tăng lưu lượng trong năm
</t>
        </r>
      </text>
    </comment>
    <comment ref="N14" authorId="1" shapeId="0" xr:uid="{AE407729-DBA3-44F5-9C5A-166031CB6739}">
      <text>
        <r>
          <rPr>
            <b/>
            <sz val="9"/>
            <color indexed="81"/>
            <rFont val="Tahoma"/>
            <family val="2"/>
          </rPr>
          <t>84968:</t>
        </r>
        <r>
          <rPr>
            <sz val="9"/>
            <color indexed="81"/>
            <rFont val="Tahoma"/>
            <family val="2"/>
          </rPr>
          <t xml:space="preserve">
10 tủ chuyển từ năm 2026 sang
</t>
        </r>
      </text>
    </comment>
    <comment ref="N15" authorId="1" shapeId="0" xr:uid="{A3BB3666-4C35-4176-8DFB-2CF56BEF4963}">
      <text>
        <r>
          <rPr>
            <b/>
            <sz val="9"/>
            <color indexed="81"/>
            <rFont val="Tahoma"/>
            <family val="2"/>
          </rPr>
          <t>84968:</t>
        </r>
        <r>
          <rPr>
            <sz val="9"/>
            <color indexed="81"/>
            <rFont val="Tahoma"/>
            <family val="2"/>
          </rPr>
          <t xml:space="preserve">
10 tủ chuyển từ năm 2026 sang
</t>
        </r>
      </text>
    </comment>
    <comment ref="P17" authorId="1" shapeId="0" xr:uid="{C7C5AED2-C37A-4952-8EB3-0C30242ECEDD}">
      <text>
        <r>
          <rPr>
            <b/>
            <sz val="9"/>
            <color indexed="81"/>
            <rFont val="Tahoma"/>
            <family val="2"/>
          </rPr>
          <t>84968:</t>
        </r>
        <r>
          <rPr>
            <sz val="9"/>
            <color indexed="81"/>
            <rFont val="Tahoma"/>
            <family val="2"/>
          </rPr>
          <t xml:space="preserve">
13 tủ chuyển từ 2026 sang</t>
        </r>
      </text>
    </comment>
    <comment ref="N25" authorId="1" shapeId="0" xr:uid="{50A51AAB-671F-4B8A-95B4-25A4DAF91AF6}">
      <text>
        <r>
          <rPr>
            <b/>
            <sz val="9"/>
            <color indexed="81"/>
            <rFont val="Tahoma"/>
            <family val="2"/>
          </rPr>
          <t>84968:</t>
        </r>
        <r>
          <rPr>
            <sz val="9"/>
            <color indexed="81"/>
            <rFont val="Tahoma"/>
            <family val="2"/>
          </rPr>
          <t xml:space="preserve">
9 tủ chuyển từ 2026 sang</t>
        </r>
      </text>
    </comment>
    <comment ref="P25" authorId="1" shapeId="0" xr:uid="{AEB8B3F6-7809-49B9-9958-693563AD7AB4}">
      <text>
        <r>
          <rPr>
            <b/>
            <sz val="9"/>
            <color indexed="81"/>
            <rFont val="Tahoma"/>
            <family val="2"/>
          </rPr>
          <t>84968:</t>
        </r>
        <r>
          <rPr>
            <sz val="9"/>
            <color indexed="81"/>
            <rFont val="Tahoma"/>
            <family val="2"/>
          </rPr>
          <t xml:space="preserve">
20 tủ chuyển từ 2026 sang</t>
        </r>
      </text>
    </comment>
    <comment ref="P26" authorId="1" shapeId="0" xr:uid="{39841B29-7E45-4AC3-81C4-09A3DA0A755B}">
      <text>
        <r>
          <rPr>
            <b/>
            <sz val="9"/>
            <color indexed="81"/>
            <rFont val="Tahoma"/>
            <family val="2"/>
          </rPr>
          <t>84968:</t>
        </r>
        <r>
          <rPr>
            <sz val="9"/>
            <color indexed="81"/>
            <rFont val="Tahoma"/>
            <family val="2"/>
          </rPr>
          <t xml:space="preserve">
34 tủ chuyển từ 2026 sang</t>
        </r>
      </text>
    </comment>
  </commentList>
</comments>
</file>

<file path=xl/sharedStrings.xml><?xml version="1.0" encoding="utf-8"?>
<sst xmlns="http://schemas.openxmlformats.org/spreadsheetml/2006/main" count="135" uniqueCount="58">
  <si>
    <t>PHỤ LỤC: MASTER LIST CHI TIẾT QHĐC 2026 - 2027 CỦA BURUNDI</t>
  </si>
  <si>
    <t>TT</t>
  </si>
  <si>
    <t>Vật tư/Thiết bị</t>
  </si>
  <si>
    <t>Đơn vị</t>
  </si>
  <si>
    <t>QHĐC 2026 - 2027</t>
  </si>
  <si>
    <t>Ghi chú</t>
  </si>
  <si>
    <t>KHỐI LƯỢNG ĐẦU TƯ</t>
  </si>
  <si>
    <t>Đơn giá
(USD)</t>
  </si>
  <si>
    <t>GIÁ TRỊ ĐẦU TƯ</t>
  </si>
  <si>
    <t>NĂM  2027</t>
  </si>
  <si>
    <t>NĂM  2028</t>
  </si>
  <si>
    <t>Đầu tư
 bắt buộc</t>
  </si>
  <si>
    <t>Đầu tư phát triển</t>
  </si>
  <si>
    <t>Củng cố 
bền vững</t>
  </si>
  <si>
    <t>Hiện đại 
hóa, thông
 minh hóa</t>
  </si>
  <si>
    <t>Tổng 2027</t>
  </si>
  <si>
    <t>Tổng 2028</t>
  </si>
  <si>
    <t>Tổng 2026</t>
  </si>
  <si>
    <t>Vùng phủ</t>
  </si>
  <si>
    <t>Dung lượng</t>
  </si>
  <si>
    <t>UCTT</t>
  </si>
  <si>
    <t>Đầu tư bắt buộc khác</t>
  </si>
  <si>
    <t>Giải nghẽn, nâng cấp …</t>
  </si>
  <si>
    <t>Tăng trưởng lưu lượng</t>
  </si>
  <si>
    <t>TỔNG ĐẦU TƯ</t>
  </si>
  <si>
    <t>I</t>
  </si>
  <si>
    <t>VÔ TUYẾN</t>
  </si>
  <si>
    <t>Huawei</t>
  </si>
  <si>
    <t>-</t>
  </si>
  <si>
    <r>
      <t xml:space="preserve">SRAN Tripband eNodeB 700+800+900MHz (3 RRU 4x120w)(L111@15MHz+L111@10MHz ) </t>
    </r>
    <r>
      <rPr>
        <b/>
        <sz val="11"/>
        <rFont val="Times New Roman"/>
        <family val="1"/>
      </rPr>
      <t>12Trx</t>
    </r>
    <r>
      <rPr>
        <sz val="11"/>
        <rFont val="Times New Roman"/>
        <family val="1"/>
      </rPr>
      <t xml:space="preserve">. </t>
    </r>
    <r>
      <rPr>
        <b/>
        <sz val="11"/>
        <rFont val="Times New Roman"/>
        <family val="1"/>
      </rPr>
      <t>Exclude</t>
    </r>
    <r>
      <rPr>
        <sz val="11"/>
        <rFont val="Times New Roman"/>
        <family val="1"/>
      </rPr>
      <t xml:space="preserve"> BBU + BB card</t>
    </r>
  </si>
  <si>
    <t>Tủ</t>
  </si>
  <si>
    <t xml:space="preserve"> SRAN Tripband eNodeB 700+800+900MHz (3 RRU 4x120w)(L111@15MHz+L111@10MHz , 12TRx, BB card UBBPg2a) + 3 AISG</t>
  </si>
  <si>
    <t>eNodeB 8T8R 2600MHz (3 RRU 9 cell @20+20+20MHz) Excluse BBU and BB card</t>
  </si>
  <si>
    <t>eNodeB 32T32R Dualband 2600-3500MHz (3AAU 3 sector, 3 cell LTE TDD @20+20+20MHz per 1 sector  band 2600MHz and 1 cell NR @100MHz per 1 sector band C), Excluse BBU box.
Note: We will purchase a license for 100MHz band 2600MHz. In the future, we will use it flexibly between 4G and 5G. We need to negotiate the initial price to avoid additional switching fees later.</t>
  </si>
  <si>
    <t>Card Baseband UBBPg3b</t>
  </si>
  <si>
    <t>RRU Tripband 700-800-900MHz 120W 4T4R</t>
  </si>
  <si>
    <t>pcs</t>
  </si>
  <si>
    <t>RRU dualband 1800-2100MHz 120W 4T4R</t>
  </si>
  <si>
    <t>ZTE</t>
  </si>
  <si>
    <t xml:space="preserve">SRAN Tripband eNodeB 700+800+900MHz (3 RRU 4x120w)(L111@15MHz+L111@10MHz , 12TRx, excluse BBU + BB card </t>
  </si>
  <si>
    <t>tủ</t>
  </si>
  <si>
    <t>SRAN Tripband eNodeB 700+800+900MHz (3 RRU 4x120w)(L111@15MHz+L111@10MHz , 12TRx, BB VBPe3p)</t>
  </si>
  <si>
    <t>Antena</t>
  </si>
  <si>
    <t>Anten 4G 8 port 4 port 700-900 + 4P 1800-2600 MHz</t>
  </si>
  <si>
    <t>Cái</t>
  </si>
  <si>
    <t>Anten 4G 8 port 8P 1800-2600 MHz</t>
  </si>
  <si>
    <t>Củng cố mạng lưới</t>
  </si>
  <si>
    <t>Nâng cấp softwrae 2G</t>
  </si>
  <si>
    <t>Package</t>
  </si>
  <si>
    <t>Nâng cấp softwrae 4G</t>
  </si>
  <si>
    <t>SRAN dual band 1800-2100Mhz (3RRU 4T4R - 120W, L111@20MHz+L111@20MHz, 12TRx, BBU + BB UBBPh3a)</t>
  </si>
  <si>
    <t>SRAN dual band 1800-2100Mhz (3RRU 4T4R - 120W, L111@20MHz+L111@20MHz, 12TRx, Excluse Baseband and BB card)</t>
  </si>
  <si>
    <t>License upgrade from 10MHz to 20MHz (FDD)</t>
  </si>
  <si>
    <t>Cell</t>
  </si>
  <si>
    <t>License New cell twinbeam TDD 20MHz (4T4R)</t>
  </si>
  <si>
    <t>SRAN dual band 1800-2100Mhz (3RRU 4T4R - 120W, L111@20MHz+L222@20MHz, U333, 12TRx + BB VBPe3p, Excluse BBU box)</t>
  </si>
  <si>
    <t>SRAN dual band 1800-2100Mhz (3RRU 4T4R - 120W, L111@20MHz+L222@20MHz, U333, 12TRx) Excluse BBU box and BB card</t>
  </si>
  <si>
    <t>license New cell twinbeam FDD 20MHz 4T4R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</si>
</sst>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[$€-2]* #,##0.00_);_([$€-2]* \(#,##0.00\);_([$€-2]* &quot;-&quot;??_)"/>
    <numFmt numFmtId="166" formatCode="_(* #,##0_);_(* \(#,##0\);_(* &quot;-&quot;??_);_(@_)"/>
  </numFmts>
  <fonts count="1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24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i/>
      <sz val="12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/>
    <xf numFmtId="165" fontId="5" fillId="0" borderId="0"/>
  </cellStyleXfs>
  <cellXfs count="69">
    <xf numFmtId="0" fontId="0" fillId="0" borderId="0" xfId="0"/>
    <xf numFmtId="165" fontId="2" fillId="0" borderId="0" xfId="3" applyFont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66" fontId="4" fillId="5" borderId="1" xfId="2" applyNumberFormat="1" applyFont="1" applyFill="1" applyBorder="1" applyAlignment="1">
      <alignment horizontal="center" vertical="center" wrapText="1"/>
    </xf>
    <xf numFmtId="166" fontId="4" fillId="6" borderId="1" xfId="2" applyNumberFormat="1" applyFont="1" applyFill="1" applyBorder="1" applyAlignment="1">
      <alignment horizontal="center" vertical="center" wrapText="1"/>
    </xf>
    <xf numFmtId="166" fontId="8" fillId="5" borderId="1" xfId="2" applyNumberFormat="1" applyFont="1" applyFill="1" applyBorder="1" applyAlignment="1">
      <alignment horizontal="center" vertical="center" wrapText="1"/>
    </xf>
    <xf numFmtId="166" fontId="8" fillId="6" borderId="1" xfId="2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166" fontId="9" fillId="2" borderId="1" xfId="2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1" fontId="9" fillId="7" borderId="1" xfId="2" applyNumberFormat="1" applyFont="1" applyFill="1" applyBorder="1" applyAlignment="1">
      <alignment horizontal="center" vertical="center" wrapText="1"/>
    </xf>
    <xf numFmtId="2" fontId="9" fillId="7" borderId="1" xfId="3" applyNumberFormat="1" applyFont="1" applyFill="1" applyBorder="1" applyAlignment="1">
      <alignment vertical="center" wrapText="1"/>
    </xf>
    <xf numFmtId="2" fontId="3" fillId="7" borderId="1" xfId="3" applyNumberFormat="1" applyFont="1" applyFill="1" applyBorder="1" applyAlignment="1">
      <alignment horizontal="center" vertical="center" wrapText="1"/>
    </xf>
    <xf numFmtId="166" fontId="3" fillId="7" borderId="1" xfId="2" applyNumberFormat="1" applyFont="1" applyFill="1" applyBorder="1" applyAlignment="1">
      <alignment horizontal="left" vertical="center" wrapText="1"/>
    </xf>
    <xf numFmtId="166" fontId="3" fillId="7" borderId="1" xfId="2" applyNumberFormat="1" applyFont="1" applyFill="1" applyBorder="1" applyAlignment="1">
      <alignment horizontal="center" vertical="center" wrapText="1"/>
    </xf>
    <xf numFmtId="166" fontId="9" fillId="7" borderId="1" xfId="2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165" fontId="10" fillId="8" borderId="1" xfId="4" applyFont="1" applyFill="1" applyBorder="1" applyAlignment="1">
      <alignment horizontal="left" vertical="center"/>
    </xf>
    <xf numFmtId="165" fontId="10" fillId="8" borderId="1" xfId="4" applyFont="1" applyFill="1" applyBorder="1" applyAlignment="1">
      <alignment horizontal="center" vertical="center"/>
    </xf>
    <xf numFmtId="166" fontId="10" fillId="8" borderId="1" xfId="2" applyNumberFormat="1" applyFont="1" applyFill="1" applyBorder="1" applyAlignment="1">
      <alignment horizontal="left" vertical="center"/>
    </xf>
    <xf numFmtId="0" fontId="10" fillId="8" borderId="1" xfId="2" applyNumberFormat="1" applyFont="1" applyFill="1" applyBorder="1" applyAlignment="1">
      <alignment horizontal="left" vertical="center"/>
    </xf>
    <xf numFmtId="166" fontId="10" fillId="8" borderId="1" xfId="2" applyNumberFormat="1" applyFont="1" applyFill="1" applyBorder="1" applyAlignment="1">
      <alignment vertical="center"/>
    </xf>
    <xf numFmtId="0" fontId="3" fillId="0" borderId="1" xfId="0" applyFont="1" applyBorder="1"/>
    <xf numFmtId="0" fontId="3" fillId="0" borderId="0" xfId="0" applyFont="1"/>
    <xf numFmtId="0" fontId="3" fillId="0" borderId="1" xfId="2" applyNumberFormat="1" applyFont="1" applyFill="1" applyBorder="1" applyAlignment="1">
      <alignment horizontal="center" vertical="center" wrapText="1"/>
    </xf>
    <xf numFmtId="166" fontId="3" fillId="9" borderId="1" xfId="2" applyNumberFormat="1" applyFont="1" applyFill="1" applyBorder="1" applyAlignment="1">
      <alignment horizontal="left" vertical="center" wrapText="1"/>
    </xf>
    <xf numFmtId="166" fontId="3" fillId="0" borderId="1" xfId="2" applyNumberFormat="1" applyFont="1" applyFill="1" applyBorder="1" applyAlignment="1">
      <alignment horizontal="center" vertical="center"/>
    </xf>
    <xf numFmtId="166" fontId="3" fillId="0" borderId="1" xfId="2" applyNumberFormat="1" applyFont="1" applyFill="1" applyBorder="1" applyAlignment="1">
      <alignment horizontal="left" vertical="center"/>
    </xf>
    <xf numFmtId="166" fontId="9" fillId="0" borderId="1" xfId="2" applyNumberFormat="1" applyFont="1" applyFill="1" applyBorder="1" applyAlignment="1">
      <alignment horizontal="center" vertical="center"/>
    </xf>
    <xf numFmtId="166" fontId="3" fillId="0" borderId="1" xfId="2" applyNumberFormat="1" applyFont="1" applyFill="1" applyBorder="1" applyAlignment="1">
      <alignment vertical="center"/>
    </xf>
    <xf numFmtId="0" fontId="11" fillId="9" borderId="1" xfId="0" applyFont="1" applyFill="1" applyBorder="1" applyAlignment="1">
      <alignment vertical="center" wrapText="1"/>
    </xf>
    <xf numFmtId="166" fontId="11" fillId="0" borderId="1" xfId="2" applyNumberFormat="1" applyFont="1" applyFill="1" applyBorder="1" applyAlignment="1">
      <alignment vertical="center" wrapText="1"/>
    </xf>
    <xf numFmtId="2" fontId="12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3" fillId="9" borderId="1" xfId="0" applyNumberFormat="1" applyFont="1" applyFill="1" applyBorder="1" applyAlignment="1">
      <alignment vertical="center" wrapText="1"/>
    </xf>
    <xf numFmtId="166" fontId="3" fillId="0" borderId="1" xfId="2" applyNumberFormat="1" applyFont="1" applyBorder="1" applyAlignment="1">
      <alignment horizontal="center" vertical="center"/>
    </xf>
    <xf numFmtId="166" fontId="3" fillId="0" borderId="1" xfId="2" applyNumberFormat="1" applyFont="1" applyBorder="1" applyAlignment="1">
      <alignment horizontal="left" vertical="center"/>
    </xf>
    <xf numFmtId="166" fontId="3" fillId="0" borderId="1" xfId="2" applyNumberFormat="1" applyFont="1" applyFill="1" applyBorder="1" applyAlignment="1">
      <alignment horizontal="left" vertical="center" wrapText="1"/>
    </xf>
    <xf numFmtId="0" fontId="9" fillId="10" borderId="1" xfId="2" applyNumberFormat="1" applyFont="1" applyFill="1" applyBorder="1" applyAlignment="1">
      <alignment horizontal="center" vertical="center" wrapText="1"/>
    </xf>
    <xf numFmtId="166" fontId="9" fillId="10" borderId="1" xfId="2" applyNumberFormat="1" applyFont="1" applyFill="1" applyBorder="1" applyAlignment="1">
      <alignment horizontal="left" vertical="center" wrapText="1"/>
    </xf>
    <xf numFmtId="166" fontId="9" fillId="10" borderId="1" xfId="2" applyNumberFormat="1" applyFont="1" applyFill="1" applyBorder="1" applyAlignment="1">
      <alignment horizontal="center" vertical="center" wrapText="1"/>
    </xf>
    <xf numFmtId="166" fontId="9" fillId="10" borderId="1" xfId="2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6" fontId="3" fillId="0" borderId="0" xfId="2" applyNumberFormat="1" applyFont="1" applyFill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4" fillId="5" borderId="1" xfId="2" applyNumberFormat="1" applyFont="1" applyFill="1" applyBorder="1" applyAlignment="1">
      <alignment horizontal="center" vertical="center" wrapText="1"/>
    </xf>
    <xf numFmtId="166" fontId="6" fillId="5" borderId="1" xfId="2" applyNumberFormat="1" applyFont="1" applyFill="1" applyBorder="1" applyAlignment="1">
      <alignment horizontal="center" vertical="center" wrapText="1"/>
    </xf>
    <xf numFmtId="166" fontId="4" fillId="6" borderId="1" xfId="2" applyNumberFormat="1" applyFont="1" applyFill="1" applyBorder="1" applyAlignment="1">
      <alignment horizontal="center" vertical="center" wrapText="1"/>
    </xf>
    <xf numFmtId="166" fontId="6" fillId="6" borderId="1" xfId="2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2" fillId="0" borderId="0" xfId="3" applyFont="1" applyAlignment="1">
      <alignment horizontal="center" vertical="top" wrapText="1"/>
    </xf>
    <xf numFmtId="1" fontId="4" fillId="2" borderId="1" xfId="2" applyNumberFormat="1" applyFont="1" applyFill="1" applyBorder="1" applyAlignment="1">
      <alignment horizontal="center" vertical="center" wrapText="1"/>
    </xf>
    <xf numFmtId="165" fontId="4" fillId="2" borderId="1" xfId="4" applyFont="1" applyFill="1" applyBorder="1" applyAlignment="1">
      <alignment vertical="center" wrapText="1"/>
    </xf>
    <xf numFmtId="165" fontId="4" fillId="2" borderId="1" xfId="4" applyFont="1" applyFill="1" applyBorder="1" applyAlignment="1">
      <alignment horizontal="center" vertical="center" wrapText="1"/>
    </xf>
    <xf numFmtId="165" fontId="6" fillId="2" borderId="1" xfId="3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6" fontId="4" fillId="4" borderId="1" xfId="2" applyNumberFormat="1" applyFont="1" applyFill="1" applyBorder="1" applyAlignment="1">
      <alignment horizontal="center" vertical="center" wrapText="1"/>
    </xf>
  </cellXfs>
  <cellStyles count="5">
    <cellStyle name="Comma" xfId="2" builtinId="3"/>
    <cellStyle name="Comma 3" xfId="1" xr:uid="{00000000-0005-0000-0000-000000000000}"/>
    <cellStyle name="Normal" xfId="0" builtinId="0"/>
    <cellStyle name="Normal 2 2" xfId="4" xr:uid="{084C7850-468C-4319-972B-8FF0D6AEEC1D}"/>
    <cellStyle name="Normal 2 7" xfId="3" xr:uid="{A2382C72-CFEA-4EC8-918D-D9D8C8119C62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PVCFC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006768"/>
      </a:accent1>
      <a:accent2>
        <a:srgbClr val="007445"/>
      </a:accent2>
      <a:accent3>
        <a:srgbClr val="79A82D"/>
      </a:accent3>
      <a:accent4>
        <a:srgbClr val="FFCD00"/>
      </a:accent4>
      <a:accent5>
        <a:srgbClr val="FF8214"/>
      </a:accent5>
      <a:accent6>
        <a:srgbClr val="EE283B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5AAE-3FD8-43A8-85E8-812C13535E91}">
  <dimension ref="A1:AK38"/>
  <sheetViews>
    <sheetView tabSelected="1" zoomScale="40" zoomScaleNormal="40" workbookViewId="0">
      <selection sqref="A1:XFD1048576"/>
    </sheetView>
  </sheetViews>
  <sheetFormatPr defaultColWidth="8.33203125" defaultRowHeight="14.5" x14ac:dyDescent="0.65"/>
  <cols>
    <col min="1" max="1" width="9.45703125" style="52" customWidth="1"/>
    <col min="2" max="2" width="81.58203125" style="53" customWidth="1"/>
    <col min="3" max="3" width="11.9140625" style="9" customWidth="1"/>
    <col min="4" max="18" width="10.9140625" style="54" customWidth="1"/>
    <col min="19" max="19" width="9" style="54" customWidth="1"/>
    <col min="20" max="20" width="13.25" style="54" customWidth="1"/>
    <col min="21" max="28" width="10.83203125" style="2" customWidth="1"/>
    <col min="29" max="36" width="10.4140625" style="2" customWidth="1"/>
    <col min="37" max="37" width="47.1640625" style="2" customWidth="1"/>
    <col min="38" max="16384" width="8.33203125" style="2"/>
  </cols>
  <sheetData>
    <row r="1" spans="1:37" ht="30" x14ac:dyDescent="0.65">
      <c r="A1" s="61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</row>
    <row r="2" spans="1:37" ht="24" customHeight="1" x14ac:dyDescent="0.6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3" customFormat="1" ht="18" customHeight="1" x14ac:dyDescent="0.65">
      <c r="A3" s="62" t="s">
        <v>1</v>
      </c>
      <c r="B3" s="63" t="s">
        <v>2</v>
      </c>
      <c r="C3" s="64" t="s">
        <v>3</v>
      </c>
      <c r="D3" s="65" t="s">
        <v>4</v>
      </c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6" t="s">
        <v>5</v>
      </c>
    </row>
    <row r="4" spans="1:37" s="4" customFormat="1" ht="18" customHeight="1" x14ac:dyDescent="0.65">
      <c r="A4" s="62"/>
      <c r="B4" s="63"/>
      <c r="C4" s="64"/>
      <c r="D4" s="67" t="s">
        <v>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8" t="s">
        <v>7</v>
      </c>
      <c r="U4" s="67" t="s">
        <v>8</v>
      </c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6"/>
    </row>
    <row r="5" spans="1:37" s="3" customFormat="1" ht="18" customHeight="1" x14ac:dyDescent="0.65">
      <c r="A5" s="62"/>
      <c r="B5" s="63"/>
      <c r="C5" s="64"/>
      <c r="D5" s="57" t="s">
        <v>9</v>
      </c>
      <c r="E5" s="57"/>
      <c r="F5" s="57"/>
      <c r="G5" s="57"/>
      <c r="H5" s="57"/>
      <c r="I5" s="57"/>
      <c r="J5" s="57"/>
      <c r="K5" s="57"/>
      <c r="L5" s="59" t="s">
        <v>10</v>
      </c>
      <c r="M5" s="59"/>
      <c r="N5" s="59"/>
      <c r="O5" s="59"/>
      <c r="P5" s="59"/>
      <c r="Q5" s="59"/>
      <c r="R5" s="59"/>
      <c r="S5" s="59"/>
      <c r="T5" s="68"/>
      <c r="U5" s="57" t="s">
        <v>9</v>
      </c>
      <c r="V5" s="57"/>
      <c r="W5" s="57"/>
      <c r="X5" s="57"/>
      <c r="Y5" s="57"/>
      <c r="Z5" s="57"/>
      <c r="AA5" s="57"/>
      <c r="AB5" s="57"/>
      <c r="AC5" s="59" t="s">
        <v>10</v>
      </c>
      <c r="AD5" s="59"/>
      <c r="AE5" s="59"/>
      <c r="AF5" s="59"/>
      <c r="AG5" s="59"/>
      <c r="AH5" s="59"/>
      <c r="AI5" s="59"/>
      <c r="AJ5" s="59"/>
      <c r="AK5" s="66"/>
    </row>
    <row r="6" spans="1:37" s="4" customFormat="1" ht="18" customHeight="1" x14ac:dyDescent="0.65">
      <c r="A6" s="62"/>
      <c r="B6" s="63"/>
      <c r="C6" s="64"/>
      <c r="D6" s="57" t="s">
        <v>11</v>
      </c>
      <c r="E6" s="57"/>
      <c r="F6" s="57" t="s">
        <v>12</v>
      </c>
      <c r="G6" s="57"/>
      <c r="H6" s="57"/>
      <c r="I6" s="56" t="s">
        <v>13</v>
      </c>
      <c r="J6" s="56" t="s">
        <v>14</v>
      </c>
      <c r="K6" s="60" t="s">
        <v>15</v>
      </c>
      <c r="L6" s="59" t="s">
        <v>11</v>
      </c>
      <c r="M6" s="59"/>
      <c r="N6" s="59" t="s">
        <v>12</v>
      </c>
      <c r="O6" s="59"/>
      <c r="P6" s="59"/>
      <c r="Q6" s="58" t="s">
        <v>13</v>
      </c>
      <c r="R6" s="58" t="s">
        <v>14</v>
      </c>
      <c r="S6" s="55" t="s">
        <v>16</v>
      </c>
      <c r="T6" s="68"/>
      <c r="U6" s="57" t="s">
        <v>11</v>
      </c>
      <c r="V6" s="57"/>
      <c r="W6" s="57" t="s">
        <v>12</v>
      </c>
      <c r="X6" s="57"/>
      <c r="Y6" s="57"/>
      <c r="Z6" s="56" t="s">
        <v>13</v>
      </c>
      <c r="AA6" s="56" t="s">
        <v>14</v>
      </c>
      <c r="AB6" s="60" t="s">
        <v>17</v>
      </c>
      <c r="AC6" s="59" t="s">
        <v>11</v>
      </c>
      <c r="AD6" s="59"/>
      <c r="AE6" s="59" t="s">
        <v>12</v>
      </c>
      <c r="AF6" s="59"/>
      <c r="AG6" s="59"/>
      <c r="AH6" s="58" t="s">
        <v>13</v>
      </c>
      <c r="AI6" s="58" t="s">
        <v>14</v>
      </c>
      <c r="AJ6" s="55" t="s">
        <v>15</v>
      </c>
      <c r="AK6" s="66"/>
    </row>
    <row r="7" spans="1:37" s="4" customFormat="1" ht="18" customHeight="1" x14ac:dyDescent="0.65">
      <c r="A7" s="62"/>
      <c r="B7" s="63"/>
      <c r="C7" s="64"/>
      <c r="D7" s="57"/>
      <c r="E7" s="57"/>
      <c r="F7" s="56" t="s">
        <v>18</v>
      </c>
      <c r="G7" s="57" t="s">
        <v>19</v>
      </c>
      <c r="H7" s="57"/>
      <c r="I7" s="56"/>
      <c r="J7" s="56"/>
      <c r="K7" s="60"/>
      <c r="L7" s="59"/>
      <c r="M7" s="59"/>
      <c r="N7" s="58" t="s">
        <v>18</v>
      </c>
      <c r="O7" s="59" t="s">
        <v>19</v>
      </c>
      <c r="P7" s="59"/>
      <c r="Q7" s="58"/>
      <c r="R7" s="58"/>
      <c r="S7" s="55"/>
      <c r="T7" s="68"/>
      <c r="U7" s="57"/>
      <c r="V7" s="57"/>
      <c r="W7" s="56" t="s">
        <v>18</v>
      </c>
      <c r="X7" s="57" t="s">
        <v>19</v>
      </c>
      <c r="Y7" s="57"/>
      <c r="Z7" s="56"/>
      <c r="AA7" s="56"/>
      <c r="AB7" s="60"/>
      <c r="AC7" s="59"/>
      <c r="AD7" s="59"/>
      <c r="AE7" s="58" t="s">
        <v>18</v>
      </c>
      <c r="AF7" s="59" t="s">
        <v>19</v>
      </c>
      <c r="AG7" s="59"/>
      <c r="AH7" s="58"/>
      <c r="AI7" s="58"/>
      <c r="AJ7" s="55"/>
      <c r="AK7" s="66"/>
    </row>
    <row r="8" spans="1:37" s="9" customFormat="1" ht="66.75" customHeight="1" x14ac:dyDescent="0.65">
      <c r="A8" s="62"/>
      <c r="B8" s="63"/>
      <c r="C8" s="64"/>
      <c r="D8" s="5" t="s">
        <v>20</v>
      </c>
      <c r="E8" s="5" t="s">
        <v>21</v>
      </c>
      <c r="F8" s="56"/>
      <c r="G8" s="7" t="s">
        <v>22</v>
      </c>
      <c r="H8" s="7" t="s">
        <v>23</v>
      </c>
      <c r="I8" s="56"/>
      <c r="J8" s="56"/>
      <c r="K8" s="60"/>
      <c r="L8" s="6" t="s">
        <v>20</v>
      </c>
      <c r="M8" s="6" t="s">
        <v>21</v>
      </c>
      <c r="N8" s="58"/>
      <c r="O8" s="8" t="s">
        <v>22</v>
      </c>
      <c r="P8" s="8" t="s">
        <v>23</v>
      </c>
      <c r="Q8" s="58"/>
      <c r="R8" s="58"/>
      <c r="S8" s="55"/>
      <c r="T8" s="68"/>
      <c r="U8" s="5" t="s">
        <v>20</v>
      </c>
      <c r="V8" s="5" t="s">
        <v>21</v>
      </c>
      <c r="W8" s="56"/>
      <c r="X8" s="7" t="s">
        <v>22</v>
      </c>
      <c r="Y8" s="7" t="s">
        <v>23</v>
      </c>
      <c r="Z8" s="56"/>
      <c r="AA8" s="56"/>
      <c r="AB8" s="60"/>
      <c r="AC8" s="6" t="s">
        <v>20</v>
      </c>
      <c r="AD8" s="6" t="s">
        <v>21</v>
      </c>
      <c r="AE8" s="58"/>
      <c r="AF8" s="8" t="s">
        <v>22</v>
      </c>
      <c r="AG8" s="8" t="s">
        <v>23</v>
      </c>
      <c r="AH8" s="58"/>
      <c r="AI8" s="58"/>
      <c r="AJ8" s="55"/>
      <c r="AK8" s="66"/>
    </row>
    <row r="9" spans="1:37" s="15" customFormat="1" ht="30" customHeight="1" x14ac:dyDescent="0.65">
      <c r="A9" s="10"/>
      <c r="B9" s="11" t="s">
        <v>24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>
        <f t="shared" ref="U9:AJ9" si="0">SUBTOTAL(9,U10:U38)</f>
        <v>249086.55746562404</v>
      </c>
      <c r="V9" s="13">
        <f t="shared" si="0"/>
        <v>0</v>
      </c>
      <c r="W9" s="13">
        <f t="shared" si="0"/>
        <v>1212469.1419450201</v>
      </c>
      <c r="X9" s="13">
        <f t="shared" si="0"/>
        <v>0</v>
      </c>
      <c r="Y9" s="13">
        <f t="shared" si="0"/>
        <v>6398912.6751965126</v>
      </c>
      <c r="Z9" s="13">
        <f t="shared" si="0"/>
        <v>0</v>
      </c>
      <c r="AA9" s="13">
        <f t="shared" si="0"/>
        <v>360000</v>
      </c>
      <c r="AB9" s="13">
        <f t="shared" si="0"/>
        <v>8220468.374607157</v>
      </c>
      <c r="AC9" s="13">
        <f t="shared" si="0"/>
        <v>249086.55746562404</v>
      </c>
      <c r="AD9" s="13">
        <f t="shared" si="0"/>
        <v>0</v>
      </c>
      <c r="AE9" s="13">
        <f t="shared" si="0"/>
        <v>729620.6360511001</v>
      </c>
      <c r="AF9" s="13">
        <f t="shared" si="0"/>
        <v>0</v>
      </c>
      <c r="AG9" s="13">
        <f t="shared" si="0"/>
        <v>6433484.3079077415</v>
      </c>
      <c r="AH9" s="13">
        <f t="shared" si="0"/>
        <v>0</v>
      </c>
      <c r="AI9" s="13">
        <f t="shared" si="0"/>
        <v>0</v>
      </c>
      <c r="AJ9" s="13">
        <f t="shared" si="0"/>
        <v>7412191.5014244663</v>
      </c>
      <c r="AK9" s="14">
        <v>7365519.50142447</v>
      </c>
    </row>
    <row r="10" spans="1:37" s="23" customFormat="1" ht="23.4" customHeight="1" x14ac:dyDescent="0.65">
      <c r="A10" s="16" t="s">
        <v>25</v>
      </c>
      <c r="B10" s="17" t="s">
        <v>26</v>
      </c>
      <c r="C10" s="18"/>
      <c r="D10" s="19"/>
      <c r="E10" s="19"/>
      <c r="F10" s="19"/>
      <c r="G10" s="19"/>
      <c r="H10" s="19"/>
      <c r="I10" s="19"/>
      <c r="J10" s="19"/>
      <c r="K10" s="20"/>
      <c r="L10" s="19"/>
      <c r="M10" s="19"/>
      <c r="N10" s="19"/>
      <c r="O10" s="19"/>
      <c r="P10" s="19"/>
      <c r="Q10" s="19"/>
      <c r="R10" s="19"/>
      <c r="S10" s="20"/>
      <c r="T10" s="19"/>
      <c r="U10" s="21">
        <f>SUBTOTAL(9,U11:U38)</f>
        <v>249086.55746562404</v>
      </c>
      <c r="V10" s="21">
        <f t="shared" ref="V10:AJ10" si="1">SUBTOTAL(9,V11:V38)</f>
        <v>0</v>
      </c>
      <c r="W10" s="21">
        <f t="shared" si="1"/>
        <v>1212469.1419450201</v>
      </c>
      <c r="X10" s="21">
        <f t="shared" si="1"/>
        <v>0</v>
      </c>
      <c r="Y10" s="21">
        <f t="shared" si="1"/>
        <v>6398912.6751965126</v>
      </c>
      <c r="Z10" s="21">
        <f t="shared" si="1"/>
        <v>0</v>
      </c>
      <c r="AA10" s="21">
        <f t="shared" si="1"/>
        <v>360000</v>
      </c>
      <c r="AB10" s="21">
        <f t="shared" si="1"/>
        <v>8220468.374607157</v>
      </c>
      <c r="AC10" s="21">
        <f t="shared" si="1"/>
        <v>249086.55746562404</v>
      </c>
      <c r="AD10" s="21">
        <f t="shared" si="1"/>
        <v>0</v>
      </c>
      <c r="AE10" s="21">
        <f t="shared" si="1"/>
        <v>729620.6360511001</v>
      </c>
      <c r="AF10" s="21">
        <f t="shared" si="1"/>
        <v>0</v>
      </c>
      <c r="AG10" s="21">
        <f t="shared" si="1"/>
        <v>6433484.3079077415</v>
      </c>
      <c r="AH10" s="21">
        <f t="shared" si="1"/>
        <v>0</v>
      </c>
      <c r="AI10" s="21">
        <f t="shared" si="1"/>
        <v>0</v>
      </c>
      <c r="AJ10" s="21">
        <f t="shared" si="1"/>
        <v>7412191.5014244663</v>
      </c>
      <c r="AK10" s="22"/>
    </row>
    <row r="11" spans="1:37" s="31" customFormat="1" x14ac:dyDescent="0.7">
      <c r="A11" s="24">
        <v>2.1</v>
      </c>
      <c r="B11" s="25" t="s">
        <v>27</v>
      </c>
      <c r="C11" s="26"/>
      <c r="D11" s="27"/>
      <c r="E11" s="27"/>
      <c r="F11" s="27"/>
      <c r="G11" s="27"/>
      <c r="H11" s="27"/>
      <c r="I11" s="27"/>
      <c r="J11" s="27"/>
      <c r="K11" s="28"/>
      <c r="L11" s="27"/>
      <c r="M11" s="27"/>
      <c r="N11" s="27"/>
      <c r="O11" s="27"/>
      <c r="P11" s="27"/>
      <c r="Q11" s="27"/>
      <c r="R11" s="27"/>
      <c r="S11" s="28"/>
      <c r="T11" s="29"/>
      <c r="U11" s="29">
        <f>SUBTOTAL(9,U12:U22)</f>
        <v>123279.25</v>
      </c>
      <c r="V11" s="29">
        <f t="shared" ref="V11:AJ11" si="2">SUBTOTAL(9,V12:V22)</f>
        <v>0</v>
      </c>
      <c r="W11" s="29">
        <f t="shared" si="2"/>
        <v>180735.5</v>
      </c>
      <c r="X11" s="29">
        <f t="shared" si="2"/>
        <v>0</v>
      </c>
      <c r="Y11" s="29">
        <f t="shared" si="2"/>
        <v>3921609</v>
      </c>
      <c r="Z11" s="29">
        <f t="shared" si="2"/>
        <v>0</v>
      </c>
      <c r="AA11" s="29">
        <f t="shared" si="2"/>
        <v>0</v>
      </c>
      <c r="AB11" s="29">
        <f t="shared" si="2"/>
        <v>4225623.75</v>
      </c>
      <c r="AC11" s="29">
        <f t="shared" si="2"/>
        <v>123279.25</v>
      </c>
      <c r="AD11" s="29">
        <f t="shared" si="2"/>
        <v>0</v>
      </c>
      <c r="AE11" s="29">
        <f t="shared" si="2"/>
        <v>60570</v>
      </c>
      <c r="AF11" s="29">
        <f t="shared" si="2"/>
        <v>0</v>
      </c>
      <c r="AG11" s="29">
        <f t="shared" si="2"/>
        <v>3709512</v>
      </c>
      <c r="AH11" s="29">
        <f t="shared" si="2"/>
        <v>0</v>
      </c>
      <c r="AI11" s="29">
        <f t="shared" si="2"/>
        <v>0</v>
      </c>
      <c r="AJ11" s="29">
        <f t="shared" si="2"/>
        <v>3893361.25</v>
      </c>
      <c r="AK11" s="30"/>
    </row>
    <row r="12" spans="1:37" s="31" customFormat="1" ht="55.4" customHeight="1" x14ac:dyDescent="0.7">
      <c r="A12" s="32" t="s">
        <v>28</v>
      </c>
      <c r="B12" s="33" t="s">
        <v>29</v>
      </c>
      <c r="C12" s="34" t="s">
        <v>30</v>
      </c>
      <c r="D12" s="35"/>
      <c r="E12" s="35"/>
      <c r="F12" s="35">
        <v>11</v>
      </c>
      <c r="G12" s="35"/>
      <c r="H12" s="35">
        <f>49-F12</f>
        <v>38</v>
      </c>
      <c r="I12" s="35"/>
      <c r="J12" s="35"/>
      <c r="K12" s="36">
        <f>SUM(D12:J12)</f>
        <v>49</v>
      </c>
      <c r="L12" s="35"/>
      <c r="M12" s="35"/>
      <c r="N12" s="35"/>
      <c r="O12" s="35"/>
      <c r="P12" s="35"/>
      <c r="Q12" s="35"/>
      <c r="R12" s="35"/>
      <c r="S12" s="36">
        <f>SUM(L12:R12)</f>
        <v>0</v>
      </c>
      <c r="T12" s="37">
        <v>16430.5</v>
      </c>
      <c r="U12" s="37">
        <f t="shared" ref="U12:AJ22" si="3">D12*$T12</f>
        <v>0</v>
      </c>
      <c r="V12" s="37">
        <f t="shared" si="3"/>
        <v>0</v>
      </c>
      <c r="W12" s="37">
        <f t="shared" si="3"/>
        <v>180735.5</v>
      </c>
      <c r="X12" s="37">
        <f t="shared" si="3"/>
        <v>0</v>
      </c>
      <c r="Y12" s="37">
        <f t="shared" si="3"/>
        <v>624359</v>
      </c>
      <c r="Z12" s="37">
        <f t="shared" si="3"/>
        <v>0</v>
      </c>
      <c r="AA12" s="37">
        <f t="shared" si="3"/>
        <v>0</v>
      </c>
      <c r="AB12" s="37">
        <f t="shared" si="3"/>
        <v>805094.5</v>
      </c>
      <c r="AC12" s="37">
        <f t="shared" si="3"/>
        <v>0</v>
      </c>
      <c r="AD12" s="37">
        <f t="shared" si="3"/>
        <v>0</v>
      </c>
      <c r="AE12" s="37">
        <f t="shared" si="3"/>
        <v>0</v>
      </c>
      <c r="AF12" s="37">
        <f t="shared" si="3"/>
        <v>0</v>
      </c>
      <c r="AG12" s="37">
        <f t="shared" si="3"/>
        <v>0</v>
      </c>
      <c r="AH12" s="37">
        <f t="shared" si="3"/>
        <v>0</v>
      </c>
      <c r="AI12" s="37">
        <f t="shared" si="3"/>
        <v>0</v>
      </c>
      <c r="AJ12" s="37">
        <f t="shared" si="3"/>
        <v>0</v>
      </c>
      <c r="AK12" s="30"/>
    </row>
    <row r="13" spans="1:37" s="31" customFormat="1" ht="55.4" customHeight="1" x14ac:dyDescent="0.7">
      <c r="A13" s="32" t="s">
        <v>28</v>
      </c>
      <c r="B13" s="38" t="s">
        <v>31</v>
      </c>
      <c r="C13" s="34" t="s">
        <v>30</v>
      </c>
      <c r="D13" s="35"/>
      <c r="E13" s="35"/>
      <c r="F13" s="35"/>
      <c r="H13" s="35"/>
      <c r="I13" s="35"/>
      <c r="J13" s="35"/>
      <c r="K13" s="36">
        <f t="shared" ref="K13:K38" si="4">SUM(D13:J13)</f>
        <v>0</v>
      </c>
      <c r="L13" s="35"/>
      <c r="M13" s="35"/>
      <c r="N13" s="35">
        <v>3</v>
      </c>
      <c r="O13" s="35"/>
      <c r="P13" s="35">
        <f>38-N13</f>
        <v>35</v>
      </c>
      <c r="Q13" s="35"/>
      <c r="R13" s="35"/>
      <c r="S13" s="36">
        <f t="shared" ref="S13:S38" si="5">SUM(L13:R13)</f>
        <v>38</v>
      </c>
      <c r="T13" s="37">
        <v>20190</v>
      </c>
      <c r="U13" s="37">
        <f t="shared" si="3"/>
        <v>0</v>
      </c>
      <c r="V13" s="37">
        <f t="shared" si="3"/>
        <v>0</v>
      </c>
      <c r="W13" s="37">
        <f t="shared" si="3"/>
        <v>0</v>
      </c>
      <c r="X13" s="37">
        <f t="shared" si="3"/>
        <v>0</v>
      </c>
      <c r="Y13" s="37">
        <f t="shared" si="3"/>
        <v>0</v>
      </c>
      <c r="Z13" s="37">
        <f t="shared" si="3"/>
        <v>0</v>
      </c>
      <c r="AA13" s="37">
        <f t="shared" si="3"/>
        <v>0</v>
      </c>
      <c r="AB13" s="37">
        <f t="shared" si="3"/>
        <v>0</v>
      </c>
      <c r="AC13" s="37">
        <f t="shared" si="3"/>
        <v>0</v>
      </c>
      <c r="AD13" s="37">
        <f t="shared" si="3"/>
        <v>0</v>
      </c>
      <c r="AE13" s="37">
        <f t="shared" si="3"/>
        <v>60570</v>
      </c>
      <c r="AF13" s="37">
        <f t="shared" si="3"/>
        <v>0</v>
      </c>
      <c r="AG13" s="37">
        <f t="shared" si="3"/>
        <v>706650</v>
      </c>
      <c r="AH13" s="37">
        <f t="shared" si="3"/>
        <v>0</v>
      </c>
      <c r="AI13" s="37">
        <f t="shared" si="3"/>
        <v>0</v>
      </c>
      <c r="AJ13" s="37">
        <f t="shared" si="3"/>
        <v>767220</v>
      </c>
      <c r="AK13" s="30"/>
    </row>
    <row r="14" spans="1:37" s="31" customFormat="1" ht="46.95" customHeight="1" x14ac:dyDescent="0.7">
      <c r="A14" s="32" t="s">
        <v>28</v>
      </c>
      <c r="B14" s="33" t="s">
        <v>50</v>
      </c>
      <c r="C14" s="34" t="s">
        <v>30</v>
      </c>
      <c r="D14" s="35"/>
      <c r="E14" s="35"/>
      <c r="F14" s="35"/>
      <c r="G14" s="35"/>
      <c r="H14" s="35">
        <v>6</v>
      </c>
      <c r="I14" s="35"/>
      <c r="J14" s="35"/>
      <c r="K14" s="36">
        <f t="shared" si="4"/>
        <v>6</v>
      </c>
      <c r="L14" s="35"/>
      <c r="M14" s="35"/>
      <c r="N14" s="35"/>
      <c r="O14" s="35"/>
      <c r="P14" s="35">
        <f>50-38</f>
        <v>12</v>
      </c>
      <c r="Q14" s="35"/>
      <c r="R14" s="35"/>
      <c r="S14" s="36">
        <f t="shared" si="5"/>
        <v>12</v>
      </c>
      <c r="T14" s="39">
        <v>16874</v>
      </c>
      <c r="U14" s="37">
        <f t="shared" si="3"/>
        <v>0</v>
      </c>
      <c r="V14" s="37">
        <f t="shared" si="3"/>
        <v>0</v>
      </c>
      <c r="W14" s="37">
        <f t="shared" si="3"/>
        <v>0</v>
      </c>
      <c r="X14" s="37">
        <f t="shared" si="3"/>
        <v>0</v>
      </c>
      <c r="Y14" s="37">
        <f t="shared" si="3"/>
        <v>101244</v>
      </c>
      <c r="Z14" s="37">
        <f t="shared" si="3"/>
        <v>0</v>
      </c>
      <c r="AA14" s="37">
        <f t="shared" si="3"/>
        <v>0</v>
      </c>
      <c r="AB14" s="37">
        <f t="shared" si="3"/>
        <v>101244</v>
      </c>
      <c r="AC14" s="37">
        <f t="shared" si="3"/>
        <v>0</v>
      </c>
      <c r="AD14" s="37">
        <f t="shared" si="3"/>
        <v>0</v>
      </c>
      <c r="AE14" s="37">
        <f t="shared" si="3"/>
        <v>0</v>
      </c>
      <c r="AF14" s="37">
        <f t="shared" si="3"/>
        <v>0</v>
      </c>
      <c r="AG14" s="37">
        <f t="shared" si="3"/>
        <v>202488</v>
      </c>
      <c r="AH14" s="37">
        <f t="shared" si="3"/>
        <v>0</v>
      </c>
      <c r="AI14" s="37">
        <f t="shared" si="3"/>
        <v>0</v>
      </c>
      <c r="AJ14" s="37">
        <f t="shared" si="3"/>
        <v>202488</v>
      </c>
      <c r="AK14" s="30"/>
    </row>
    <row r="15" spans="1:37" s="31" customFormat="1" ht="46.95" customHeight="1" x14ac:dyDescent="0.7">
      <c r="A15" s="32" t="s">
        <v>28</v>
      </c>
      <c r="B15" s="33" t="s">
        <v>51</v>
      </c>
      <c r="C15" s="34" t="s">
        <v>30</v>
      </c>
      <c r="D15" s="35"/>
      <c r="E15" s="35"/>
      <c r="F15" s="35"/>
      <c r="G15" s="35"/>
      <c r="H15" s="35">
        <v>80</v>
      </c>
      <c r="I15" s="35"/>
      <c r="J15" s="35"/>
      <c r="K15" s="36">
        <f t="shared" si="4"/>
        <v>80</v>
      </c>
      <c r="L15" s="35"/>
      <c r="M15" s="35"/>
      <c r="N15" s="35"/>
      <c r="O15" s="35"/>
      <c r="P15" s="35">
        <v>76</v>
      </c>
      <c r="Q15" s="35"/>
      <c r="R15" s="35"/>
      <c r="S15" s="36">
        <f t="shared" si="5"/>
        <v>76</v>
      </c>
      <c r="T15" s="39">
        <v>13114.5</v>
      </c>
      <c r="U15" s="37">
        <f t="shared" si="3"/>
        <v>0</v>
      </c>
      <c r="V15" s="37">
        <f t="shared" si="3"/>
        <v>0</v>
      </c>
      <c r="W15" s="37">
        <f t="shared" si="3"/>
        <v>0</v>
      </c>
      <c r="X15" s="37">
        <f t="shared" si="3"/>
        <v>0</v>
      </c>
      <c r="Y15" s="37">
        <f t="shared" si="3"/>
        <v>1049160</v>
      </c>
      <c r="Z15" s="37">
        <f t="shared" si="3"/>
        <v>0</v>
      </c>
      <c r="AA15" s="37">
        <f t="shared" si="3"/>
        <v>0</v>
      </c>
      <c r="AB15" s="37">
        <f t="shared" si="3"/>
        <v>1049160</v>
      </c>
      <c r="AC15" s="37">
        <f t="shared" si="3"/>
        <v>0</v>
      </c>
      <c r="AD15" s="37">
        <f t="shared" si="3"/>
        <v>0</v>
      </c>
      <c r="AE15" s="37">
        <f t="shared" si="3"/>
        <v>0</v>
      </c>
      <c r="AF15" s="37">
        <f t="shared" si="3"/>
        <v>0</v>
      </c>
      <c r="AG15" s="37">
        <f t="shared" si="3"/>
        <v>996702</v>
      </c>
      <c r="AH15" s="37">
        <f t="shared" si="3"/>
        <v>0</v>
      </c>
      <c r="AI15" s="37">
        <f t="shared" si="3"/>
        <v>0</v>
      </c>
      <c r="AJ15" s="37">
        <f t="shared" si="3"/>
        <v>996702</v>
      </c>
      <c r="AK15" s="30"/>
    </row>
    <row r="16" spans="1:37" s="31" customFormat="1" ht="46.95" customHeight="1" x14ac:dyDescent="0.7">
      <c r="A16" s="32" t="s">
        <v>28</v>
      </c>
      <c r="B16" s="40" t="s">
        <v>32</v>
      </c>
      <c r="C16" s="34" t="s">
        <v>30</v>
      </c>
      <c r="D16" s="35"/>
      <c r="E16" s="35"/>
      <c r="F16" s="35"/>
      <c r="G16" s="35"/>
      <c r="H16" s="35">
        <v>20</v>
      </c>
      <c r="I16" s="35"/>
      <c r="J16" s="35"/>
      <c r="K16" s="36">
        <f t="shared" si="4"/>
        <v>20</v>
      </c>
      <c r="L16" s="35"/>
      <c r="M16" s="35"/>
      <c r="N16" s="35"/>
      <c r="O16" s="35"/>
      <c r="P16" s="35">
        <v>0</v>
      </c>
      <c r="Q16" s="35"/>
      <c r="R16" s="35"/>
      <c r="S16" s="36">
        <f t="shared" si="5"/>
        <v>0</v>
      </c>
      <c r="T16" s="39">
        <v>13633.5</v>
      </c>
      <c r="U16" s="37">
        <f t="shared" si="3"/>
        <v>0</v>
      </c>
      <c r="V16" s="37">
        <f t="shared" si="3"/>
        <v>0</v>
      </c>
      <c r="W16" s="37">
        <f t="shared" si="3"/>
        <v>0</v>
      </c>
      <c r="X16" s="37">
        <f t="shared" si="3"/>
        <v>0</v>
      </c>
      <c r="Y16" s="37">
        <f t="shared" si="3"/>
        <v>272670</v>
      </c>
      <c r="Z16" s="37">
        <f t="shared" si="3"/>
        <v>0</v>
      </c>
      <c r="AA16" s="37">
        <f t="shared" si="3"/>
        <v>0</v>
      </c>
      <c r="AB16" s="37">
        <f t="shared" si="3"/>
        <v>272670</v>
      </c>
      <c r="AC16" s="37">
        <f t="shared" si="3"/>
        <v>0</v>
      </c>
      <c r="AD16" s="37">
        <f t="shared" si="3"/>
        <v>0</v>
      </c>
      <c r="AE16" s="37">
        <f t="shared" si="3"/>
        <v>0</v>
      </c>
      <c r="AF16" s="37">
        <f t="shared" si="3"/>
        <v>0</v>
      </c>
      <c r="AG16" s="37">
        <f t="shared" si="3"/>
        <v>0</v>
      </c>
      <c r="AH16" s="37">
        <f t="shared" si="3"/>
        <v>0</v>
      </c>
      <c r="AI16" s="37">
        <f t="shared" si="3"/>
        <v>0</v>
      </c>
      <c r="AJ16" s="37">
        <f t="shared" si="3"/>
        <v>0</v>
      </c>
      <c r="AK16" s="30"/>
    </row>
    <row r="17" spans="1:37" s="31" customFormat="1" ht="105.5" customHeight="1" x14ac:dyDescent="0.7">
      <c r="A17" s="32" t="s">
        <v>28</v>
      </c>
      <c r="B17" s="41" t="s">
        <v>33</v>
      </c>
      <c r="C17" s="34" t="s">
        <v>30</v>
      </c>
      <c r="D17" s="35"/>
      <c r="E17" s="35"/>
      <c r="F17" s="35"/>
      <c r="G17" s="35"/>
      <c r="H17" s="35">
        <v>22</v>
      </c>
      <c r="I17" s="35"/>
      <c r="J17" s="35"/>
      <c r="K17" s="36">
        <f t="shared" si="4"/>
        <v>22</v>
      </c>
      <c r="L17" s="35"/>
      <c r="M17" s="35"/>
      <c r="N17" s="35"/>
      <c r="O17" s="35"/>
      <c r="P17" s="35">
        <v>36</v>
      </c>
      <c r="Q17" s="35"/>
      <c r="R17" s="35"/>
      <c r="S17" s="36">
        <f t="shared" si="5"/>
        <v>36</v>
      </c>
      <c r="T17" s="39">
        <v>49200</v>
      </c>
      <c r="U17" s="37">
        <f t="shared" si="3"/>
        <v>0</v>
      </c>
      <c r="V17" s="37">
        <f t="shared" si="3"/>
        <v>0</v>
      </c>
      <c r="W17" s="37">
        <f t="shared" si="3"/>
        <v>0</v>
      </c>
      <c r="X17" s="37">
        <f t="shared" si="3"/>
        <v>0</v>
      </c>
      <c r="Y17" s="37">
        <f t="shared" si="3"/>
        <v>1082400</v>
      </c>
      <c r="Z17" s="37">
        <f t="shared" si="3"/>
        <v>0</v>
      </c>
      <c r="AA17" s="37">
        <f t="shared" si="3"/>
        <v>0</v>
      </c>
      <c r="AB17" s="37">
        <f t="shared" si="3"/>
        <v>1082400</v>
      </c>
      <c r="AC17" s="37">
        <f t="shared" si="3"/>
        <v>0</v>
      </c>
      <c r="AD17" s="37">
        <f t="shared" si="3"/>
        <v>0</v>
      </c>
      <c r="AE17" s="37">
        <f t="shared" si="3"/>
        <v>0</v>
      </c>
      <c r="AF17" s="37">
        <f t="shared" si="3"/>
        <v>0</v>
      </c>
      <c r="AG17" s="37">
        <f t="shared" si="3"/>
        <v>1771200</v>
      </c>
      <c r="AH17" s="37">
        <f t="shared" si="3"/>
        <v>0</v>
      </c>
      <c r="AI17" s="37">
        <f t="shared" si="3"/>
        <v>0</v>
      </c>
      <c r="AJ17" s="37">
        <f t="shared" si="3"/>
        <v>1771200</v>
      </c>
      <c r="AK17" s="30"/>
    </row>
    <row r="18" spans="1:37" s="31" customFormat="1" ht="36" customHeight="1" x14ac:dyDescent="0.7">
      <c r="A18" s="32" t="s">
        <v>28</v>
      </c>
      <c r="B18" s="41" t="s">
        <v>52</v>
      </c>
      <c r="C18" s="34" t="s">
        <v>53</v>
      </c>
      <c r="D18" s="35"/>
      <c r="E18" s="35"/>
      <c r="F18" s="35"/>
      <c r="G18" s="35"/>
      <c r="H18" s="35">
        <v>603</v>
      </c>
      <c r="I18" s="35"/>
      <c r="J18" s="35"/>
      <c r="K18" s="36">
        <f t="shared" si="4"/>
        <v>603</v>
      </c>
      <c r="L18" s="35"/>
      <c r="M18" s="35"/>
      <c r="N18" s="35"/>
      <c r="O18" s="35"/>
      <c r="P18" s="35">
        <v>36</v>
      </c>
      <c r="Q18" s="35"/>
      <c r="R18" s="35"/>
      <c r="S18" s="36">
        <f t="shared" si="5"/>
        <v>36</v>
      </c>
      <c r="T18" s="39">
        <v>192</v>
      </c>
      <c r="U18" s="37">
        <f t="shared" si="3"/>
        <v>0</v>
      </c>
      <c r="V18" s="37">
        <f t="shared" si="3"/>
        <v>0</v>
      </c>
      <c r="W18" s="37">
        <f t="shared" si="3"/>
        <v>0</v>
      </c>
      <c r="X18" s="37">
        <f t="shared" si="3"/>
        <v>0</v>
      </c>
      <c r="Y18" s="37">
        <f t="shared" si="3"/>
        <v>115776</v>
      </c>
      <c r="Z18" s="37">
        <f t="shared" si="3"/>
        <v>0</v>
      </c>
      <c r="AA18" s="37">
        <f t="shared" si="3"/>
        <v>0</v>
      </c>
      <c r="AB18" s="37">
        <f t="shared" si="3"/>
        <v>115776</v>
      </c>
      <c r="AC18" s="37">
        <f t="shared" si="3"/>
        <v>0</v>
      </c>
      <c r="AD18" s="37">
        <f t="shared" si="3"/>
        <v>0</v>
      </c>
      <c r="AE18" s="37">
        <f t="shared" si="3"/>
        <v>0</v>
      </c>
      <c r="AF18" s="37">
        <f t="shared" si="3"/>
        <v>0</v>
      </c>
      <c r="AG18" s="37">
        <f t="shared" si="3"/>
        <v>6912</v>
      </c>
      <c r="AH18" s="37">
        <f t="shared" si="3"/>
        <v>0</v>
      </c>
      <c r="AI18" s="37">
        <f t="shared" si="3"/>
        <v>0</v>
      </c>
      <c r="AJ18" s="37">
        <f t="shared" si="3"/>
        <v>6912</v>
      </c>
      <c r="AK18" s="30"/>
    </row>
    <row r="19" spans="1:37" s="31" customFormat="1" ht="36" customHeight="1" x14ac:dyDescent="0.7">
      <c r="A19" s="32" t="s">
        <v>28</v>
      </c>
      <c r="B19" s="41" t="s">
        <v>54</v>
      </c>
      <c r="C19" s="34" t="s">
        <v>53</v>
      </c>
      <c r="D19" s="35"/>
      <c r="E19" s="35"/>
      <c r="F19" s="35"/>
      <c r="G19" s="35"/>
      <c r="H19" s="35">
        <v>600</v>
      </c>
      <c r="I19" s="35"/>
      <c r="J19" s="35"/>
      <c r="K19" s="36">
        <f t="shared" si="4"/>
        <v>600</v>
      </c>
      <c r="L19" s="35"/>
      <c r="M19" s="35"/>
      <c r="N19" s="35"/>
      <c r="O19" s="35"/>
      <c r="P19" s="35">
        <v>36</v>
      </c>
      <c r="Q19" s="35"/>
      <c r="R19" s="35"/>
      <c r="S19" s="36">
        <f t="shared" si="5"/>
        <v>36</v>
      </c>
      <c r="T19" s="39">
        <v>710</v>
      </c>
      <c r="U19" s="37">
        <f t="shared" si="3"/>
        <v>0</v>
      </c>
      <c r="V19" s="37">
        <f t="shared" si="3"/>
        <v>0</v>
      </c>
      <c r="W19" s="37">
        <f t="shared" si="3"/>
        <v>0</v>
      </c>
      <c r="X19" s="37">
        <f t="shared" si="3"/>
        <v>0</v>
      </c>
      <c r="Y19" s="37">
        <f t="shared" si="3"/>
        <v>426000</v>
      </c>
      <c r="Z19" s="37">
        <f t="shared" si="3"/>
        <v>0</v>
      </c>
      <c r="AA19" s="37">
        <f t="shared" si="3"/>
        <v>0</v>
      </c>
      <c r="AB19" s="37">
        <f t="shared" si="3"/>
        <v>426000</v>
      </c>
      <c r="AC19" s="37">
        <f t="shared" si="3"/>
        <v>0</v>
      </c>
      <c r="AD19" s="37">
        <f t="shared" si="3"/>
        <v>0</v>
      </c>
      <c r="AE19" s="37">
        <f t="shared" si="3"/>
        <v>0</v>
      </c>
      <c r="AF19" s="37">
        <f t="shared" si="3"/>
        <v>0</v>
      </c>
      <c r="AG19" s="37">
        <f t="shared" si="3"/>
        <v>25560</v>
      </c>
      <c r="AH19" s="37">
        <f t="shared" si="3"/>
        <v>0</v>
      </c>
      <c r="AI19" s="37">
        <f t="shared" si="3"/>
        <v>0</v>
      </c>
      <c r="AJ19" s="37">
        <f t="shared" si="3"/>
        <v>25560</v>
      </c>
      <c r="AK19" s="30"/>
    </row>
    <row r="20" spans="1:37" s="31" customFormat="1" ht="22" customHeight="1" x14ac:dyDescent="0.7">
      <c r="A20" s="32" t="s">
        <v>28</v>
      </c>
      <c r="B20" s="41" t="s">
        <v>34</v>
      </c>
      <c r="C20" s="34"/>
      <c r="D20" s="35"/>
      <c r="E20" s="35"/>
      <c r="F20" s="35"/>
      <c r="G20" s="35"/>
      <c r="H20" s="35">
        <v>50</v>
      </c>
      <c r="I20" s="35"/>
      <c r="J20" s="35"/>
      <c r="K20" s="36">
        <f t="shared" si="4"/>
        <v>50</v>
      </c>
      <c r="L20" s="35"/>
      <c r="M20" s="35"/>
      <c r="N20" s="35"/>
      <c r="O20" s="35"/>
      <c r="P20" s="35"/>
      <c r="Q20" s="35"/>
      <c r="R20" s="35"/>
      <c r="S20" s="36">
        <f t="shared" si="5"/>
        <v>0</v>
      </c>
      <c r="T20" s="39">
        <v>5000</v>
      </c>
      <c r="U20" s="37">
        <f t="shared" si="3"/>
        <v>0</v>
      </c>
      <c r="V20" s="37">
        <f t="shared" si="3"/>
        <v>0</v>
      </c>
      <c r="W20" s="37">
        <f t="shared" si="3"/>
        <v>0</v>
      </c>
      <c r="X20" s="37">
        <f t="shared" si="3"/>
        <v>0</v>
      </c>
      <c r="Y20" s="37">
        <f t="shared" si="3"/>
        <v>250000</v>
      </c>
      <c r="Z20" s="37">
        <f t="shared" si="3"/>
        <v>0</v>
      </c>
      <c r="AA20" s="37">
        <f t="shared" si="3"/>
        <v>0</v>
      </c>
      <c r="AB20" s="37">
        <f t="shared" si="3"/>
        <v>250000</v>
      </c>
      <c r="AC20" s="37">
        <f t="shared" si="3"/>
        <v>0</v>
      </c>
      <c r="AD20" s="37">
        <f t="shared" si="3"/>
        <v>0</v>
      </c>
      <c r="AE20" s="37">
        <f t="shared" si="3"/>
        <v>0</v>
      </c>
      <c r="AF20" s="37">
        <f t="shared" si="3"/>
        <v>0</v>
      </c>
      <c r="AG20" s="37">
        <f t="shared" si="3"/>
        <v>0</v>
      </c>
      <c r="AH20" s="37">
        <f t="shared" si="3"/>
        <v>0</v>
      </c>
      <c r="AI20" s="37">
        <f t="shared" si="3"/>
        <v>0</v>
      </c>
      <c r="AJ20" s="37">
        <f t="shared" si="3"/>
        <v>0</v>
      </c>
      <c r="AK20" s="30"/>
    </row>
    <row r="21" spans="1:37" s="31" customFormat="1" x14ac:dyDescent="0.7">
      <c r="A21" s="32" t="s">
        <v>28</v>
      </c>
      <c r="B21" s="42" t="s">
        <v>35</v>
      </c>
      <c r="C21" s="34" t="s">
        <v>36</v>
      </c>
      <c r="D21" s="35">
        <v>12</v>
      </c>
      <c r="E21" s="35"/>
      <c r="F21" s="35"/>
      <c r="G21" s="35"/>
      <c r="H21" s="35"/>
      <c r="I21" s="35"/>
      <c r="J21" s="35"/>
      <c r="K21" s="36">
        <f t="shared" si="4"/>
        <v>12</v>
      </c>
      <c r="L21" s="35">
        <v>12</v>
      </c>
      <c r="M21" s="35"/>
      <c r="N21" s="35"/>
      <c r="O21" s="35"/>
      <c r="P21" s="35"/>
      <c r="Q21" s="35"/>
      <c r="R21" s="35"/>
      <c r="S21" s="36">
        <f t="shared" si="5"/>
        <v>12</v>
      </c>
      <c r="T21" s="37">
        <v>5380.833333333333</v>
      </c>
      <c r="U21" s="37">
        <f t="shared" si="3"/>
        <v>64570</v>
      </c>
      <c r="V21" s="37">
        <f t="shared" si="3"/>
        <v>0</v>
      </c>
      <c r="W21" s="37">
        <f t="shared" si="3"/>
        <v>0</v>
      </c>
      <c r="X21" s="37">
        <f t="shared" si="3"/>
        <v>0</v>
      </c>
      <c r="Y21" s="37">
        <f t="shared" si="3"/>
        <v>0</v>
      </c>
      <c r="Z21" s="37">
        <f t="shared" si="3"/>
        <v>0</v>
      </c>
      <c r="AA21" s="37">
        <f t="shared" si="3"/>
        <v>0</v>
      </c>
      <c r="AB21" s="37">
        <f t="shared" si="3"/>
        <v>64570</v>
      </c>
      <c r="AC21" s="37">
        <f t="shared" si="3"/>
        <v>64570</v>
      </c>
      <c r="AD21" s="37">
        <f t="shared" si="3"/>
        <v>0</v>
      </c>
      <c r="AE21" s="37">
        <f t="shared" si="3"/>
        <v>0</v>
      </c>
      <c r="AF21" s="37">
        <f t="shared" si="3"/>
        <v>0</v>
      </c>
      <c r="AG21" s="37">
        <f t="shared" si="3"/>
        <v>0</v>
      </c>
      <c r="AH21" s="37">
        <f t="shared" si="3"/>
        <v>0</v>
      </c>
      <c r="AI21" s="37">
        <f t="shared" si="3"/>
        <v>0</v>
      </c>
      <c r="AJ21" s="37">
        <f t="shared" si="3"/>
        <v>64570</v>
      </c>
      <c r="AK21" s="30"/>
    </row>
    <row r="22" spans="1:37" s="31" customFormat="1" x14ac:dyDescent="0.7">
      <c r="A22" s="32" t="s">
        <v>28</v>
      </c>
      <c r="B22" s="42" t="s">
        <v>37</v>
      </c>
      <c r="C22" s="34" t="s">
        <v>36</v>
      </c>
      <c r="D22" s="35">
        <v>15</v>
      </c>
      <c r="E22" s="35"/>
      <c r="F22" s="35"/>
      <c r="G22" s="35"/>
      <c r="H22" s="35"/>
      <c r="I22" s="35"/>
      <c r="J22" s="35"/>
      <c r="K22" s="36">
        <f t="shared" si="4"/>
        <v>15</v>
      </c>
      <c r="L22" s="35">
        <v>15</v>
      </c>
      <c r="M22" s="35"/>
      <c r="N22" s="35"/>
      <c r="O22" s="35"/>
      <c r="P22" s="35"/>
      <c r="Q22" s="35"/>
      <c r="R22" s="35"/>
      <c r="S22" s="36">
        <f t="shared" si="5"/>
        <v>15</v>
      </c>
      <c r="T22" s="37">
        <v>3913.95</v>
      </c>
      <c r="U22" s="37">
        <f t="shared" si="3"/>
        <v>58709.25</v>
      </c>
      <c r="V22" s="37">
        <f t="shared" si="3"/>
        <v>0</v>
      </c>
      <c r="W22" s="37">
        <f t="shared" si="3"/>
        <v>0</v>
      </c>
      <c r="X22" s="37">
        <f t="shared" si="3"/>
        <v>0</v>
      </c>
      <c r="Y22" s="37">
        <f t="shared" si="3"/>
        <v>0</v>
      </c>
      <c r="Z22" s="37">
        <f t="shared" si="3"/>
        <v>0</v>
      </c>
      <c r="AA22" s="37">
        <f t="shared" si="3"/>
        <v>0</v>
      </c>
      <c r="AB22" s="37">
        <f t="shared" si="3"/>
        <v>58709.25</v>
      </c>
      <c r="AC22" s="37">
        <f t="shared" si="3"/>
        <v>58709.25</v>
      </c>
      <c r="AD22" s="37">
        <f t="shared" si="3"/>
        <v>0</v>
      </c>
      <c r="AE22" s="37">
        <f t="shared" si="3"/>
        <v>0</v>
      </c>
      <c r="AF22" s="37">
        <f t="shared" si="3"/>
        <v>0</v>
      </c>
      <c r="AG22" s="37">
        <f t="shared" si="3"/>
        <v>0</v>
      </c>
      <c r="AH22" s="37">
        <f t="shared" si="3"/>
        <v>0</v>
      </c>
      <c r="AI22" s="37">
        <f t="shared" si="3"/>
        <v>0</v>
      </c>
      <c r="AJ22" s="37">
        <f t="shared" si="3"/>
        <v>58709.25</v>
      </c>
      <c r="AK22" s="30"/>
    </row>
    <row r="23" spans="1:37" s="31" customFormat="1" x14ac:dyDescent="0.7">
      <c r="A23" s="24">
        <v>2.2000000000000002</v>
      </c>
      <c r="B23" s="25" t="s">
        <v>38</v>
      </c>
      <c r="C23" s="26"/>
      <c r="D23" s="27"/>
      <c r="E23" s="27"/>
      <c r="F23" s="27"/>
      <c r="G23" s="27"/>
      <c r="H23" s="27"/>
      <c r="I23" s="27"/>
      <c r="J23" s="27"/>
      <c r="K23" s="28"/>
      <c r="L23" s="27"/>
      <c r="M23" s="27"/>
      <c r="N23" s="27"/>
      <c r="O23" s="27"/>
      <c r="P23" s="27"/>
      <c r="Q23" s="27"/>
      <c r="R23" s="27"/>
      <c r="S23" s="28"/>
      <c r="T23" s="29"/>
      <c r="U23" s="29">
        <f>SUBTOTAL(9,U24:U32)</f>
        <v>125807.30746562402</v>
      </c>
      <c r="V23" s="29">
        <f t="shared" ref="V23:AJ23" si="6">SUBTOTAL(9,V24:V32)</f>
        <v>0</v>
      </c>
      <c r="W23" s="29">
        <f t="shared" si="6"/>
        <v>979578.64194502006</v>
      </c>
      <c r="X23" s="29">
        <f t="shared" si="6"/>
        <v>0</v>
      </c>
      <c r="Y23" s="29">
        <f t="shared" si="6"/>
        <v>2448023.6751965117</v>
      </c>
      <c r="Z23" s="29">
        <f t="shared" si="6"/>
        <v>0</v>
      </c>
      <c r="AA23" s="29">
        <f t="shared" si="6"/>
        <v>0</v>
      </c>
      <c r="AB23" s="29">
        <f t="shared" si="6"/>
        <v>3553409.624607156</v>
      </c>
      <c r="AC23" s="29">
        <f t="shared" si="6"/>
        <v>125807.30746562402</v>
      </c>
      <c r="AD23" s="29">
        <f t="shared" si="6"/>
        <v>0</v>
      </c>
      <c r="AE23" s="29">
        <f t="shared" si="6"/>
        <v>638855.6360511001</v>
      </c>
      <c r="AF23" s="29">
        <f t="shared" si="6"/>
        <v>0</v>
      </c>
      <c r="AG23" s="29">
        <f t="shared" si="6"/>
        <v>2723972.3079077415</v>
      </c>
      <c r="AH23" s="29">
        <f t="shared" si="6"/>
        <v>0</v>
      </c>
      <c r="AI23" s="29">
        <f t="shared" si="6"/>
        <v>0</v>
      </c>
      <c r="AJ23" s="29">
        <f t="shared" si="6"/>
        <v>3488635.2514244658</v>
      </c>
      <c r="AK23" s="30"/>
    </row>
    <row r="24" spans="1:37" s="31" customFormat="1" ht="29" x14ac:dyDescent="0.7">
      <c r="A24" s="32" t="s">
        <v>28</v>
      </c>
      <c r="B24" s="33" t="s">
        <v>39</v>
      </c>
      <c r="C24" s="34" t="s">
        <v>40</v>
      </c>
      <c r="D24" s="35"/>
      <c r="E24" s="35"/>
      <c r="F24" s="35"/>
      <c r="G24" s="35"/>
      <c r="H24" s="35">
        <v>3</v>
      </c>
      <c r="I24" s="35"/>
      <c r="J24" s="35"/>
      <c r="K24" s="36">
        <f t="shared" si="4"/>
        <v>3</v>
      </c>
      <c r="L24" s="35"/>
      <c r="M24" s="35"/>
      <c r="N24" s="35"/>
      <c r="O24" s="35"/>
      <c r="P24" s="35">
        <f>35-N25</f>
        <v>5</v>
      </c>
      <c r="Q24" s="35"/>
      <c r="R24" s="35"/>
      <c r="S24" s="36">
        <f t="shared" si="5"/>
        <v>5</v>
      </c>
      <c r="T24" s="37">
        <v>16230.187868370002</v>
      </c>
      <c r="U24" s="37">
        <f t="shared" ref="U24:AJ32" si="7">D24*$T24</f>
        <v>0</v>
      </c>
      <c r="V24" s="37">
        <f t="shared" si="7"/>
        <v>0</v>
      </c>
      <c r="W24" s="37">
        <f t="shared" si="7"/>
        <v>0</v>
      </c>
      <c r="X24" s="37">
        <f t="shared" si="7"/>
        <v>0</v>
      </c>
      <c r="Y24" s="37">
        <f t="shared" si="7"/>
        <v>48690.563605110001</v>
      </c>
      <c r="Z24" s="37">
        <f t="shared" si="7"/>
        <v>0</v>
      </c>
      <c r="AA24" s="37">
        <f t="shared" si="7"/>
        <v>0</v>
      </c>
      <c r="AB24" s="37">
        <f t="shared" si="7"/>
        <v>48690.563605110001</v>
      </c>
      <c r="AC24" s="37">
        <f t="shared" si="7"/>
        <v>0</v>
      </c>
      <c r="AD24" s="37">
        <f t="shared" si="7"/>
        <v>0</v>
      </c>
      <c r="AE24" s="37">
        <f t="shared" si="7"/>
        <v>0</v>
      </c>
      <c r="AF24" s="37">
        <f t="shared" si="7"/>
        <v>0</v>
      </c>
      <c r="AG24" s="37">
        <f t="shared" si="7"/>
        <v>81150.939341850011</v>
      </c>
      <c r="AH24" s="37">
        <f t="shared" si="7"/>
        <v>0</v>
      </c>
      <c r="AI24" s="37">
        <f t="shared" si="7"/>
        <v>0</v>
      </c>
      <c r="AJ24" s="37">
        <f t="shared" si="7"/>
        <v>81150.939341850011</v>
      </c>
      <c r="AK24" s="30"/>
    </row>
    <row r="25" spans="1:37" s="31" customFormat="1" ht="42.45" customHeight="1" x14ac:dyDescent="0.7">
      <c r="A25" s="32" t="s">
        <v>28</v>
      </c>
      <c r="B25" s="33" t="s">
        <v>41</v>
      </c>
      <c r="C25" s="34" t="s">
        <v>30</v>
      </c>
      <c r="D25" s="35"/>
      <c r="E25" s="35"/>
      <c r="F25" s="35">
        <v>46</v>
      </c>
      <c r="G25" s="35"/>
      <c r="H25" s="35"/>
      <c r="I25" s="35"/>
      <c r="J25" s="35"/>
      <c r="K25" s="36">
        <f t="shared" si="4"/>
        <v>46</v>
      </c>
      <c r="L25" s="35"/>
      <c r="M25" s="35"/>
      <c r="N25" s="35">
        <v>30</v>
      </c>
      <c r="O25" s="35"/>
      <c r="P25" s="35"/>
      <c r="Q25" s="35"/>
      <c r="R25" s="35"/>
      <c r="S25" s="36">
        <f t="shared" si="5"/>
        <v>30</v>
      </c>
      <c r="T25" s="37">
        <v>21295.187868370002</v>
      </c>
      <c r="U25" s="37">
        <f t="shared" si="7"/>
        <v>0</v>
      </c>
      <c r="V25" s="37">
        <f t="shared" si="7"/>
        <v>0</v>
      </c>
      <c r="W25" s="37">
        <f t="shared" si="7"/>
        <v>979578.64194502006</v>
      </c>
      <c r="X25" s="37">
        <f t="shared" si="7"/>
        <v>0</v>
      </c>
      <c r="Y25" s="37">
        <f t="shared" si="7"/>
        <v>0</v>
      </c>
      <c r="Z25" s="37">
        <f t="shared" si="7"/>
        <v>0</v>
      </c>
      <c r="AA25" s="37">
        <f t="shared" si="7"/>
        <v>0</v>
      </c>
      <c r="AB25" s="37">
        <f t="shared" si="7"/>
        <v>979578.64194502006</v>
      </c>
      <c r="AC25" s="37">
        <f t="shared" si="7"/>
        <v>0</v>
      </c>
      <c r="AD25" s="37">
        <f t="shared" si="7"/>
        <v>0</v>
      </c>
      <c r="AE25" s="37">
        <f t="shared" si="7"/>
        <v>638855.6360511001</v>
      </c>
      <c r="AF25" s="37">
        <f t="shared" si="7"/>
        <v>0</v>
      </c>
      <c r="AG25" s="37">
        <f t="shared" si="7"/>
        <v>0</v>
      </c>
      <c r="AH25" s="37">
        <f t="shared" si="7"/>
        <v>0</v>
      </c>
      <c r="AI25" s="37">
        <f t="shared" si="7"/>
        <v>0</v>
      </c>
      <c r="AJ25" s="37">
        <f t="shared" si="7"/>
        <v>638855.6360511001</v>
      </c>
      <c r="AK25" s="30"/>
    </row>
    <row r="26" spans="1:37" s="31" customFormat="1" ht="36.75" customHeight="1" x14ac:dyDescent="0.7">
      <c r="A26" s="32" t="s">
        <v>28</v>
      </c>
      <c r="B26" s="33" t="s">
        <v>55</v>
      </c>
      <c r="C26" s="34" t="s">
        <v>30</v>
      </c>
      <c r="D26" s="35"/>
      <c r="E26" s="35"/>
      <c r="F26" s="35"/>
      <c r="G26" s="35"/>
      <c r="H26" s="35"/>
      <c r="I26" s="35"/>
      <c r="J26" s="35"/>
      <c r="K26" s="36">
        <f t="shared" si="4"/>
        <v>0</v>
      </c>
      <c r="L26" s="35"/>
      <c r="M26" s="35"/>
      <c r="N26" s="35"/>
      <c r="O26" s="35"/>
      <c r="P26" s="35">
        <v>10</v>
      </c>
      <c r="Q26" s="35"/>
      <c r="R26" s="35"/>
      <c r="S26" s="36">
        <f t="shared" si="5"/>
        <v>10</v>
      </c>
      <c r="T26" s="39">
        <v>17890.311198428804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  <c r="Y26" s="37">
        <f t="shared" si="7"/>
        <v>0</v>
      </c>
      <c r="Z26" s="37">
        <f t="shared" si="7"/>
        <v>0</v>
      </c>
      <c r="AA26" s="37">
        <f t="shared" si="7"/>
        <v>0</v>
      </c>
      <c r="AB26" s="37">
        <f t="shared" si="7"/>
        <v>0</v>
      </c>
      <c r="AC26" s="37">
        <f t="shared" si="7"/>
        <v>0</v>
      </c>
      <c r="AD26" s="37">
        <f t="shared" si="7"/>
        <v>0</v>
      </c>
      <c r="AE26" s="37">
        <f t="shared" si="7"/>
        <v>0</v>
      </c>
      <c r="AF26" s="37">
        <f t="shared" si="7"/>
        <v>0</v>
      </c>
      <c r="AG26" s="37">
        <f t="shared" si="7"/>
        <v>178903.11198428803</v>
      </c>
      <c r="AH26" s="37">
        <f t="shared" si="7"/>
        <v>0</v>
      </c>
      <c r="AI26" s="37">
        <f t="shared" si="7"/>
        <v>0</v>
      </c>
      <c r="AJ26" s="37">
        <f t="shared" si="7"/>
        <v>178903.11198428803</v>
      </c>
      <c r="AK26" s="30"/>
    </row>
    <row r="27" spans="1:37" s="31" customFormat="1" ht="47.7" customHeight="1" x14ac:dyDescent="0.7">
      <c r="A27" s="32" t="s">
        <v>28</v>
      </c>
      <c r="B27" s="33" t="s">
        <v>56</v>
      </c>
      <c r="C27" s="34" t="s">
        <v>30</v>
      </c>
      <c r="D27" s="35"/>
      <c r="E27" s="35"/>
      <c r="F27" s="35"/>
      <c r="G27" s="35"/>
      <c r="H27" s="35">
        <v>61</v>
      </c>
      <c r="I27" s="35"/>
      <c r="J27" s="35"/>
      <c r="K27" s="36">
        <f t="shared" si="4"/>
        <v>61</v>
      </c>
      <c r="L27" s="35"/>
      <c r="M27" s="35"/>
      <c r="N27" s="35"/>
      <c r="O27" s="35"/>
      <c r="P27" s="35">
        <f>149-P26</f>
        <v>139</v>
      </c>
      <c r="Q27" s="35"/>
      <c r="R27" s="35"/>
      <c r="S27" s="36">
        <f t="shared" si="5"/>
        <v>139</v>
      </c>
      <c r="T27" s="39">
        <v>12825.311198428803</v>
      </c>
      <c r="U27" s="37">
        <f t="shared" si="7"/>
        <v>0</v>
      </c>
      <c r="V27" s="37">
        <f t="shared" si="7"/>
        <v>0</v>
      </c>
      <c r="W27" s="37">
        <f t="shared" si="7"/>
        <v>0</v>
      </c>
      <c r="X27" s="37">
        <f t="shared" si="7"/>
        <v>0</v>
      </c>
      <c r="Y27" s="37">
        <f t="shared" si="7"/>
        <v>782343.98310415691</v>
      </c>
      <c r="Z27" s="37">
        <f t="shared" si="7"/>
        <v>0</v>
      </c>
      <c r="AA27" s="37">
        <f t="shared" si="7"/>
        <v>0</v>
      </c>
      <c r="AB27" s="37">
        <f t="shared" si="7"/>
        <v>782343.98310415691</v>
      </c>
      <c r="AC27" s="37">
        <f t="shared" si="7"/>
        <v>0</v>
      </c>
      <c r="AD27" s="37">
        <f t="shared" si="7"/>
        <v>0</v>
      </c>
      <c r="AE27" s="37">
        <f t="shared" si="7"/>
        <v>0</v>
      </c>
      <c r="AF27" s="37">
        <f t="shared" si="7"/>
        <v>0</v>
      </c>
      <c r="AG27" s="37">
        <f t="shared" si="7"/>
        <v>1782718.2565816035</v>
      </c>
      <c r="AH27" s="37">
        <f t="shared" si="7"/>
        <v>0</v>
      </c>
      <c r="AI27" s="37">
        <f t="shared" si="7"/>
        <v>0</v>
      </c>
      <c r="AJ27" s="37">
        <f t="shared" si="7"/>
        <v>1782718.2565816035</v>
      </c>
      <c r="AK27" s="30"/>
    </row>
    <row r="28" spans="1:37" s="31" customFormat="1" ht="30.75" customHeight="1" x14ac:dyDescent="0.7">
      <c r="A28" s="32" t="s">
        <v>28</v>
      </c>
      <c r="B28" s="40" t="s">
        <v>32</v>
      </c>
      <c r="C28" s="34" t="s">
        <v>30</v>
      </c>
      <c r="D28" s="35"/>
      <c r="E28" s="35"/>
      <c r="F28" s="35"/>
      <c r="G28" s="35"/>
      <c r="H28" s="35">
        <f>50-H29</f>
        <v>32</v>
      </c>
      <c r="I28" s="35"/>
      <c r="J28" s="35"/>
      <c r="K28" s="36">
        <f t="shared" si="4"/>
        <v>32</v>
      </c>
      <c r="L28" s="35"/>
      <c r="M28" s="35"/>
      <c r="N28" s="35"/>
      <c r="O28" s="35"/>
      <c r="P28" s="35"/>
      <c r="Q28" s="35"/>
      <c r="R28" s="35"/>
      <c r="S28" s="36">
        <f t="shared" si="5"/>
        <v>0</v>
      </c>
      <c r="T28" s="39">
        <v>14021.535265226399</v>
      </c>
      <c r="U28" s="37">
        <f t="shared" si="7"/>
        <v>0</v>
      </c>
      <c r="V28" s="37">
        <f t="shared" si="7"/>
        <v>0</v>
      </c>
      <c r="W28" s="37">
        <f t="shared" si="7"/>
        <v>0</v>
      </c>
      <c r="X28" s="37">
        <f t="shared" si="7"/>
        <v>0</v>
      </c>
      <c r="Y28" s="37">
        <f t="shared" si="7"/>
        <v>448689.12848724477</v>
      </c>
      <c r="Z28" s="37">
        <f t="shared" si="7"/>
        <v>0</v>
      </c>
      <c r="AA28" s="37">
        <f t="shared" si="7"/>
        <v>0</v>
      </c>
      <c r="AB28" s="37">
        <f t="shared" si="7"/>
        <v>448689.12848724477</v>
      </c>
      <c r="AC28" s="37">
        <f t="shared" si="7"/>
        <v>0</v>
      </c>
      <c r="AD28" s="37">
        <f t="shared" si="7"/>
        <v>0</v>
      </c>
      <c r="AE28" s="37">
        <f t="shared" si="7"/>
        <v>0</v>
      </c>
      <c r="AF28" s="37">
        <f t="shared" si="7"/>
        <v>0</v>
      </c>
      <c r="AG28" s="37">
        <f t="shared" si="7"/>
        <v>0</v>
      </c>
      <c r="AH28" s="37">
        <f t="shared" si="7"/>
        <v>0</v>
      </c>
      <c r="AI28" s="37">
        <f t="shared" si="7"/>
        <v>0</v>
      </c>
      <c r="AJ28" s="37">
        <f t="shared" si="7"/>
        <v>0</v>
      </c>
      <c r="AK28" s="30"/>
    </row>
    <row r="29" spans="1:37" s="31" customFormat="1" ht="80.25" customHeight="1" x14ac:dyDescent="0.7">
      <c r="A29" s="32" t="s">
        <v>28</v>
      </c>
      <c r="B29" s="41" t="s">
        <v>33</v>
      </c>
      <c r="C29" s="43" t="s">
        <v>30</v>
      </c>
      <c r="D29" s="44"/>
      <c r="E29" s="44"/>
      <c r="F29" s="44"/>
      <c r="G29" s="44"/>
      <c r="H29" s="44">
        <v>18</v>
      </c>
      <c r="I29" s="44"/>
      <c r="J29" s="44"/>
      <c r="K29" s="36">
        <f t="shared" si="4"/>
        <v>18</v>
      </c>
      <c r="L29" s="44"/>
      <c r="M29" s="44"/>
      <c r="N29" s="44"/>
      <c r="O29" s="44"/>
      <c r="P29" s="44">
        <v>20</v>
      </c>
      <c r="Q29" s="44"/>
      <c r="R29" s="44"/>
      <c r="S29" s="36">
        <f t="shared" si="5"/>
        <v>20</v>
      </c>
      <c r="T29" s="39">
        <v>33350</v>
      </c>
      <c r="U29" s="37">
        <f t="shared" si="7"/>
        <v>0</v>
      </c>
      <c r="V29" s="37">
        <f t="shared" si="7"/>
        <v>0</v>
      </c>
      <c r="W29" s="37">
        <f t="shared" si="7"/>
        <v>0</v>
      </c>
      <c r="X29" s="37">
        <f t="shared" si="7"/>
        <v>0</v>
      </c>
      <c r="Y29" s="37">
        <f t="shared" si="7"/>
        <v>600300</v>
      </c>
      <c r="Z29" s="37">
        <f t="shared" si="7"/>
        <v>0</v>
      </c>
      <c r="AA29" s="37">
        <f t="shared" si="7"/>
        <v>0</v>
      </c>
      <c r="AB29" s="37">
        <f t="shared" si="7"/>
        <v>600300</v>
      </c>
      <c r="AC29" s="37">
        <f t="shared" si="7"/>
        <v>0</v>
      </c>
      <c r="AD29" s="37">
        <f t="shared" si="7"/>
        <v>0</v>
      </c>
      <c r="AE29" s="37">
        <f t="shared" si="7"/>
        <v>0</v>
      </c>
      <c r="AF29" s="37">
        <f t="shared" si="7"/>
        <v>0</v>
      </c>
      <c r="AG29" s="37">
        <f t="shared" si="7"/>
        <v>667000</v>
      </c>
      <c r="AH29" s="37">
        <f t="shared" si="7"/>
        <v>0</v>
      </c>
      <c r="AI29" s="37">
        <f t="shared" si="7"/>
        <v>0</v>
      </c>
      <c r="AJ29" s="37">
        <f t="shared" si="7"/>
        <v>667000</v>
      </c>
      <c r="AK29" s="30"/>
    </row>
    <row r="30" spans="1:37" s="31" customFormat="1" ht="39" customHeight="1" x14ac:dyDescent="0.7">
      <c r="A30" s="32" t="s">
        <v>28</v>
      </c>
      <c r="B30" s="41" t="s">
        <v>57</v>
      </c>
      <c r="C30" s="43" t="s">
        <v>53</v>
      </c>
      <c r="D30" s="44"/>
      <c r="E30" s="44"/>
      <c r="F30" s="44"/>
      <c r="G30" s="44"/>
      <c r="H30" s="44">
        <v>800</v>
      </c>
      <c r="I30" s="44"/>
      <c r="J30" s="44"/>
      <c r="K30" s="36">
        <f t="shared" si="4"/>
        <v>800</v>
      </c>
      <c r="L30" s="44"/>
      <c r="M30" s="44"/>
      <c r="N30" s="44"/>
      <c r="O30" s="44"/>
      <c r="P30" s="44">
        <v>20</v>
      </c>
      <c r="Q30" s="44"/>
      <c r="R30" s="44"/>
      <c r="S30" s="36">
        <f t="shared" si="5"/>
        <v>20</v>
      </c>
      <c r="T30" s="39">
        <v>710</v>
      </c>
      <c r="U30" s="37">
        <f t="shared" si="7"/>
        <v>0</v>
      </c>
      <c r="V30" s="37">
        <f t="shared" si="7"/>
        <v>0</v>
      </c>
      <c r="W30" s="37">
        <f t="shared" si="7"/>
        <v>0</v>
      </c>
      <c r="X30" s="37">
        <f t="shared" si="7"/>
        <v>0</v>
      </c>
      <c r="Y30" s="37">
        <f t="shared" si="7"/>
        <v>568000</v>
      </c>
      <c r="Z30" s="37">
        <f t="shared" si="7"/>
        <v>0</v>
      </c>
      <c r="AA30" s="37">
        <f t="shared" si="7"/>
        <v>0</v>
      </c>
      <c r="AB30" s="37">
        <f t="shared" si="7"/>
        <v>568000</v>
      </c>
      <c r="AC30" s="37">
        <f t="shared" si="7"/>
        <v>0</v>
      </c>
      <c r="AD30" s="37">
        <f t="shared" si="7"/>
        <v>0</v>
      </c>
      <c r="AE30" s="37">
        <f t="shared" si="7"/>
        <v>0</v>
      </c>
      <c r="AF30" s="37">
        <f t="shared" si="7"/>
        <v>0</v>
      </c>
      <c r="AG30" s="37">
        <f t="shared" si="7"/>
        <v>14200</v>
      </c>
      <c r="AH30" s="37">
        <f t="shared" si="7"/>
        <v>0</v>
      </c>
      <c r="AI30" s="37">
        <f t="shared" si="7"/>
        <v>0</v>
      </c>
      <c r="AJ30" s="37">
        <f t="shared" si="7"/>
        <v>14200</v>
      </c>
      <c r="AK30" s="30"/>
    </row>
    <row r="31" spans="1:37" s="31" customFormat="1" ht="26.4" customHeight="1" x14ac:dyDescent="0.7">
      <c r="A31" s="32" t="s">
        <v>28</v>
      </c>
      <c r="B31" s="42" t="s">
        <v>35</v>
      </c>
      <c r="C31" s="34" t="s">
        <v>36</v>
      </c>
      <c r="D31" s="35">
        <v>12</v>
      </c>
      <c r="E31" s="35"/>
      <c r="F31" s="35"/>
      <c r="G31" s="35"/>
      <c r="H31" s="35"/>
      <c r="I31" s="35"/>
      <c r="J31" s="35"/>
      <c r="K31" s="36">
        <f t="shared" si="4"/>
        <v>12</v>
      </c>
      <c r="L31" s="35">
        <v>12</v>
      </c>
      <c r="M31" s="35"/>
      <c r="N31" s="35"/>
      <c r="O31" s="35"/>
      <c r="P31" s="35"/>
      <c r="Q31" s="35"/>
      <c r="R31" s="35"/>
      <c r="S31" s="36">
        <f t="shared" si="5"/>
        <v>12</v>
      </c>
      <c r="T31" s="37">
        <v>5290.0626227900002</v>
      </c>
      <c r="U31" s="37">
        <f t="shared" si="7"/>
        <v>63480.751473480006</v>
      </c>
      <c r="V31" s="37">
        <f t="shared" si="7"/>
        <v>0</v>
      </c>
      <c r="W31" s="37">
        <f t="shared" si="7"/>
        <v>0</v>
      </c>
      <c r="X31" s="37">
        <f t="shared" si="7"/>
        <v>0</v>
      </c>
      <c r="Y31" s="37">
        <f t="shared" si="7"/>
        <v>0</v>
      </c>
      <c r="Z31" s="37">
        <f t="shared" si="7"/>
        <v>0</v>
      </c>
      <c r="AA31" s="37">
        <f t="shared" si="7"/>
        <v>0</v>
      </c>
      <c r="AB31" s="37">
        <f t="shared" si="7"/>
        <v>63480.751473480006</v>
      </c>
      <c r="AC31" s="37">
        <f t="shared" si="7"/>
        <v>63480.751473480006</v>
      </c>
      <c r="AD31" s="37">
        <f t="shared" si="7"/>
        <v>0</v>
      </c>
      <c r="AE31" s="37">
        <f t="shared" si="7"/>
        <v>0</v>
      </c>
      <c r="AF31" s="37">
        <f t="shared" si="7"/>
        <v>0</v>
      </c>
      <c r="AG31" s="37">
        <f t="shared" si="7"/>
        <v>0</v>
      </c>
      <c r="AH31" s="37">
        <f t="shared" si="7"/>
        <v>0</v>
      </c>
      <c r="AI31" s="37">
        <f t="shared" si="7"/>
        <v>0</v>
      </c>
      <c r="AJ31" s="37">
        <f t="shared" si="7"/>
        <v>63480.751473480006</v>
      </c>
      <c r="AK31" s="30"/>
    </row>
    <row r="32" spans="1:37" s="31" customFormat="1" ht="26.4" customHeight="1" x14ac:dyDescent="0.7">
      <c r="A32" s="32" t="s">
        <v>28</v>
      </c>
      <c r="B32" s="42" t="s">
        <v>37</v>
      </c>
      <c r="C32" s="34" t="s">
        <v>36</v>
      </c>
      <c r="D32" s="35">
        <v>15</v>
      </c>
      <c r="E32" s="35"/>
      <c r="F32" s="35"/>
      <c r="G32" s="35"/>
      <c r="H32" s="35"/>
      <c r="I32" s="35"/>
      <c r="J32" s="35"/>
      <c r="K32" s="36">
        <f t="shared" si="4"/>
        <v>15</v>
      </c>
      <c r="L32" s="35">
        <v>15</v>
      </c>
      <c r="M32" s="35"/>
      <c r="N32" s="35"/>
      <c r="O32" s="35"/>
      <c r="P32" s="35"/>
      <c r="Q32" s="35"/>
      <c r="R32" s="35"/>
      <c r="S32" s="36">
        <f t="shared" si="5"/>
        <v>15</v>
      </c>
      <c r="T32" s="37">
        <v>4155.1037328096008</v>
      </c>
      <c r="U32" s="37">
        <f t="shared" si="7"/>
        <v>62326.555992144014</v>
      </c>
      <c r="V32" s="37">
        <f t="shared" si="7"/>
        <v>0</v>
      </c>
      <c r="W32" s="37">
        <f t="shared" si="7"/>
        <v>0</v>
      </c>
      <c r="X32" s="37">
        <f t="shared" si="7"/>
        <v>0</v>
      </c>
      <c r="Y32" s="37">
        <f t="shared" si="7"/>
        <v>0</v>
      </c>
      <c r="Z32" s="37">
        <f t="shared" si="7"/>
        <v>0</v>
      </c>
      <c r="AA32" s="37">
        <f t="shared" si="7"/>
        <v>0</v>
      </c>
      <c r="AB32" s="37">
        <f t="shared" si="7"/>
        <v>62326.555992144014</v>
      </c>
      <c r="AC32" s="37">
        <f t="shared" si="7"/>
        <v>62326.555992144014</v>
      </c>
      <c r="AD32" s="37">
        <f t="shared" si="7"/>
        <v>0</v>
      </c>
      <c r="AE32" s="37">
        <f t="shared" si="7"/>
        <v>0</v>
      </c>
      <c r="AF32" s="37">
        <f t="shared" si="7"/>
        <v>0</v>
      </c>
      <c r="AG32" s="37">
        <f t="shared" si="7"/>
        <v>0</v>
      </c>
      <c r="AH32" s="37">
        <f t="shared" si="7"/>
        <v>0</v>
      </c>
      <c r="AI32" s="37">
        <f t="shared" si="7"/>
        <v>0</v>
      </c>
      <c r="AJ32" s="37">
        <f t="shared" si="7"/>
        <v>62326.555992144014</v>
      </c>
      <c r="AK32" s="30"/>
    </row>
    <row r="33" spans="1:37" s="31" customFormat="1" x14ac:dyDescent="0.7">
      <c r="A33" s="24">
        <v>2.2999999999999998</v>
      </c>
      <c r="B33" s="25" t="s">
        <v>42</v>
      </c>
      <c r="C33" s="26"/>
      <c r="D33" s="27"/>
      <c r="E33" s="27"/>
      <c r="F33" s="27"/>
      <c r="G33" s="27"/>
      <c r="H33" s="27"/>
      <c r="I33" s="27"/>
      <c r="J33" s="27"/>
      <c r="K33" s="28"/>
      <c r="L33" s="27"/>
      <c r="M33" s="27"/>
      <c r="N33" s="27"/>
      <c r="O33" s="27"/>
      <c r="P33" s="27"/>
      <c r="Q33" s="27"/>
      <c r="R33" s="27"/>
      <c r="S33" s="28"/>
      <c r="T33" s="29"/>
      <c r="U33" s="29">
        <f t="shared" ref="U33:AB33" si="8">SUBTOTAL(9,U34:U34)</f>
        <v>0</v>
      </c>
      <c r="V33" s="29">
        <f t="shared" si="8"/>
        <v>0</v>
      </c>
      <c r="W33" s="29">
        <f t="shared" si="8"/>
        <v>52155</v>
      </c>
      <c r="X33" s="29">
        <f t="shared" si="8"/>
        <v>0</v>
      </c>
      <c r="Y33" s="29">
        <f t="shared" si="8"/>
        <v>0</v>
      </c>
      <c r="Z33" s="29">
        <f t="shared" si="8"/>
        <v>0</v>
      </c>
      <c r="AA33" s="29">
        <f t="shared" si="8"/>
        <v>0</v>
      </c>
      <c r="AB33" s="29">
        <f t="shared" si="8"/>
        <v>52155</v>
      </c>
      <c r="AC33" s="29">
        <f>SUBTOTAL(9,AC34:AC35)</f>
        <v>0</v>
      </c>
      <c r="AD33" s="29">
        <f t="shared" ref="AD33:AJ33" si="9">SUBTOTAL(9,AD34:AD35)</f>
        <v>0</v>
      </c>
      <c r="AE33" s="29">
        <f t="shared" si="9"/>
        <v>30195</v>
      </c>
      <c r="AF33" s="29">
        <f t="shared" si="9"/>
        <v>0</v>
      </c>
      <c r="AG33" s="29">
        <f t="shared" si="9"/>
        <v>0</v>
      </c>
      <c r="AH33" s="29">
        <f t="shared" si="9"/>
        <v>0</v>
      </c>
      <c r="AI33" s="29">
        <f t="shared" si="9"/>
        <v>0</v>
      </c>
      <c r="AJ33" s="29">
        <f t="shared" si="9"/>
        <v>30195</v>
      </c>
      <c r="AK33" s="30"/>
    </row>
    <row r="34" spans="1:37" s="31" customFormat="1" x14ac:dyDescent="0.7">
      <c r="A34" s="32" t="s">
        <v>28</v>
      </c>
      <c r="B34" s="45" t="s">
        <v>43</v>
      </c>
      <c r="C34" s="34" t="s">
        <v>44</v>
      </c>
      <c r="D34" s="35"/>
      <c r="E34" s="35"/>
      <c r="F34" s="35">
        <f>(SUM(F24:F27)+SUM(F12:F15))*3</f>
        <v>171</v>
      </c>
      <c r="G34" s="35"/>
      <c r="H34" s="35"/>
      <c r="I34" s="35"/>
      <c r="J34" s="35"/>
      <c r="K34" s="36">
        <f t="shared" si="4"/>
        <v>171</v>
      </c>
      <c r="L34" s="35"/>
      <c r="M34" s="35"/>
      <c r="N34" s="35">
        <f>(SUM(N24:N27)+SUM(N12:N15))*3</f>
        <v>99</v>
      </c>
      <c r="O34" s="35"/>
      <c r="P34" s="35"/>
      <c r="Q34" s="35"/>
      <c r="R34" s="35"/>
      <c r="S34" s="36">
        <f t="shared" si="5"/>
        <v>99</v>
      </c>
      <c r="T34" s="37">
        <v>305</v>
      </c>
      <c r="U34" s="37">
        <f t="shared" ref="U34:AJ35" si="10">D34*$T34</f>
        <v>0</v>
      </c>
      <c r="V34" s="37">
        <f t="shared" si="10"/>
        <v>0</v>
      </c>
      <c r="W34" s="37">
        <f t="shared" si="10"/>
        <v>52155</v>
      </c>
      <c r="X34" s="37">
        <f t="shared" si="10"/>
        <v>0</v>
      </c>
      <c r="Y34" s="37">
        <f t="shared" si="10"/>
        <v>0</v>
      </c>
      <c r="Z34" s="37">
        <f t="shared" si="10"/>
        <v>0</v>
      </c>
      <c r="AA34" s="37">
        <f t="shared" si="10"/>
        <v>0</v>
      </c>
      <c r="AB34" s="37">
        <f t="shared" si="10"/>
        <v>52155</v>
      </c>
      <c r="AC34" s="37">
        <f t="shared" si="10"/>
        <v>0</v>
      </c>
      <c r="AD34" s="37">
        <f t="shared" si="10"/>
        <v>0</v>
      </c>
      <c r="AE34" s="37">
        <f t="shared" si="10"/>
        <v>30195</v>
      </c>
      <c r="AF34" s="37">
        <f t="shared" si="10"/>
        <v>0</v>
      </c>
      <c r="AG34" s="37">
        <f t="shared" si="10"/>
        <v>0</v>
      </c>
      <c r="AH34" s="37">
        <f t="shared" si="10"/>
        <v>0</v>
      </c>
      <c r="AI34" s="37">
        <f t="shared" si="10"/>
        <v>0</v>
      </c>
      <c r="AJ34" s="37">
        <f t="shared" si="10"/>
        <v>30195</v>
      </c>
      <c r="AK34" s="30"/>
    </row>
    <row r="35" spans="1:37" s="31" customFormat="1" x14ac:dyDescent="0.7">
      <c r="A35" s="32" t="s">
        <v>28</v>
      </c>
      <c r="B35" s="45" t="s">
        <v>45</v>
      </c>
      <c r="C35" s="34" t="s">
        <v>44</v>
      </c>
      <c r="D35" s="35"/>
      <c r="E35" s="35"/>
      <c r="F35" s="35"/>
      <c r="G35" s="35"/>
      <c r="H35" s="35">
        <f>H28*3</f>
        <v>96</v>
      </c>
      <c r="I35" s="35"/>
      <c r="J35" s="35"/>
      <c r="K35" s="36">
        <f t="shared" si="4"/>
        <v>96</v>
      </c>
      <c r="L35" s="35"/>
      <c r="M35" s="35"/>
      <c r="N35" s="35"/>
      <c r="O35" s="35"/>
      <c r="P35" s="35">
        <f>P28*3</f>
        <v>0</v>
      </c>
      <c r="Q35" s="35"/>
      <c r="R35" s="35"/>
      <c r="S35" s="36">
        <f t="shared" si="5"/>
        <v>0</v>
      </c>
      <c r="T35" s="37">
        <v>305</v>
      </c>
      <c r="U35" s="37">
        <f t="shared" si="10"/>
        <v>0</v>
      </c>
      <c r="V35" s="37">
        <f t="shared" si="10"/>
        <v>0</v>
      </c>
      <c r="W35" s="37">
        <f t="shared" si="10"/>
        <v>0</v>
      </c>
      <c r="X35" s="37">
        <f t="shared" si="10"/>
        <v>0</v>
      </c>
      <c r="Y35" s="37">
        <f t="shared" si="10"/>
        <v>29280</v>
      </c>
      <c r="Z35" s="37">
        <f t="shared" si="10"/>
        <v>0</v>
      </c>
      <c r="AA35" s="37">
        <f t="shared" si="10"/>
        <v>0</v>
      </c>
      <c r="AB35" s="37">
        <f t="shared" si="10"/>
        <v>29280</v>
      </c>
      <c r="AC35" s="37">
        <f t="shared" si="10"/>
        <v>0</v>
      </c>
      <c r="AD35" s="37">
        <f t="shared" si="10"/>
        <v>0</v>
      </c>
      <c r="AE35" s="37">
        <f t="shared" si="10"/>
        <v>0</v>
      </c>
      <c r="AF35" s="37">
        <f t="shared" si="10"/>
        <v>0</v>
      </c>
      <c r="AG35" s="37">
        <f t="shared" si="10"/>
        <v>0</v>
      </c>
      <c r="AH35" s="37">
        <f t="shared" si="10"/>
        <v>0</v>
      </c>
      <c r="AI35" s="37">
        <f t="shared" si="10"/>
        <v>0</v>
      </c>
      <c r="AJ35" s="37">
        <f t="shared" si="10"/>
        <v>0</v>
      </c>
      <c r="AK35" s="30"/>
    </row>
    <row r="36" spans="1:37" x14ac:dyDescent="0.7">
      <c r="A36" s="46">
        <v>5</v>
      </c>
      <c r="B36" s="47" t="s">
        <v>46</v>
      </c>
      <c r="C36" s="48"/>
      <c r="D36" s="48"/>
      <c r="E36" s="48"/>
      <c r="F36" s="48"/>
      <c r="G36" s="48"/>
      <c r="H36" s="48"/>
      <c r="I36" s="48"/>
      <c r="J36" s="48"/>
      <c r="K36" s="46"/>
      <c r="L36" s="48"/>
      <c r="M36" s="48"/>
      <c r="N36" s="48"/>
      <c r="O36" s="48"/>
      <c r="P36" s="48"/>
      <c r="Q36" s="48"/>
      <c r="R36" s="48"/>
      <c r="S36" s="46"/>
      <c r="T36" s="49"/>
      <c r="U36" s="49">
        <f t="shared" ref="U36:AJ36" si="11">SUBTOTAL(9,U37:U38)</f>
        <v>0</v>
      </c>
      <c r="V36" s="49">
        <f t="shared" si="11"/>
        <v>0</v>
      </c>
      <c r="W36" s="49">
        <f t="shared" si="11"/>
        <v>0</v>
      </c>
      <c r="X36" s="49">
        <f t="shared" si="11"/>
        <v>0</v>
      </c>
      <c r="Y36" s="49">
        <f t="shared" si="11"/>
        <v>0</v>
      </c>
      <c r="Z36" s="49">
        <f t="shared" si="11"/>
        <v>0</v>
      </c>
      <c r="AA36" s="49">
        <f t="shared" si="11"/>
        <v>360000</v>
      </c>
      <c r="AB36" s="49">
        <f t="shared" si="11"/>
        <v>360000</v>
      </c>
      <c r="AC36" s="49">
        <f t="shared" si="11"/>
        <v>0</v>
      </c>
      <c r="AD36" s="49">
        <f t="shared" si="11"/>
        <v>0</v>
      </c>
      <c r="AE36" s="49">
        <f t="shared" si="11"/>
        <v>0</v>
      </c>
      <c r="AF36" s="49">
        <f t="shared" si="11"/>
        <v>0</v>
      </c>
      <c r="AG36" s="49">
        <f t="shared" si="11"/>
        <v>0</v>
      </c>
      <c r="AH36" s="49">
        <f t="shared" si="11"/>
        <v>0</v>
      </c>
      <c r="AI36" s="49">
        <f t="shared" si="11"/>
        <v>0</v>
      </c>
      <c r="AJ36" s="49">
        <f t="shared" si="11"/>
        <v>0</v>
      </c>
      <c r="AK36" s="30"/>
    </row>
    <row r="37" spans="1:37" x14ac:dyDescent="0.7">
      <c r="A37" s="32" t="s">
        <v>28</v>
      </c>
      <c r="B37" s="50" t="s">
        <v>47</v>
      </c>
      <c r="C37" s="51" t="s">
        <v>48</v>
      </c>
      <c r="D37" s="35"/>
      <c r="E37" s="35"/>
      <c r="F37" s="35"/>
      <c r="G37" s="35"/>
      <c r="H37" s="35"/>
      <c r="I37" s="35"/>
      <c r="J37" s="35">
        <v>1</v>
      </c>
      <c r="K37" s="36">
        <f t="shared" si="4"/>
        <v>1</v>
      </c>
      <c r="L37" s="35"/>
      <c r="M37" s="35"/>
      <c r="N37" s="35"/>
      <c r="O37" s="35"/>
      <c r="P37" s="35"/>
      <c r="Q37" s="35"/>
      <c r="R37" s="35"/>
      <c r="S37" s="36">
        <f t="shared" si="5"/>
        <v>0</v>
      </c>
      <c r="T37" s="37">
        <v>60000</v>
      </c>
      <c r="U37" s="37">
        <f t="shared" ref="U37:AJ38" si="12">D37*$T37</f>
        <v>0</v>
      </c>
      <c r="V37" s="37">
        <f t="shared" si="12"/>
        <v>0</v>
      </c>
      <c r="W37" s="37">
        <f t="shared" si="12"/>
        <v>0</v>
      </c>
      <c r="X37" s="37">
        <f t="shared" si="12"/>
        <v>0</v>
      </c>
      <c r="Y37" s="37">
        <f t="shared" si="12"/>
        <v>0</v>
      </c>
      <c r="Z37" s="37">
        <f t="shared" si="12"/>
        <v>0</v>
      </c>
      <c r="AA37" s="37">
        <f t="shared" si="12"/>
        <v>60000</v>
      </c>
      <c r="AB37" s="37">
        <f t="shared" si="12"/>
        <v>60000</v>
      </c>
      <c r="AC37" s="37">
        <f t="shared" si="12"/>
        <v>0</v>
      </c>
      <c r="AD37" s="37">
        <f t="shared" si="12"/>
        <v>0</v>
      </c>
      <c r="AE37" s="37">
        <f t="shared" si="12"/>
        <v>0</v>
      </c>
      <c r="AF37" s="37">
        <f t="shared" si="12"/>
        <v>0</v>
      </c>
      <c r="AG37" s="37">
        <f t="shared" si="12"/>
        <v>0</v>
      </c>
      <c r="AH37" s="37">
        <f t="shared" si="12"/>
        <v>0</v>
      </c>
      <c r="AI37" s="37">
        <f t="shared" si="12"/>
        <v>0</v>
      </c>
      <c r="AJ37" s="37">
        <f t="shared" si="12"/>
        <v>0</v>
      </c>
      <c r="AK37" s="30"/>
    </row>
    <row r="38" spans="1:37" x14ac:dyDescent="0.7">
      <c r="A38" s="32" t="s">
        <v>28</v>
      </c>
      <c r="B38" s="50" t="s">
        <v>49</v>
      </c>
      <c r="C38" s="51" t="s">
        <v>48</v>
      </c>
      <c r="D38" s="35"/>
      <c r="E38" s="35"/>
      <c r="F38" s="35"/>
      <c r="G38" s="35"/>
      <c r="H38" s="35"/>
      <c r="I38" s="35"/>
      <c r="J38" s="35">
        <v>1</v>
      </c>
      <c r="K38" s="36">
        <f t="shared" si="4"/>
        <v>1</v>
      </c>
      <c r="L38" s="35"/>
      <c r="M38" s="35"/>
      <c r="N38" s="35"/>
      <c r="O38" s="35"/>
      <c r="P38" s="35"/>
      <c r="Q38" s="35"/>
      <c r="R38" s="35"/>
      <c r="S38" s="36">
        <f t="shared" si="5"/>
        <v>0</v>
      </c>
      <c r="T38" s="37">
        <v>300000</v>
      </c>
      <c r="U38" s="37">
        <f t="shared" si="12"/>
        <v>0</v>
      </c>
      <c r="V38" s="37">
        <f t="shared" si="12"/>
        <v>0</v>
      </c>
      <c r="W38" s="37">
        <f t="shared" si="12"/>
        <v>0</v>
      </c>
      <c r="X38" s="37">
        <f t="shared" si="12"/>
        <v>0</v>
      </c>
      <c r="Y38" s="37">
        <f t="shared" si="12"/>
        <v>0</v>
      </c>
      <c r="Z38" s="37">
        <f t="shared" si="12"/>
        <v>0</v>
      </c>
      <c r="AA38" s="37">
        <f t="shared" si="12"/>
        <v>300000</v>
      </c>
      <c r="AB38" s="37">
        <f t="shared" si="12"/>
        <v>300000</v>
      </c>
      <c r="AC38" s="37">
        <f t="shared" si="12"/>
        <v>0</v>
      </c>
      <c r="AD38" s="37">
        <f t="shared" si="12"/>
        <v>0</v>
      </c>
      <c r="AE38" s="37">
        <f t="shared" si="12"/>
        <v>0</v>
      </c>
      <c r="AF38" s="37">
        <f t="shared" si="12"/>
        <v>0</v>
      </c>
      <c r="AG38" s="37">
        <f t="shared" si="12"/>
        <v>0</v>
      </c>
      <c r="AH38" s="37">
        <f t="shared" si="12"/>
        <v>0</v>
      </c>
      <c r="AI38" s="37">
        <f t="shared" si="12"/>
        <v>0</v>
      </c>
      <c r="AJ38" s="37">
        <f t="shared" si="12"/>
        <v>0</v>
      </c>
      <c r="AK38" s="30"/>
    </row>
  </sheetData>
  <protectedRanges>
    <protectedRange sqref="B356:B357" name="BaseDeDatos_2_1_1_1_1_1_1_1_1_1_1_4_1"/>
  </protectedRanges>
  <mergeCells count="41">
    <mergeCell ref="AJ6:AJ8"/>
    <mergeCell ref="F7:F8"/>
    <mergeCell ref="G7:H7"/>
    <mergeCell ref="N7:N8"/>
    <mergeCell ref="O7:P7"/>
    <mergeCell ref="W7:W8"/>
    <mergeCell ref="X7:Y7"/>
    <mergeCell ref="AE7:AE8"/>
    <mergeCell ref="AF7:AG7"/>
    <mergeCell ref="AA6:AA8"/>
    <mergeCell ref="AB6:AB8"/>
    <mergeCell ref="AC6:AD7"/>
    <mergeCell ref="AE6:AG6"/>
    <mergeCell ref="AH6:AH8"/>
    <mergeCell ref="AI6:AI8"/>
    <mergeCell ref="Q6:Q8"/>
    <mergeCell ref="R6:R8"/>
    <mergeCell ref="S6:S8"/>
    <mergeCell ref="U6:V7"/>
    <mergeCell ref="W6:Y6"/>
    <mergeCell ref="Z6:Z8"/>
    <mergeCell ref="L5:S5"/>
    <mergeCell ref="U5:AB5"/>
    <mergeCell ref="AC5:AJ5"/>
    <mergeCell ref="D6:E7"/>
    <mergeCell ref="F6:H6"/>
    <mergeCell ref="I6:I8"/>
    <mergeCell ref="J6:J8"/>
    <mergeCell ref="K6:K8"/>
    <mergeCell ref="L6:M7"/>
    <mergeCell ref="N6:P6"/>
    <mergeCell ref="A1:AK1"/>
    <mergeCell ref="A3:A8"/>
    <mergeCell ref="B3:B8"/>
    <mergeCell ref="C3:C8"/>
    <mergeCell ref="D3:AJ3"/>
    <mergeCell ref="AK3:AK8"/>
    <mergeCell ref="D4:S4"/>
    <mergeCell ref="T4:T8"/>
    <mergeCell ref="U4:AJ4"/>
    <mergeCell ref="D5:K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Trương Đăng Bình</dc:creator>
  <cp:keywords>9Slide</cp:keywords>
  <dc:description>9Slide</dc:description>
  <cp:lastModifiedBy>Trương Đăng Bình</cp:lastModifiedBy>
  <dcterms:created xsi:type="dcterms:W3CDTF">2017-08-31T17:47:16Z</dcterms:created>
  <dcterms:modified xsi:type="dcterms:W3CDTF">2026-09-18T14:32:02Z</dcterms:modified>
  <cp:category>9Slide</cp:category>
  <cp:contentStatus>9Slide</cp:contentStatus>
</cp:coreProperties>
</file>